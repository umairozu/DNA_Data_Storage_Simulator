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9d02cdd29b983994/Desktop/CS/CS 401/DcTS/"/>
    </mc:Choice>
  </mc:AlternateContent>
  <xr:revisionPtr revIDLastSave="324" documentId="13_ncr:1_{082B96AD-9999-FE46-B858-7B1728149138}" xr6:coauthVersionLast="47" xr6:coauthVersionMax="47" xr10:uidLastSave="{29B907AB-E717-4411-BD85-D4C01B794E08}"/>
  <bookViews>
    <workbookView xWindow="-110" yWindow="-110" windowWidth="19420" windowHeight="10300" xr2:uid="{3AF5304A-6F4E-6E4F-BDD2-D7EFC5CF30C8}"/>
  </bookViews>
  <sheets>
    <sheet name="Raw Data of Fig. 5F" sheetId="2" r:id="rId1"/>
    <sheet name="Arrhenius Calculate" sheetId="5" r:id="rId2"/>
    <sheet name="Sheet1"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8" i="2" l="1"/>
  <c r="L6" i="2"/>
  <c r="L4" i="2"/>
  <c r="A6" i="2"/>
  <c r="A4" i="2"/>
  <c r="C3" i="6"/>
  <c r="C4" i="6"/>
  <c r="C5" i="6"/>
  <c r="C6" i="6"/>
  <c r="C7" i="6"/>
  <c r="C8" i="6"/>
  <c r="C9" i="6"/>
  <c r="C10" i="6"/>
  <c r="C11" i="6"/>
  <c r="C12" i="6"/>
  <c r="C13" i="6"/>
  <c r="C14" i="6"/>
  <c r="C15" i="6"/>
  <c r="C17" i="6"/>
  <c r="C18" i="6"/>
  <c r="C19" i="6"/>
  <c r="C2" i="6"/>
  <c r="K109" i="5"/>
  <c r="O125" i="5"/>
  <c r="J2" i="5"/>
  <c r="P58" i="5"/>
  <c r="Q58" i="5" s="1"/>
  <c r="R58" i="5" s="1"/>
  <c r="P59" i="5"/>
  <c r="Q59" i="5" s="1"/>
  <c r="R59" i="5" s="1"/>
  <c r="P60" i="5"/>
  <c r="Q60" i="5" s="1"/>
  <c r="R60" i="5" s="1"/>
  <c r="P56" i="5"/>
  <c r="Q56" i="5" s="1"/>
  <c r="K2" i="5" l="1"/>
  <c r="P2" i="5"/>
  <c r="Q2" i="5" s="1"/>
  <c r="J3" i="5"/>
  <c r="K3" i="5" s="1"/>
  <c r="P3" i="5"/>
  <c r="Q3" i="5" s="1"/>
  <c r="J4" i="5"/>
  <c r="K4" i="5" s="1"/>
  <c r="P4" i="5"/>
  <c r="Q4" i="5" s="1"/>
  <c r="J5" i="5"/>
  <c r="K5" i="5" s="1"/>
  <c r="P5" i="5"/>
  <c r="Q5" i="5" s="1"/>
  <c r="J6" i="5"/>
  <c r="K6" i="5" s="1"/>
  <c r="P6" i="5"/>
  <c r="Q6" i="5" s="1"/>
  <c r="J7" i="5"/>
  <c r="K7" i="5" s="1"/>
  <c r="P7" i="5"/>
  <c r="Q7" i="5" s="1"/>
  <c r="J8" i="5"/>
  <c r="K8" i="5" s="1"/>
  <c r="L8" i="5" s="1"/>
  <c r="P8" i="5"/>
  <c r="Q8" i="5" s="1"/>
  <c r="R8" i="5" s="1"/>
  <c r="J9" i="5"/>
  <c r="K9" i="5" s="1"/>
  <c r="L9" i="5" s="1"/>
  <c r="P9" i="5"/>
  <c r="Q9" i="5" s="1"/>
  <c r="R9" i="5" s="1"/>
  <c r="J10" i="5"/>
  <c r="K10" i="5" s="1"/>
  <c r="L10" i="5" s="1"/>
  <c r="J11" i="5"/>
  <c r="K11" i="5" s="1"/>
  <c r="L11" i="5" s="1"/>
  <c r="P11" i="5"/>
  <c r="Q11" i="5" s="1"/>
  <c r="R11" i="5" s="1"/>
  <c r="J12" i="5"/>
  <c r="P12" i="5"/>
  <c r="Q12" i="5" s="1"/>
  <c r="R12" i="5" s="1"/>
  <c r="J13" i="5"/>
  <c r="K13" i="5" s="1"/>
  <c r="L13" i="5" s="1"/>
  <c r="P13" i="5"/>
  <c r="Q13" i="5" s="1"/>
  <c r="R13" i="5" s="1"/>
  <c r="J14" i="5"/>
  <c r="K14" i="5" s="1"/>
  <c r="L14" i="5" s="1"/>
  <c r="P14" i="5"/>
  <c r="Q14" i="5" s="1"/>
  <c r="J15" i="5"/>
  <c r="K15" i="5" s="1"/>
  <c r="L15" i="5" s="1"/>
  <c r="P15" i="5"/>
  <c r="Q15" i="5" s="1"/>
  <c r="R15" i="5" s="1"/>
  <c r="J16" i="5"/>
  <c r="K16" i="5" s="1"/>
  <c r="L16" i="5" s="1"/>
  <c r="P16" i="5"/>
  <c r="Q16" i="5" s="1"/>
  <c r="R16" i="5" s="1"/>
  <c r="J17" i="5"/>
  <c r="K17" i="5" s="1"/>
  <c r="L17" i="5" s="1"/>
  <c r="P17" i="5"/>
  <c r="Q17" i="5" s="1"/>
  <c r="R17" i="5" s="1"/>
  <c r="J18" i="5"/>
  <c r="K18" i="5" s="1"/>
  <c r="L18" i="5" s="1"/>
  <c r="P18" i="5"/>
  <c r="Q18" i="5" s="1"/>
  <c r="R18" i="5" s="1"/>
  <c r="J19" i="5"/>
  <c r="K19" i="5" s="1"/>
  <c r="L19" i="5" s="1"/>
  <c r="P19" i="5"/>
  <c r="Q19" i="5" s="1"/>
  <c r="R19" i="5" s="1"/>
  <c r="J20" i="5"/>
  <c r="K20" i="5" s="1"/>
  <c r="L20" i="5" s="1"/>
  <c r="P20" i="5"/>
  <c r="Q20" i="5" s="1"/>
  <c r="J21" i="5"/>
  <c r="K21" i="5" s="1"/>
  <c r="L21" i="5" s="1"/>
  <c r="P21" i="5"/>
  <c r="Q21" i="5" s="1"/>
  <c r="R21" i="5" s="1"/>
  <c r="P22" i="5"/>
  <c r="Q22" i="5" s="1"/>
  <c r="R22" i="5" s="1"/>
  <c r="J23" i="5"/>
  <c r="K23" i="5" s="1"/>
  <c r="L23" i="5" s="1"/>
  <c r="P23" i="5"/>
  <c r="Q23" i="5" s="1"/>
  <c r="R23" i="5" s="1"/>
  <c r="J24" i="5"/>
  <c r="K24" i="5" s="1"/>
  <c r="L24" i="5" s="1"/>
  <c r="P24" i="5"/>
  <c r="Q24" i="5" s="1"/>
  <c r="R24" i="5" s="1"/>
  <c r="J25" i="5"/>
  <c r="K25" i="5"/>
  <c r="L25" i="5"/>
  <c r="P25" i="5"/>
  <c r="Q25" i="5" s="1"/>
  <c r="R25" i="5" s="1"/>
  <c r="J26" i="5"/>
  <c r="K26" i="5" s="1"/>
  <c r="L26" i="5" s="1"/>
  <c r="P26" i="5"/>
  <c r="Q26" i="5" s="1"/>
  <c r="R26" i="5" s="1"/>
  <c r="J27" i="5"/>
  <c r="K27" i="5" s="1"/>
  <c r="L27" i="5" s="1"/>
  <c r="P27" i="5"/>
  <c r="Q27" i="5" s="1"/>
  <c r="R27" i="5" s="1"/>
  <c r="J28" i="5"/>
  <c r="K28" i="5" s="1"/>
  <c r="L28" i="5" s="1"/>
  <c r="J29" i="5"/>
  <c r="K29" i="5" s="1"/>
  <c r="L29" i="5" s="1"/>
  <c r="P29" i="5"/>
  <c r="Q29" i="5" s="1"/>
  <c r="R29" i="5" s="1"/>
  <c r="J30" i="5"/>
  <c r="K30" i="5" s="1"/>
  <c r="L30" i="5" s="1"/>
  <c r="P30" i="5"/>
  <c r="Q30" i="5" s="1"/>
  <c r="R30" i="5" s="1"/>
  <c r="J31" i="5"/>
  <c r="K31" i="5" s="1"/>
  <c r="L31" i="5" s="1"/>
  <c r="J32" i="5"/>
  <c r="K32" i="5" s="1"/>
  <c r="P32" i="5"/>
  <c r="Q32" i="5" s="1"/>
  <c r="R32" i="5" s="1"/>
  <c r="J33" i="5"/>
  <c r="K33" i="5"/>
  <c r="L33" i="5" s="1"/>
  <c r="P33" i="5"/>
  <c r="Q33" i="5" s="1"/>
  <c r="R33" i="5" s="1"/>
  <c r="J34" i="5"/>
  <c r="K34" i="5"/>
  <c r="L34" i="5" s="1"/>
  <c r="P34" i="5"/>
  <c r="Q34" i="5" s="1"/>
  <c r="R34" i="5" s="1"/>
  <c r="J35" i="5"/>
  <c r="K35" i="5" s="1"/>
  <c r="L35" i="5" s="1"/>
  <c r="P35" i="5"/>
  <c r="Q35" i="5" s="1"/>
  <c r="R35" i="5" s="1"/>
  <c r="J36" i="5"/>
  <c r="K36" i="5" s="1"/>
  <c r="L36" i="5" s="1"/>
  <c r="P36" i="5"/>
  <c r="Q36" i="5" s="1"/>
  <c r="R36" i="5" s="1"/>
  <c r="J37" i="5"/>
  <c r="K37" i="5"/>
  <c r="L37" i="5" s="1"/>
  <c r="P37" i="5"/>
  <c r="Q37" i="5" s="1"/>
  <c r="R37" i="5" s="1"/>
  <c r="J38" i="5"/>
  <c r="K38" i="5" s="1"/>
  <c r="L38" i="5" s="1"/>
  <c r="P38" i="5"/>
  <c r="Q38" i="5" s="1"/>
  <c r="R38" i="5" s="1"/>
  <c r="J39" i="5"/>
  <c r="K39" i="5" s="1"/>
  <c r="L39" i="5" s="1"/>
  <c r="P39" i="5"/>
  <c r="Q39" i="5" s="1"/>
  <c r="R39" i="5" s="1"/>
  <c r="J40" i="5"/>
  <c r="K40" i="5" s="1"/>
  <c r="L40" i="5" s="1"/>
  <c r="P40" i="5"/>
  <c r="Q40" i="5"/>
  <c r="R40" i="5" s="1"/>
  <c r="J41" i="5"/>
  <c r="K41" i="5" s="1"/>
  <c r="L41" i="5" s="1"/>
  <c r="P41" i="5"/>
  <c r="Q41" i="5" s="1"/>
  <c r="R41" i="5" s="1"/>
  <c r="J42" i="5"/>
  <c r="K42" i="5" s="1"/>
  <c r="L42" i="5" s="1"/>
  <c r="P42" i="5"/>
  <c r="Q42" i="5" s="1"/>
  <c r="R42" i="5" s="1"/>
  <c r="J43" i="5"/>
  <c r="K43" i="5" s="1"/>
  <c r="L43" i="5" s="1"/>
  <c r="P43" i="5"/>
  <c r="Q43" i="5" s="1"/>
  <c r="R43" i="5" s="1"/>
  <c r="J44" i="5"/>
  <c r="K44" i="5"/>
  <c r="L44" i="5" s="1"/>
  <c r="P44" i="5"/>
  <c r="Q44" i="5" s="1"/>
  <c r="J45" i="5"/>
  <c r="K45" i="5" s="1"/>
  <c r="L45" i="5" s="1"/>
  <c r="P45" i="5"/>
  <c r="Q45" i="5" s="1"/>
  <c r="R45" i="5" s="1"/>
  <c r="P46" i="5"/>
  <c r="Q46" i="5" s="1"/>
  <c r="R46" i="5" s="1"/>
  <c r="J47" i="5"/>
  <c r="K47" i="5" s="1"/>
  <c r="L47" i="5" s="1"/>
  <c r="P47" i="5"/>
  <c r="Q47" i="5" s="1"/>
  <c r="R47" i="5" s="1"/>
  <c r="J48" i="5"/>
  <c r="K48" i="5" s="1"/>
  <c r="L48" i="5" s="1"/>
  <c r="P48" i="5"/>
  <c r="Q48" i="5" s="1"/>
  <c r="R48" i="5" s="1"/>
  <c r="J49" i="5"/>
  <c r="K49" i="5" s="1"/>
  <c r="L49" i="5" s="1"/>
  <c r="P49" i="5"/>
  <c r="Q49" i="5" s="1"/>
  <c r="R49" i="5" s="1"/>
  <c r="J50" i="5"/>
  <c r="K50" i="5" s="1"/>
  <c r="L50" i="5" s="1"/>
  <c r="P50" i="5"/>
  <c r="Q50" i="5" s="1"/>
  <c r="R50" i="5" s="1"/>
  <c r="J51" i="5"/>
  <c r="K51" i="5" s="1"/>
  <c r="L51" i="5" s="1"/>
  <c r="P51" i="5"/>
  <c r="Q51" i="5" s="1"/>
  <c r="R51" i="5" s="1"/>
  <c r="J52" i="5"/>
  <c r="K52" i="5" s="1"/>
  <c r="L52" i="5" s="1"/>
  <c r="P52" i="5"/>
  <c r="Q52" i="5" s="1"/>
  <c r="R52" i="5" s="1"/>
  <c r="J53" i="5"/>
  <c r="K53" i="5" s="1"/>
  <c r="L53" i="5" s="1"/>
  <c r="P53" i="5"/>
  <c r="Q53" i="5"/>
  <c r="R53" i="5" s="1"/>
  <c r="J54" i="5"/>
  <c r="K54" i="5" s="1"/>
  <c r="L54" i="5" s="1"/>
  <c r="P54" i="5"/>
  <c r="Q54" i="5" s="1"/>
  <c r="R54" i="5" s="1"/>
  <c r="J55" i="5"/>
  <c r="K55" i="5"/>
  <c r="L55" i="5" s="1"/>
  <c r="P55" i="5"/>
  <c r="Q55" i="5" s="1"/>
  <c r="R55" i="5" s="1"/>
  <c r="R56" i="5"/>
  <c r="K107" i="5"/>
  <c r="Q107" i="5"/>
  <c r="K108" i="5"/>
  <c r="Q108" i="5"/>
  <c r="Q109" i="5"/>
  <c r="I125" i="5"/>
  <c r="I127" i="5"/>
  <c r="O127" i="5"/>
  <c r="I128" i="5"/>
  <c r="O128" i="5"/>
  <c r="I129" i="5"/>
  <c r="O129" i="5"/>
  <c r="K12" i="5" l="1"/>
  <c r="L12" i="5" s="1"/>
  <c r="I66" i="5"/>
  <c r="Q68" i="5"/>
  <c r="O68" i="5"/>
  <c r="J67" i="5"/>
  <c r="L5" i="5"/>
  <c r="K67" i="5"/>
  <c r="P68" i="5"/>
  <c r="P69" i="5"/>
  <c r="O66" i="5"/>
  <c r="Q69" i="5"/>
  <c r="K68" i="5"/>
  <c r="J68" i="5"/>
  <c r="L32" i="5"/>
  <c r="R14" i="5"/>
  <c r="P67" i="5"/>
  <c r="R5" i="5"/>
  <c r="O67" i="5"/>
  <c r="R20" i="5"/>
  <c r="Q67" i="5"/>
  <c r="R44" i="5"/>
  <c r="O69" i="5"/>
  <c r="I68" i="5"/>
  <c r="I67" i="5" l="1"/>
</calcChain>
</file>

<file path=xl/sharedStrings.xml><?xml version="1.0" encoding="utf-8"?>
<sst xmlns="http://schemas.openxmlformats.org/spreadsheetml/2006/main" count="124" uniqueCount="70">
  <si>
    <t>N.A.</t>
    <phoneticPr fontId="3" type="noConversion"/>
  </si>
  <si>
    <t>NOTE:</t>
    <phoneticPr fontId="3" type="noConversion"/>
  </si>
  <si>
    <t>D-DNA tape</t>
    <phoneticPr fontId="3" type="noConversion"/>
  </si>
  <si>
    <t>6w</t>
  </si>
  <si>
    <t>0w</t>
    <phoneticPr fontId="3" type="noConversion"/>
  </si>
  <si>
    <t>3w</t>
    <phoneticPr fontId="3" type="noConversion"/>
  </si>
  <si>
    <t>6w</t>
    <phoneticPr fontId="3" type="noConversion"/>
  </si>
  <si>
    <t>E-DNA tape</t>
    <phoneticPr fontId="3" type="noConversion"/>
  </si>
  <si>
    <t>Ct</t>
    <phoneticPr fontId="3" type="noConversion"/>
  </si>
  <si>
    <t>Copies</t>
    <phoneticPr fontId="3" type="noConversion"/>
  </si>
  <si>
    <t>ng/uL</t>
    <phoneticPr fontId="3" type="noConversion"/>
  </si>
  <si>
    <t>0w-DNA Tape</t>
    <phoneticPr fontId="3" type="noConversion"/>
  </si>
  <si>
    <t>0w-Zif/DNA Tape</t>
    <phoneticPr fontId="3" type="noConversion"/>
  </si>
  <si>
    <t>1w-DNA Tape</t>
    <phoneticPr fontId="3" type="noConversion"/>
  </si>
  <si>
    <t>1w-Zif/DNA Tape</t>
    <phoneticPr fontId="3" type="noConversion"/>
  </si>
  <si>
    <t>2w-DNA Tape</t>
    <phoneticPr fontId="3" type="noConversion"/>
  </si>
  <si>
    <t>2w-Zif/DNA Tape</t>
    <phoneticPr fontId="3" type="noConversion"/>
  </si>
  <si>
    <t>3w-DNA Tape</t>
    <phoneticPr fontId="3" type="noConversion"/>
  </si>
  <si>
    <t>3w-Zif/DNA Tape</t>
    <phoneticPr fontId="3" type="noConversion"/>
  </si>
  <si>
    <t>t1/2</t>
    <phoneticPr fontId="3" type="noConversion"/>
  </si>
  <si>
    <t>Temperature</t>
  </si>
  <si>
    <t>Ea</t>
    <phoneticPr fontId="3" type="noConversion"/>
  </si>
  <si>
    <t>ln(k)</t>
  </si>
  <si>
    <t>1/T</t>
  </si>
  <si>
    <t>k</t>
  </si>
  <si>
    <t>ln(conc)</t>
  </si>
  <si>
    <t>time passed</t>
  </si>
  <si>
    <t>70°C</t>
  </si>
  <si>
    <t>65°C</t>
    <phoneticPr fontId="3" type="noConversion"/>
  </si>
  <si>
    <t>60°C</t>
    <phoneticPr fontId="3" type="noConversion"/>
  </si>
  <si>
    <t>1. A total of three groups of parallel samples, each group was tested twice by qPCR.</t>
    <phoneticPr fontId="3" type="noConversion"/>
  </si>
  <si>
    <t xml:space="preserve">2. N.A.is an invalid point removed by software error in qPCR. </t>
    <phoneticPr fontId="3" type="noConversion"/>
  </si>
  <si>
    <t>3. '"0" is the value of qPCR results less than  the environmental control.</t>
    <phoneticPr fontId="3" type="noConversion"/>
  </si>
  <si>
    <t>4.Because the DNA tape group was 70 degrees and the 3w condition lacked data points, in order to fit more accurately, the data of the third week of the DNA tape group was uniformly removed.</t>
    <phoneticPr fontId="3" type="noConversion"/>
  </si>
  <si>
    <t>C/Co</t>
    <phoneticPr fontId="3" type="noConversion"/>
  </si>
  <si>
    <t>t1/2</t>
  </si>
  <si>
    <t>Time</t>
  </si>
  <si>
    <t>C/Co</t>
  </si>
  <si>
    <t>ln(C/Co)</t>
  </si>
  <si>
    <t>1W_60</t>
  </si>
  <si>
    <t>2W_60</t>
  </si>
  <si>
    <t>3W_60</t>
  </si>
  <si>
    <t>t_d</t>
  </si>
  <si>
    <t>cols_d</t>
  </si>
  <si>
    <t xml:space="preserve"> I,J,K</t>
  </si>
  <si>
    <t>y1</t>
  </si>
  <si>
    <t>y2</t>
  </si>
  <si>
    <t>y3</t>
  </si>
  <si>
    <t>x1</t>
  </si>
  <si>
    <t>x2</t>
  </si>
  <si>
    <t>x3</t>
  </si>
  <si>
    <t>Mean 0w</t>
  </si>
  <si>
    <t>Mean 3w</t>
  </si>
  <si>
    <t>Mean 6w</t>
  </si>
  <si>
    <t>4°C</t>
  </si>
  <si>
    <t>Encapsulated</t>
  </si>
  <si>
    <t>RAID 1</t>
  </si>
  <si>
    <t>RAID 2</t>
  </si>
  <si>
    <t>RAID 3</t>
  </si>
  <si>
    <t>RAID 4</t>
  </si>
  <si>
    <t>RAID 5</t>
  </si>
  <si>
    <t>Sequence Length</t>
  </si>
  <si>
    <t>1K</t>
  </si>
  <si>
    <t>10K</t>
  </si>
  <si>
    <t>100K</t>
  </si>
  <si>
    <t>25°C</t>
  </si>
  <si>
    <t>60°C</t>
  </si>
  <si>
    <t>300 years</t>
  </si>
  <si>
    <t>-</t>
  </si>
  <si>
    <t>Recovery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</si>
</sst>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00"/>
  </numFmts>
  <fonts count="11">
    <font>
      <sz val="12"/>
      <color theme="1"/>
      <name val="Calibri"/>
      <family val="2"/>
      <charset val="134"/>
      <scheme val="minor"/>
    </font>
    <font>
      <sz val="12"/>
      <color rgb="FFFF0000"/>
      <name val="Calibri"/>
      <family val="2"/>
      <charset val="134"/>
      <scheme val="minor"/>
    </font>
    <font>
      <sz val="12"/>
      <name val="Arial"/>
      <family val="2"/>
    </font>
    <font>
      <sz val="9"/>
      <name val="Calibri"/>
      <family val="2"/>
      <charset val="134"/>
      <scheme val="minor"/>
    </font>
    <font>
      <u val="double"/>
      <sz val="12"/>
      <color theme="1"/>
      <name val="Calibri"/>
      <family val="4"/>
      <charset val="134"/>
      <scheme val="minor"/>
    </font>
    <font>
      <sz val="12"/>
      <color theme="5"/>
      <name val="Calibri"/>
      <family val="2"/>
      <charset val="134"/>
      <scheme val="minor"/>
    </font>
    <font>
      <u/>
      <sz val="12"/>
      <color theme="1"/>
      <name val="Calibri"/>
      <family val="2"/>
      <charset val="134"/>
      <scheme val="minor"/>
    </font>
    <font>
      <sz val="12"/>
      <color theme="0"/>
      <name val="Calibri"/>
      <family val="2"/>
      <charset val="134"/>
      <scheme val="minor"/>
    </font>
    <font>
      <sz val="12"/>
      <color rgb="FFFF0000"/>
      <name val="Calibri"/>
      <charset val="134"/>
      <scheme val="minor"/>
    </font>
    <font>
      <sz val="12"/>
      <name val="Calibri"/>
      <family val="2"/>
      <charset val="134"/>
      <scheme val="minor"/>
    </font>
    <font>
      <b/>
      <sz val="12"/>
      <color theme="1"/>
      <name val="Calibri"/>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rgb="FFFFD579"/>
        <bgColor indexed="64"/>
      </patternFill>
    </fill>
    <fill>
      <patternFill patternType="solid">
        <fgColor theme="0" tint="-0.14999847407452621"/>
        <bgColor indexed="64"/>
      </patternFill>
    </fill>
    <fill>
      <patternFill patternType="solid">
        <fgColor rgb="FFFF8AD8"/>
        <bgColor indexed="64"/>
      </patternFill>
    </fill>
    <fill>
      <patternFill patternType="solid">
        <fgColor rgb="FFD883FF"/>
        <bgColor indexed="64"/>
      </patternFill>
    </fill>
    <fill>
      <patternFill patternType="solid">
        <fgColor rgb="FFFF7E7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2"/>
        <bgColor indexed="64"/>
      </patternFill>
    </fill>
  </fills>
  <borders count="12">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73">
    <xf numFmtId="0" fontId="0" fillId="0" borderId="0" xfId="0">
      <alignment vertical="center"/>
    </xf>
    <xf numFmtId="0" fontId="2" fillId="0" borderId="0" xfId="0" applyFont="1" applyAlignment="1">
      <alignment horizontal="center"/>
    </xf>
    <xf numFmtId="0" fontId="2" fillId="0" borderId="0" xfId="0" applyFont="1" applyAlignment="1"/>
    <xf numFmtId="0" fontId="0" fillId="0" borderId="0" xfId="0" applyAlignment="1">
      <alignment horizontal="center" vertical="center"/>
    </xf>
    <xf numFmtId="0" fontId="0" fillId="0" borderId="0" xfId="0" applyAlignment="1">
      <alignment horizontal="center"/>
    </xf>
    <xf numFmtId="11" fontId="0" fillId="0" borderId="0" xfId="0"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xf>
    <xf numFmtId="0" fontId="0" fillId="10" borderId="0" xfId="0" applyFill="1" applyAlignment="1">
      <alignment horizontal="center" vertical="center"/>
    </xf>
    <xf numFmtId="0" fontId="0" fillId="10" borderId="0" xfId="0" applyFill="1">
      <alignment vertical="center"/>
    </xf>
    <xf numFmtId="0" fontId="0" fillId="10" borderId="0" xfId="0" applyFill="1" applyAlignment="1">
      <alignment horizontal="center"/>
    </xf>
    <xf numFmtId="0" fontId="5" fillId="0" borderId="1" xfId="0" applyFont="1" applyBorder="1" applyAlignment="1">
      <alignment horizontal="center" vertical="center"/>
    </xf>
    <xf numFmtId="0" fontId="0" fillId="0" borderId="2" xfId="0" applyBorder="1" applyAlignment="1">
      <alignment horizontal="center" vertical="center"/>
    </xf>
    <xf numFmtId="11" fontId="1" fillId="0" borderId="0" xfId="0" applyNumberFormat="1" applyFont="1" applyAlignment="1">
      <alignment horizontal="center" vertical="center"/>
    </xf>
    <xf numFmtId="0" fontId="5" fillId="0" borderId="0" xfId="0" applyFont="1" applyAlignment="1">
      <alignment horizontal="center" vertical="center"/>
    </xf>
    <xf numFmtId="0" fontId="0" fillId="0" borderId="3" xfId="0" applyBorder="1" applyAlignment="1">
      <alignment horizontal="center" vertical="center"/>
    </xf>
    <xf numFmtId="0" fontId="1" fillId="0" borderId="0" xfId="0"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11"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6" xfId="0" applyBorder="1">
      <alignment vertical="center"/>
    </xf>
    <xf numFmtId="164" fontId="4" fillId="0" borderId="0" xfId="0" applyNumberFormat="1" applyFont="1" applyAlignment="1">
      <alignment horizontal="center"/>
    </xf>
    <xf numFmtId="164" fontId="6" fillId="0" borderId="0" xfId="0" applyNumberFormat="1" applyFont="1" applyAlignment="1">
      <alignment horizontal="center"/>
    </xf>
    <xf numFmtId="0" fontId="7" fillId="0" borderId="0" xfId="0" applyFont="1">
      <alignment vertical="center"/>
    </xf>
    <xf numFmtId="0" fontId="7" fillId="0" borderId="0" xfId="0" applyFont="1" applyAlignment="1">
      <alignment horizontal="center" vertical="center"/>
    </xf>
    <xf numFmtId="11" fontId="7" fillId="0" borderId="0" xfId="0" applyNumberFormat="1" applyFont="1">
      <alignment vertical="center"/>
    </xf>
    <xf numFmtId="0" fontId="1" fillId="0" borderId="0" xfId="0" applyFont="1">
      <alignment vertical="center"/>
    </xf>
    <xf numFmtId="0" fontId="8" fillId="0" borderId="0" xfId="0" quotePrefix="1" applyFont="1">
      <alignment vertical="center"/>
    </xf>
    <xf numFmtId="164" fontId="0" fillId="12" borderId="0" xfId="0" applyNumberFormat="1" applyFill="1" applyAlignment="1">
      <alignment horizontal="center"/>
    </xf>
    <xf numFmtId="164" fontId="0" fillId="13" borderId="0" xfId="0" applyNumberFormat="1" applyFill="1" applyAlignment="1">
      <alignment horizontal="center"/>
    </xf>
    <xf numFmtId="164" fontId="0" fillId="14" borderId="0" xfId="0" applyNumberFormat="1" applyFill="1" applyAlignment="1">
      <alignment horizontal="center"/>
    </xf>
    <xf numFmtId="0" fontId="0" fillId="11" borderId="0" xfId="0" applyFill="1" applyAlignment="1">
      <alignment horizontal="center" vertical="center"/>
    </xf>
    <xf numFmtId="0" fontId="0" fillId="11" borderId="8" xfId="0" applyFill="1" applyBorder="1" applyAlignment="1">
      <alignment horizontal="center" vertical="center"/>
    </xf>
    <xf numFmtId="11" fontId="0" fillId="11" borderId="8" xfId="0" applyNumberFormat="1" applyFill="1" applyBorder="1" applyAlignment="1">
      <alignment horizontal="center" vertical="center"/>
    </xf>
    <xf numFmtId="0" fontId="0" fillId="15" borderId="0" xfId="0" applyFill="1">
      <alignment vertical="center"/>
    </xf>
    <xf numFmtId="0" fontId="0" fillId="15" borderId="5" xfId="0" applyFill="1" applyBorder="1" applyAlignment="1">
      <alignment horizontal="center" vertical="center"/>
    </xf>
    <xf numFmtId="0" fontId="0" fillId="15" borderId="4" xfId="0" applyFill="1" applyBorder="1" applyAlignment="1">
      <alignment horizontal="center" vertical="center"/>
    </xf>
    <xf numFmtId="0" fontId="9" fillId="16" borderId="3" xfId="0" applyFont="1" applyFill="1" applyBorder="1" applyAlignment="1">
      <alignment horizontal="center" vertical="center"/>
    </xf>
    <xf numFmtId="0" fontId="0" fillId="16" borderId="2" xfId="0" applyFill="1" applyBorder="1" applyAlignment="1">
      <alignment horizontal="center" vertical="center"/>
    </xf>
    <xf numFmtId="0" fontId="9" fillId="16" borderId="0" xfId="0" applyFont="1" applyFill="1">
      <alignment vertical="center"/>
    </xf>
    <xf numFmtId="0" fontId="1" fillId="16" borderId="0" xfId="0" applyFont="1" applyFill="1">
      <alignment vertical="center"/>
    </xf>
    <xf numFmtId="0" fontId="0" fillId="16" borderId="0" xfId="0" applyFill="1" applyAlignment="1">
      <alignment horizontal="center" vertical="center"/>
    </xf>
    <xf numFmtId="0" fontId="0" fillId="11" borderId="0" xfId="0" applyFill="1">
      <alignment vertical="center"/>
    </xf>
    <xf numFmtId="0" fontId="2" fillId="11" borderId="0" xfId="0" applyFont="1" applyFill="1" applyAlignment="1"/>
    <xf numFmtId="0" fontId="0" fillId="17" borderId="0" xfId="0" applyFill="1">
      <alignment vertical="center"/>
    </xf>
    <xf numFmtId="0" fontId="2" fillId="17" borderId="0" xfId="0" applyFont="1" applyFill="1" applyAlignment="1"/>
    <xf numFmtId="0" fontId="2" fillId="14" borderId="0" xfId="0" applyFont="1" applyFill="1" applyAlignment="1"/>
    <xf numFmtId="0" fontId="0" fillId="0" borderId="0" xfId="0" applyAlignment="1">
      <alignment horizontal="center" vertical="center"/>
    </xf>
    <xf numFmtId="0" fontId="0" fillId="9" borderId="0" xfId="0" applyFill="1" applyAlignment="1">
      <alignment horizontal="center" vertical="center" wrapText="1"/>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10" fillId="0" borderId="0" xfId="0" applyFont="1">
      <alignment vertical="center"/>
    </xf>
    <xf numFmtId="0" fontId="0" fillId="19" borderId="0" xfId="0" applyFill="1" applyAlignment="1">
      <alignment horizontal="center" vertical="center"/>
    </xf>
    <xf numFmtId="0" fontId="10" fillId="0" borderId="0" xfId="0" applyFont="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11" borderId="11" xfId="0" applyFill="1" applyBorder="1" applyAlignment="1">
      <alignment horizontal="center" vertical="center"/>
    </xf>
    <xf numFmtId="0" fontId="0" fillId="18" borderId="9" xfId="0" applyFill="1" applyBorder="1" applyAlignment="1">
      <alignment horizontal="center" vertical="center"/>
    </xf>
    <xf numFmtId="166" fontId="0" fillId="0" borderId="0" xfId="0" applyNumberFormat="1" applyAlignment="1">
      <alignment horizontal="center" vertical="center"/>
    </xf>
    <xf numFmtId="0" fontId="0" fillId="18" borderId="10" xfId="0" applyFill="1" applyBorder="1" applyAlignment="1">
      <alignment horizontal="center" vertical="center"/>
    </xf>
    <xf numFmtId="0" fontId="0" fillId="18" borderId="11" xfId="0" applyFill="1" applyBorder="1" applyAlignment="1">
      <alignment horizontal="center" vertical="center"/>
    </xf>
    <xf numFmtId="0" fontId="0" fillId="10" borderId="9" xfId="0" applyFill="1" applyBorder="1" applyAlignment="1">
      <alignment horizontal="center" vertical="center"/>
    </xf>
    <xf numFmtId="0" fontId="0" fillId="10" borderId="10" xfId="0" applyFill="1" applyBorder="1" applyAlignment="1">
      <alignment horizontal="center" vertical="center"/>
    </xf>
    <xf numFmtId="0" fontId="0" fillId="10" borderId="1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Calculate'!$I$64</c:f>
              <c:strCache>
                <c:ptCount val="1"/>
                <c:pt idx="0">
                  <c:v>60°C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836627384664165E-2"/>
                  <c:y val="-0.43622572178477692"/>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Calculate'!$H$66:$H$68</c:f>
              <c:numCache>
                <c:formatCode>General</c:formatCode>
                <c:ptCount val="3"/>
                <c:pt idx="0">
                  <c:v>0</c:v>
                </c:pt>
                <c:pt idx="1">
                  <c:v>604800</c:v>
                </c:pt>
                <c:pt idx="2">
                  <c:v>1209600</c:v>
                </c:pt>
              </c:numCache>
            </c:numRef>
          </c:xVal>
          <c:yVal>
            <c:numRef>
              <c:f>'Arrhenius Calculate'!$I$66:$I$68</c:f>
              <c:numCache>
                <c:formatCode>General</c:formatCode>
                <c:ptCount val="3"/>
                <c:pt idx="0">
                  <c:v>2.463905076748548</c:v>
                </c:pt>
                <c:pt idx="1">
                  <c:v>0.15622720757362005</c:v>
                </c:pt>
                <c:pt idx="2">
                  <c:v>-2.1343024047370842</c:v>
                </c:pt>
              </c:numCache>
            </c:numRef>
          </c:yVal>
          <c:smooth val="0"/>
          <c:extLst>
            <c:ext xmlns:c16="http://schemas.microsoft.com/office/drawing/2014/chart" uri="{C3380CC4-5D6E-409C-BE32-E72D297353CC}">
              <c16:uniqueId val="{00000001-4EC1-5343-9504-9E4C25903A10}"/>
            </c:ext>
          </c:extLst>
        </c:ser>
        <c:dLbls>
          <c:showLegendKey val="0"/>
          <c:showVal val="0"/>
          <c:showCatName val="0"/>
          <c:showSerName val="0"/>
          <c:showPercent val="0"/>
          <c:showBubbleSize val="0"/>
        </c:dLbls>
        <c:axId val="422516607"/>
        <c:axId val="421893583"/>
      </c:scatterChart>
      <c:valAx>
        <c:axId val="42251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1893583"/>
        <c:crosses val="autoZero"/>
        <c:crossBetween val="midCat"/>
      </c:valAx>
      <c:valAx>
        <c:axId val="42189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2516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Calculate'!$J$64</c:f>
              <c:strCache>
                <c:ptCount val="1"/>
                <c:pt idx="0">
                  <c:v>65°C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Calculate'!$H$66:$H$68</c:f>
              <c:numCache>
                <c:formatCode>General</c:formatCode>
                <c:ptCount val="3"/>
                <c:pt idx="0">
                  <c:v>0</c:v>
                </c:pt>
                <c:pt idx="1">
                  <c:v>604800</c:v>
                </c:pt>
                <c:pt idx="2">
                  <c:v>1209600</c:v>
                </c:pt>
              </c:numCache>
            </c:numRef>
          </c:xVal>
          <c:yVal>
            <c:numRef>
              <c:f>'Arrhenius Calculate'!$J$66:$J$68</c:f>
              <c:numCache>
                <c:formatCode>General</c:formatCode>
                <c:ptCount val="3"/>
                <c:pt idx="0">
                  <c:v>2.4639050767485502</c:v>
                </c:pt>
                <c:pt idx="1">
                  <c:v>-2.3848437403763127</c:v>
                </c:pt>
                <c:pt idx="2">
                  <c:v>-6.4810199681070211</c:v>
                </c:pt>
              </c:numCache>
            </c:numRef>
          </c:yVal>
          <c:smooth val="0"/>
          <c:extLst>
            <c:ext xmlns:c16="http://schemas.microsoft.com/office/drawing/2014/chart" uri="{C3380CC4-5D6E-409C-BE32-E72D297353CC}">
              <c16:uniqueId val="{00000001-5735-614D-8C98-F9F078477537}"/>
            </c:ext>
          </c:extLst>
        </c:ser>
        <c:dLbls>
          <c:showLegendKey val="0"/>
          <c:showVal val="0"/>
          <c:showCatName val="0"/>
          <c:showSerName val="0"/>
          <c:showPercent val="0"/>
          <c:showBubbleSize val="0"/>
        </c:dLbls>
        <c:axId val="814995343"/>
        <c:axId val="426871343"/>
      </c:scatterChart>
      <c:valAx>
        <c:axId val="81499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6871343"/>
        <c:crosses val="autoZero"/>
        <c:crossBetween val="midCat"/>
      </c:valAx>
      <c:valAx>
        <c:axId val="42687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14995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Calculate'!$K$64</c:f>
              <c:strCache>
                <c:ptCount val="1"/>
                <c:pt idx="0">
                  <c:v>70°C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Calculate'!$H$66:$H$68</c:f>
              <c:numCache>
                <c:formatCode>General</c:formatCode>
                <c:ptCount val="3"/>
                <c:pt idx="0">
                  <c:v>0</c:v>
                </c:pt>
                <c:pt idx="1">
                  <c:v>604800</c:v>
                </c:pt>
                <c:pt idx="2">
                  <c:v>1209600</c:v>
                </c:pt>
              </c:numCache>
            </c:numRef>
          </c:xVal>
          <c:yVal>
            <c:numRef>
              <c:f>'Arrhenius Calculate'!$K$66:$K$68</c:f>
              <c:numCache>
                <c:formatCode>0.00E+00</c:formatCode>
                <c:ptCount val="3"/>
                <c:pt idx="0" formatCode="General">
                  <c:v>2.463905076748548</c:v>
                </c:pt>
                <c:pt idx="1">
                  <c:v>-5.2278009817264364</c:v>
                </c:pt>
                <c:pt idx="2">
                  <c:v>-9.4690913252504867</c:v>
                </c:pt>
              </c:numCache>
            </c:numRef>
          </c:yVal>
          <c:smooth val="0"/>
          <c:extLst>
            <c:ext xmlns:c16="http://schemas.microsoft.com/office/drawing/2014/chart" uri="{C3380CC4-5D6E-409C-BE32-E72D297353CC}">
              <c16:uniqueId val="{00000001-767B-BC4D-B2C1-906C54AE96E3}"/>
            </c:ext>
          </c:extLst>
        </c:ser>
        <c:dLbls>
          <c:showLegendKey val="0"/>
          <c:showVal val="0"/>
          <c:showCatName val="0"/>
          <c:showSerName val="0"/>
          <c:showPercent val="0"/>
          <c:showBubbleSize val="0"/>
        </c:dLbls>
        <c:axId val="771164271"/>
        <c:axId val="783209951"/>
      </c:scatterChart>
      <c:valAx>
        <c:axId val="771164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83209951"/>
        <c:crosses val="autoZero"/>
        <c:crossBetween val="midCat"/>
      </c:valAx>
      <c:valAx>
        <c:axId val="78320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711642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Calculate'!$O$64</c:f>
              <c:strCache>
                <c:ptCount val="1"/>
                <c:pt idx="0">
                  <c:v>60°C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Calculate'!$N$66:$N$69</c:f>
              <c:numCache>
                <c:formatCode>General</c:formatCode>
                <c:ptCount val="4"/>
                <c:pt idx="0">
                  <c:v>0</c:v>
                </c:pt>
                <c:pt idx="1">
                  <c:v>604800</c:v>
                </c:pt>
                <c:pt idx="2">
                  <c:v>1209600</c:v>
                </c:pt>
                <c:pt idx="3">
                  <c:v>1814400</c:v>
                </c:pt>
              </c:numCache>
            </c:numRef>
          </c:xVal>
          <c:yVal>
            <c:numRef>
              <c:f>'Arrhenius Calculate'!$O$66:$O$69</c:f>
              <c:numCache>
                <c:formatCode>General</c:formatCode>
                <c:ptCount val="4"/>
                <c:pt idx="0">
                  <c:v>1.9128010307950791</c:v>
                </c:pt>
                <c:pt idx="1">
                  <c:v>0.98618951915538666</c:v>
                </c:pt>
                <c:pt idx="2">
                  <c:v>1.0704127158758461</c:v>
                </c:pt>
                <c:pt idx="3">
                  <c:v>0.12188159877181459</c:v>
                </c:pt>
              </c:numCache>
            </c:numRef>
          </c:yVal>
          <c:smooth val="0"/>
          <c:extLst>
            <c:ext xmlns:c16="http://schemas.microsoft.com/office/drawing/2014/chart" uri="{C3380CC4-5D6E-409C-BE32-E72D297353CC}">
              <c16:uniqueId val="{00000001-CCB6-0040-AB97-1788CBB9DAB3}"/>
            </c:ext>
          </c:extLst>
        </c:ser>
        <c:dLbls>
          <c:showLegendKey val="0"/>
          <c:showVal val="0"/>
          <c:showCatName val="0"/>
          <c:showSerName val="0"/>
          <c:showPercent val="0"/>
          <c:showBubbleSize val="0"/>
        </c:dLbls>
        <c:axId val="466507791"/>
        <c:axId val="437216047"/>
      </c:scatterChart>
      <c:valAx>
        <c:axId val="46650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7216047"/>
        <c:crosses val="autoZero"/>
        <c:crossBetween val="midCat"/>
      </c:valAx>
      <c:valAx>
        <c:axId val="4372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66507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Calculate'!$P$64</c:f>
              <c:strCache>
                <c:ptCount val="1"/>
                <c:pt idx="0">
                  <c:v>65°C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5985179804092618E-3"/>
                  <c:y val="3.5167260143437483E-2"/>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Calculate'!$N$66:$N$69</c:f>
              <c:numCache>
                <c:formatCode>General</c:formatCode>
                <c:ptCount val="4"/>
                <c:pt idx="0">
                  <c:v>0</c:v>
                </c:pt>
                <c:pt idx="1">
                  <c:v>604800</c:v>
                </c:pt>
                <c:pt idx="2">
                  <c:v>1209600</c:v>
                </c:pt>
                <c:pt idx="3">
                  <c:v>1814400</c:v>
                </c:pt>
              </c:numCache>
            </c:numRef>
          </c:xVal>
          <c:yVal>
            <c:numRef>
              <c:f>'Arrhenius Calculate'!$P$66:$P$69</c:f>
              <c:numCache>
                <c:formatCode>General</c:formatCode>
                <c:ptCount val="4"/>
                <c:pt idx="0">
                  <c:v>1.9128010307950791</c:v>
                </c:pt>
                <c:pt idx="1">
                  <c:v>0.91478500385417527</c:v>
                </c:pt>
                <c:pt idx="2">
                  <c:v>-0.28099495903318367</c:v>
                </c:pt>
                <c:pt idx="3">
                  <c:v>-0.76344677921838389</c:v>
                </c:pt>
              </c:numCache>
            </c:numRef>
          </c:yVal>
          <c:smooth val="0"/>
          <c:extLst>
            <c:ext xmlns:c16="http://schemas.microsoft.com/office/drawing/2014/chart" uri="{C3380CC4-5D6E-409C-BE32-E72D297353CC}">
              <c16:uniqueId val="{00000001-9638-4241-B7AA-D4B426C126F5}"/>
            </c:ext>
          </c:extLst>
        </c:ser>
        <c:dLbls>
          <c:showLegendKey val="0"/>
          <c:showVal val="0"/>
          <c:showCatName val="0"/>
          <c:showSerName val="0"/>
          <c:showPercent val="0"/>
          <c:showBubbleSize val="0"/>
        </c:dLbls>
        <c:axId val="472156671"/>
        <c:axId val="472622655"/>
      </c:scatterChart>
      <c:valAx>
        <c:axId val="47215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72622655"/>
        <c:crosses val="autoZero"/>
        <c:crossBetween val="midCat"/>
      </c:valAx>
      <c:valAx>
        <c:axId val="47262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72156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6638888888888886E-2"/>
          <c:y val="0.20590296004666084"/>
          <c:w val="0.84458333333333335"/>
          <c:h val="0.76868037328667249"/>
        </c:manualLayout>
      </c:layout>
      <c:scatterChart>
        <c:scatterStyle val="lineMarker"/>
        <c:varyColors val="0"/>
        <c:ser>
          <c:idx val="0"/>
          <c:order val="0"/>
          <c:tx>
            <c:strRef>
              <c:f>'Arrhenius Calculate'!$Q$64</c:f>
              <c:strCache>
                <c:ptCount val="1"/>
                <c:pt idx="0">
                  <c:v>70°C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Calculate'!$N$66:$N$69</c:f>
              <c:numCache>
                <c:formatCode>General</c:formatCode>
                <c:ptCount val="4"/>
                <c:pt idx="0">
                  <c:v>0</c:v>
                </c:pt>
                <c:pt idx="1">
                  <c:v>604800</c:v>
                </c:pt>
                <c:pt idx="2">
                  <c:v>1209600</c:v>
                </c:pt>
                <c:pt idx="3">
                  <c:v>1814400</c:v>
                </c:pt>
              </c:numCache>
            </c:numRef>
          </c:xVal>
          <c:yVal>
            <c:numRef>
              <c:f>'Arrhenius Calculate'!$Q$66:$Q$69</c:f>
              <c:numCache>
                <c:formatCode>General</c:formatCode>
                <c:ptCount val="4"/>
                <c:pt idx="0">
                  <c:v>1.9128010307950791</c:v>
                </c:pt>
                <c:pt idx="1">
                  <c:v>0.60733587198822048</c:v>
                </c:pt>
                <c:pt idx="2">
                  <c:v>-0.83266340739457712</c:v>
                </c:pt>
                <c:pt idx="3">
                  <c:v>-4.8287094102865176</c:v>
                </c:pt>
              </c:numCache>
            </c:numRef>
          </c:yVal>
          <c:smooth val="0"/>
          <c:extLst>
            <c:ext xmlns:c16="http://schemas.microsoft.com/office/drawing/2014/chart" uri="{C3380CC4-5D6E-409C-BE32-E72D297353CC}">
              <c16:uniqueId val="{00000001-8065-A148-BF2E-3EE3BFD50A5C}"/>
            </c:ext>
          </c:extLst>
        </c:ser>
        <c:dLbls>
          <c:showLegendKey val="0"/>
          <c:showVal val="0"/>
          <c:showCatName val="0"/>
          <c:showSerName val="0"/>
          <c:showPercent val="0"/>
          <c:showBubbleSize val="0"/>
        </c:dLbls>
        <c:axId val="444018303"/>
        <c:axId val="447870575"/>
      </c:scatterChart>
      <c:valAx>
        <c:axId val="44401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7870575"/>
        <c:crosses val="autoZero"/>
        <c:crossBetween val="midCat"/>
      </c:valAx>
      <c:valAx>
        <c:axId val="44787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4018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Calculate'!$K$106</c:f>
              <c:strCache>
                <c:ptCount val="1"/>
                <c:pt idx="0">
                  <c:v>ln(k)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Calculate'!$J$107:$J$109</c:f>
              <c:numCache>
                <c:formatCode>General</c:formatCode>
                <c:ptCount val="3"/>
                <c:pt idx="0">
                  <c:v>3.0016509079993999E-3</c:v>
                </c:pt>
                <c:pt idx="1">
                  <c:v>2.9572674848440043E-3</c:v>
                </c:pt>
                <c:pt idx="2">
                  <c:v>2.9141774734081308E-3</c:v>
                </c:pt>
              </c:numCache>
            </c:numRef>
          </c:xVal>
          <c:yVal>
            <c:numRef>
              <c:f>'Arrhenius Calculate'!$K$107:$K$109</c:f>
              <c:numCache>
                <c:formatCode>General</c:formatCode>
                <c:ptCount val="3"/>
                <c:pt idx="0">
                  <c:v>-12.480141138029675</c:v>
                </c:pt>
                <c:pt idx="1">
                  <c:v>-11.814719984543382</c:v>
                </c:pt>
                <c:pt idx="2">
                  <c:v>-11.526497145000324</c:v>
                </c:pt>
              </c:numCache>
            </c:numRef>
          </c:yVal>
          <c:smooth val="0"/>
          <c:extLst>
            <c:ext xmlns:c16="http://schemas.microsoft.com/office/drawing/2014/chart" uri="{C3380CC4-5D6E-409C-BE32-E72D297353CC}">
              <c16:uniqueId val="{00000001-E4B0-9249-B15E-A8B36B9E4D6A}"/>
            </c:ext>
          </c:extLst>
        </c:ser>
        <c:dLbls>
          <c:showLegendKey val="0"/>
          <c:showVal val="0"/>
          <c:showCatName val="0"/>
          <c:showSerName val="0"/>
          <c:showPercent val="0"/>
          <c:showBubbleSize val="0"/>
        </c:dLbls>
        <c:axId val="443053071"/>
        <c:axId val="445138863"/>
      </c:scatterChart>
      <c:valAx>
        <c:axId val="44305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5138863"/>
        <c:crosses val="autoZero"/>
        <c:crossBetween val="midCat"/>
      </c:valAx>
      <c:valAx>
        <c:axId val="44513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30530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'Arrhenius Calculate'!$Q$106</c:f>
              <c:strCache>
                <c:ptCount val="1"/>
                <c:pt idx="0">
                  <c:v>ln(k)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'Arrhenius Calculate'!$P$107:$P$109</c:f>
              <c:numCache>
                <c:formatCode>General</c:formatCode>
                <c:ptCount val="3"/>
                <c:pt idx="0">
                  <c:v>3.0016509079993999E-3</c:v>
                </c:pt>
                <c:pt idx="1">
                  <c:v>2.9572674848440043E-3</c:v>
                </c:pt>
                <c:pt idx="2">
                  <c:v>2.9141774734081308E-3</c:v>
                </c:pt>
              </c:numCache>
            </c:numRef>
          </c:xVal>
          <c:yVal>
            <c:numRef>
              <c:f>'Arrhenius Calculate'!$Q$107:$Q$109</c:f>
              <c:numCache>
                <c:formatCode>General</c:formatCode>
                <c:ptCount val="3"/>
                <c:pt idx="0">
                  <c:v>-13.949727900084083</c:v>
                </c:pt>
                <c:pt idx="1">
                  <c:v>-13.393385008963003</c:v>
                </c:pt>
                <c:pt idx="2">
                  <c:v>-12.539561337350836</c:v>
                </c:pt>
              </c:numCache>
            </c:numRef>
          </c:yVal>
          <c:smooth val="0"/>
          <c:extLst>
            <c:ext xmlns:c16="http://schemas.microsoft.com/office/drawing/2014/chart" uri="{C3380CC4-5D6E-409C-BE32-E72D297353CC}">
              <c16:uniqueId val="{00000001-2E56-9B4F-914B-BF579E64F855}"/>
            </c:ext>
          </c:extLst>
        </c:ser>
        <c:dLbls>
          <c:showLegendKey val="0"/>
          <c:showVal val="0"/>
          <c:showCatName val="0"/>
          <c:showSerName val="0"/>
          <c:showPercent val="0"/>
          <c:showBubbleSize val="0"/>
        </c:dLbls>
        <c:axId val="483832063"/>
        <c:axId val="483642415"/>
      </c:scatterChart>
      <c:valAx>
        <c:axId val="483832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3642415"/>
        <c:crosses val="autoZero"/>
        <c:crossBetween val="midCat"/>
      </c:valAx>
      <c:valAx>
        <c:axId val="48364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3832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1000338368"/>
        <c:axId val="1000339328"/>
      </c:scatterChart>
      <c:valAx>
        <c:axId val="100033836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39328"/>
        <c:crosses val="autoZero"/>
        <c:crossBetween val="midCat"/>
      </c:valAx>
      <c:valAx>
        <c:axId val="100033932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38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550334</xdr:colOff>
      <xdr:row>69</xdr:row>
      <xdr:rowOff>186267</xdr:rowOff>
    </xdr:from>
    <xdr:to>
      <xdr:col>11</xdr:col>
      <xdr:colOff>84667</xdr:colOff>
      <xdr:row>80</xdr:row>
      <xdr:rowOff>46567</xdr:rowOff>
    </xdr:to>
    <xdr:graphicFrame macro="">
      <xdr:nvGraphicFramePr>
        <xdr:cNvPr id="5" name="图表 4">
          <a:extLst>
            <a:ext uri="{FF2B5EF4-FFF2-40B4-BE49-F238E27FC236}">
              <a16:creationId xmlns:a16="http://schemas.microsoft.com/office/drawing/2014/main" id="{21D98446-EF2F-3A4F-99BD-50AD852B7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558800</xdr:colOff>
      <xdr:row>80</xdr:row>
      <xdr:rowOff>105833</xdr:rowOff>
    </xdr:from>
    <xdr:to>
      <xdr:col>11</xdr:col>
      <xdr:colOff>67733</xdr:colOff>
      <xdr:row>89</xdr:row>
      <xdr:rowOff>143933</xdr:rowOff>
    </xdr:to>
    <xdr:graphicFrame macro="">
      <xdr:nvGraphicFramePr>
        <xdr:cNvPr id="6" name="图表 5">
          <a:extLst>
            <a:ext uri="{FF2B5EF4-FFF2-40B4-BE49-F238E27FC236}">
              <a16:creationId xmlns:a16="http://schemas.microsoft.com/office/drawing/2014/main" id="{78AB4186-C3C8-EA4E-B7AD-4AF70ADFB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575733</xdr:colOff>
      <xdr:row>90</xdr:row>
      <xdr:rowOff>38099</xdr:rowOff>
    </xdr:from>
    <xdr:to>
      <xdr:col>11</xdr:col>
      <xdr:colOff>50800</xdr:colOff>
      <xdr:row>100</xdr:row>
      <xdr:rowOff>16933</xdr:rowOff>
    </xdr:to>
    <xdr:graphicFrame macro="">
      <xdr:nvGraphicFramePr>
        <xdr:cNvPr id="7" name="图表 6">
          <a:extLst>
            <a:ext uri="{FF2B5EF4-FFF2-40B4-BE49-F238E27FC236}">
              <a16:creationId xmlns:a16="http://schemas.microsoft.com/office/drawing/2014/main" id="{C955A4B7-F5C4-A94F-8E57-1795649A6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804333</xdr:colOff>
      <xdr:row>70</xdr:row>
      <xdr:rowOff>4233</xdr:rowOff>
    </xdr:from>
    <xdr:to>
      <xdr:col>17</xdr:col>
      <xdr:colOff>59267</xdr:colOff>
      <xdr:row>80</xdr:row>
      <xdr:rowOff>33867</xdr:rowOff>
    </xdr:to>
    <xdr:graphicFrame macro="">
      <xdr:nvGraphicFramePr>
        <xdr:cNvPr id="8" name="图表 7">
          <a:extLst>
            <a:ext uri="{FF2B5EF4-FFF2-40B4-BE49-F238E27FC236}">
              <a16:creationId xmlns:a16="http://schemas.microsoft.com/office/drawing/2014/main" id="{1AF5B084-B5E1-7646-9227-4B87464FE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795867</xdr:colOff>
      <xdr:row>80</xdr:row>
      <xdr:rowOff>21168</xdr:rowOff>
    </xdr:from>
    <xdr:to>
      <xdr:col>17</xdr:col>
      <xdr:colOff>143934</xdr:colOff>
      <xdr:row>89</xdr:row>
      <xdr:rowOff>186268</xdr:rowOff>
    </xdr:to>
    <xdr:graphicFrame macro="">
      <xdr:nvGraphicFramePr>
        <xdr:cNvPr id="9" name="图表 8">
          <a:extLst>
            <a:ext uri="{FF2B5EF4-FFF2-40B4-BE49-F238E27FC236}">
              <a16:creationId xmlns:a16="http://schemas.microsoft.com/office/drawing/2014/main" id="{62B1051B-F935-6448-82D5-9017EA33A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28575</xdr:colOff>
      <xdr:row>90</xdr:row>
      <xdr:rowOff>110595</xdr:rowOff>
    </xdr:from>
    <xdr:to>
      <xdr:col>16</xdr:col>
      <xdr:colOff>748242</xdr:colOff>
      <xdr:row>99</xdr:row>
      <xdr:rowOff>140228</xdr:rowOff>
    </xdr:to>
    <xdr:graphicFrame macro="">
      <xdr:nvGraphicFramePr>
        <xdr:cNvPr id="10" name="图表 9">
          <a:extLst>
            <a:ext uri="{FF2B5EF4-FFF2-40B4-BE49-F238E27FC236}">
              <a16:creationId xmlns:a16="http://schemas.microsoft.com/office/drawing/2014/main" id="{D5CA39F3-2B82-8F46-8505-55CC67EB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286442</xdr:colOff>
      <xdr:row>110</xdr:row>
      <xdr:rowOff>58878</xdr:rowOff>
    </xdr:from>
    <xdr:to>
      <xdr:col>11</xdr:col>
      <xdr:colOff>483997</xdr:colOff>
      <xdr:row>123</xdr:row>
      <xdr:rowOff>111560</xdr:rowOff>
    </xdr:to>
    <xdr:graphicFrame macro="">
      <xdr:nvGraphicFramePr>
        <xdr:cNvPr id="12" name="图表 11">
          <a:extLst>
            <a:ext uri="{FF2B5EF4-FFF2-40B4-BE49-F238E27FC236}">
              <a16:creationId xmlns:a16="http://schemas.microsoft.com/office/drawing/2014/main" id="{23F6C4CC-E0E2-7040-A9C4-DBB7C02B9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211667</xdr:colOff>
      <xdr:row>110</xdr:row>
      <xdr:rowOff>124178</xdr:rowOff>
    </xdr:from>
    <xdr:to>
      <xdr:col>17</xdr:col>
      <xdr:colOff>371593</xdr:colOff>
      <xdr:row>123</xdr:row>
      <xdr:rowOff>176860</xdr:rowOff>
    </xdr:to>
    <xdr:graphicFrame macro="">
      <xdr:nvGraphicFramePr>
        <xdr:cNvPr id="13" name="图表 12">
          <a:extLst>
            <a:ext uri="{FF2B5EF4-FFF2-40B4-BE49-F238E27FC236}">
              <a16:creationId xmlns:a16="http://schemas.microsoft.com/office/drawing/2014/main" id="{DC9E7A6F-AA83-AC42-B013-AA8B03D21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249464</xdr:colOff>
      <xdr:row>45</xdr:row>
      <xdr:rowOff>61686</xdr:rowOff>
    </xdr:from>
    <xdr:to>
      <xdr:col>15</xdr:col>
      <xdr:colOff>185964</xdr:colOff>
      <xdr:row>59</xdr:row>
      <xdr:rowOff>10886</xdr:rowOff>
    </xdr:to>
    <xdr:graphicFrame macro="">
      <xdr:nvGraphicFramePr>
        <xdr:cNvPr id="5" name="Chart 4">
          <a:extLst>
            <a:ext uri="{FF2B5EF4-FFF2-40B4-BE49-F238E27FC236}">
              <a16:creationId xmlns:a16="http://schemas.microsoft.com/office/drawing/2014/main" id="{D448A008-C49C-8F8E-0BA2-5D23DBB10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31D3D-1C32-A94B-8F0F-88A561ED0103}">
  <dimension ref="A1:M5011"/>
  <sheetViews>
    <sheetView tabSelected="1" zoomScale="73" workbookViewId="0">
      <selection activeCell="C31" sqref="C31"/>
    </sheetView>
  </sheetViews>
  <sheetFormatPr defaultColWidth="10.6640625" defaultRowHeight="15.5"/>
  <cols>
    <col min="1" max="1" width="11.83203125" customWidth="1"/>
    <col min="2" max="2" width="13.1640625" customWidth="1"/>
    <col min="3" max="3" width="13.33203125" style="3" customWidth="1"/>
    <col min="4" max="5" width="11.1640625" style="3" customWidth="1"/>
  </cols>
  <sheetData>
    <row r="1" spans="1:13">
      <c r="C1" s="51" t="s">
        <v>2</v>
      </c>
      <c r="D1" s="51"/>
      <c r="E1" s="51"/>
      <c r="H1" s="51" t="s">
        <v>7</v>
      </c>
      <c r="I1" s="51"/>
      <c r="J1" s="51"/>
    </row>
    <row r="2" spans="1:13">
      <c r="B2" s="1"/>
      <c r="C2" s="1" t="s">
        <v>4</v>
      </c>
      <c r="D2" s="1" t="s">
        <v>5</v>
      </c>
      <c r="E2" s="1" t="s">
        <v>3</v>
      </c>
      <c r="H2" s="1" t="s">
        <v>4</v>
      </c>
      <c r="I2" s="1" t="s">
        <v>5</v>
      </c>
      <c r="J2" s="1" t="s">
        <v>6</v>
      </c>
      <c r="L2" s="1"/>
      <c r="M2" s="1"/>
    </row>
    <row r="3" spans="1:13">
      <c r="A3" t="s">
        <v>51</v>
      </c>
      <c r="B3" s="2"/>
      <c r="C3" s="1">
        <v>37.234554670000001</v>
      </c>
      <c r="D3" s="1">
        <v>2.4470524469999999</v>
      </c>
      <c r="E3" s="1" t="s">
        <v>0</v>
      </c>
      <c r="H3" s="2">
        <v>24.155071499999998</v>
      </c>
      <c r="I3" s="2">
        <v>9.9343215399999991</v>
      </c>
      <c r="J3" s="2">
        <v>16.789945899999999</v>
      </c>
      <c r="L3" s="2" t="s">
        <v>51</v>
      </c>
      <c r="M3" s="2"/>
    </row>
    <row r="4" spans="1:13">
      <c r="A4" s="46">
        <f>AVERAGE(C3:C5011)</f>
        <v>33.839535772319564</v>
      </c>
      <c r="B4" s="2"/>
      <c r="C4" s="1">
        <v>40.971896870000002</v>
      </c>
      <c r="D4" s="1">
        <v>6.9717909330000003</v>
      </c>
      <c r="E4" s="1"/>
      <c r="H4" s="2">
        <v>98.529613400000002</v>
      </c>
      <c r="I4" s="2">
        <v>99.016735400000002</v>
      </c>
      <c r="J4" s="2">
        <v>76.510705799999997</v>
      </c>
      <c r="L4" s="47">
        <f>AVERAGE(H3:H5011)</f>
        <v>34.198329829584665</v>
      </c>
      <c r="M4" s="2"/>
    </row>
    <row r="5" spans="1:13">
      <c r="A5" t="s">
        <v>52</v>
      </c>
      <c r="B5" s="2"/>
      <c r="C5" s="1">
        <v>109.4636738</v>
      </c>
      <c r="D5" s="1">
        <v>6.0813540589999997</v>
      </c>
      <c r="E5" s="1"/>
      <c r="H5" s="2">
        <v>46.430556099999997</v>
      </c>
      <c r="I5" s="2">
        <v>23.817496999999999</v>
      </c>
      <c r="J5" s="2">
        <v>43.313193699999999</v>
      </c>
      <c r="L5" s="2" t="s">
        <v>52</v>
      </c>
      <c r="M5" s="2"/>
    </row>
    <row r="6" spans="1:13">
      <c r="A6" s="48">
        <f xml:space="preserve"> AVERAGE(D3:D5011)</f>
        <v>26.38405483004501</v>
      </c>
      <c r="B6" s="2"/>
      <c r="C6" s="1">
        <v>27.39912584</v>
      </c>
      <c r="D6" s="1">
        <v>0.79809527199999997</v>
      </c>
      <c r="E6" s="1"/>
      <c r="H6" s="2">
        <v>13.954148699999999</v>
      </c>
      <c r="I6" s="2">
        <v>8.7372280199999999</v>
      </c>
      <c r="J6" s="2">
        <v>10.602346799999999</v>
      </c>
      <c r="L6" s="49">
        <f>AVERAGE(I3:I5011)</f>
        <v>30.288055462341791</v>
      </c>
      <c r="M6" s="2"/>
    </row>
    <row r="7" spans="1:13">
      <c r="B7" s="2"/>
      <c r="C7" s="1">
        <v>8.742603398</v>
      </c>
      <c r="D7" s="1">
        <v>0.29681229100000001</v>
      </c>
      <c r="E7" s="1"/>
      <c r="H7" s="2">
        <v>12.4611856</v>
      </c>
      <c r="I7" s="2">
        <v>10.991495</v>
      </c>
      <c r="J7" s="2">
        <v>9.4552076199999995</v>
      </c>
      <c r="L7" s="2" t="s">
        <v>53</v>
      </c>
      <c r="M7" s="2"/>
    </row>
    <row r="8" spans="1:13">
      <c r="B8" s="2"/>
      <c r="C8" s="1">
        <v>15.39012159</v>
      </c>
      <c r="D8" s="1">
        <v>0.80469110099999996</v>
      </c>
      <c r="E8" s="1"/>
      <c r="H8" s="2">
        <v>16.529658699999999</v>
      </c>
      <c r="I8" s="2">
        <v>8.7372280199999999</v>
      </c>
      <c r="J8" s="2">
        <v>10.7066322</v>
      </c>
      <c r="L8" s="50">
        <f>AVERAGE(J3:J5011)</f>
        <v>29.644307202297924</v>
      </c>
      <c r="M8" s="2"/>
    </row>
    <row r="9" spans="1:13">
      <c r="B9" s="2"/>
      <c r="C9" s="1">
        <v>72.89326715</v>
      </c>
      <c r="D9" s="1">
        <v>2.565777363</v>
      </c>
      <c r="E9" s="1"/>
      <c r="H9" s="2">
        <v>30.007962500000001</v>
      </c>
      <c r="I9" s="2">
        <v>22.853603499999998</v>
      </c>
      <c r="J9" s="2">
        <v>22.421356299999999</v>
      </c>
      <c r="L9" s="2"/>
      <c r="M9" s="2"/>
    </row>
    <row r="10" spans="1:13">
      <c r="B10" s="2"/>
      <c r="C10" s="1">
        <v>106.9217981</v>
      </c>
      <c r="D10" s="1">
        <v>379.31291670000002</v>
      </c>
      <c r="E10" s="1"/>
      <c r="H10" s="2">
        <v>60.140834400000003</v>
      </c>
      <c r="I10" s="2">
        <v>61.766916299999998</v>
      </c>
      <c r="J10" s="2">
        <v>36.360835199999997</v>
      </c>
      <c r="L10" s="2"/>
      <c r="M10" s="2"/>
    </row>
    <row r="11" spans="1:13">
      <c r="B11" s="2"/>
      <c r="C11" s="1">
        <v>18.928219370000001</v>
      </c>
      <c r="D11" s="1">
        <v>0.44851635099999998</v>
      </c>
      <c r="E11" s="1"/>
      <c r="H11" s="2">
        <v>13.2046931</v>
      </c>
      <c r="I11" s="2">
        <v>8.7994146999999998</v>
      </c>
      <c r="J11" s="2">
        <v>8.2037830799999991</v>
      </c>
      <c r="L11" s="2"/>
      <c r="M11" s="2"/>
    </row>
    <row r="12" spans="1:13">
      <c r="B12" s="2"/>
      <c r="C12" s="1">
        <v>34.76513147</v>
      </c>
      <c r="D12" s="1">
        <v>0.89043687400000004</v>
      </c>
      <c r="E12" s="1"/>
      <c r="H12" s="2">
        <v>20.288832599999999</v>
      </c>
      <c r="I12" s="2">
        <v>13.7743488</v>
      </c>
      <c r="J12" s="2">
        <v>16.546613300000001</v>
      </c>
      <c r="L12" s="2"/>
      <c r="M12" s="2"/>
    </row>
    <row r="13" spans="1:13">
      <c r="B13" s="2"/>
      <c r="C13" s="1">
        <v>9.1229790990000001</v>
      </c>
      <c r="D13" s="1">
        <v>0.25064149099999999</v>
      </c>
      <c r="E13" s="1"/>
      <c r="H13" s="2">
        <v>6.8581131500000003</v>
      </c>
      <c r="I13" s="2">
        <v>11.6910951</v>
      </c>
      <c r="J13" s="2">
        <v>5.9095047599999999</v>
      </c>
      <c r="L13" s="2"/>
      <c r="M13" s="2"/>
    </row>
    <row r="14" spans="1:13">
      <c r="B14" s="2"/>
      <c r="C14" s="1">
        <v>25.63611466</v>
      </c>
      <c r="D14" s="1">
        <v>103.8183437</v>
      </c>
      <c r="E14" s="1"/>
      <c r="H14" s="2">
        <v>51.783810099999997</v>
      </c>
      <c r="I14" s="2">
        <v>61.533716200000001</v>
      </c>
      <c r="J14" s="2">
        <v>43.973667800000001</v>
      </c>
      <c r="L14" s="2"/>
      <c r="M14" s="2"/>
    </row>
    <row r="15" spans="1:13">
      <c r="B15" s="2"/>
      <c r="C15" s="1">
        <v>206.27834609999999</v>
      </c>
      <c r="D15" s="1">
        <v>15.942117959999999</v>
      </c>
      <c r="E15" s="1"/>
      <c r="H15" s="2">
        <v>230.40405100000001</v>
      </c>
      <c r="I15" s="2">
        <v>212.22757999999999</v>
      </c>
      <c r="J15" s="2">
        <v>264.64152799999999</v>
      </c>
      <c r="L15" s="2"/>
      <c r="M15" s="2"/>
    </row>
    <row r="16" spans="1:13">
      <c r="B16" s="2"/>
      <c r="C16" s="1">
        <v>19.749347870000001</v>
      </c>
      <c r="D16" s="1">
        <v>61.822702380000003</v>
      </c>
      <c r="E16" s="1"/>
      <c r="H16" s="2">
        <v>19.283610400000001</v>
      </c>
      <c r="I16" s="2">
        <v>22.6514968</v>
      </c>
      <c r="J16" s="2">
        <v>16.442328</v>
      </c>
      <c r="L16" s="2"/>
      <c r="M16" s="2"/>
    </row>
    <row r="17" spans="2:13">
      <c r="B17" s="2"/>
      <c r="C17" s="1">
        <v>5.7418617620000001</v>
      </c>
      <c r="D17" s="1">
        <v>0.18468320399999999</v>
      </c>
      <c r="E17" s="1"/>
      <c r="H17" s="2">
        <v>4.4967333399999996</v>
      </c>
      <c r="I17" s="2">
        <v>6.9493610800000001</v>
      </c>
      <c r="J17" s="2">
        <v>4.1366533299999997</v>
      </c>
      <c r="L17" s="2"/>
      <c r="M17" s="2"/>
    </row>
    <row r="18" spans="2:13">
      <c r="B18" s="2"/>
      <c r="C18" s="1">
        <v>28.654969430000001</v>
      </c>
      <c r="D18" s="1">
        <v>3.8189848159999999</v>
      </c>
      <c r="E18" s="1"/>
      <c r="H18" s="2">
        <v>57.910311900000004</v>
      </c>
      <c r="I18" s="2">
        <v>65.404836799999998</v>
      </c>
      <c r="J18" s="2">
        <v>44.599380099999998</v>
      </c>
      <c r="L18" s="2"/>
      <c r="M18" s="2"/>
    </row>
    <row r="19" spans="2:13">
      <c r="B19" s="2"/>
      <c r="C19" s="1">
        <v>5.3916746099999999</v>
      </c>
      <c r="D19" s="1">
        <v>0.13851240300000001</v>
      </c>
      <c r="E19" s="1"/>
      <c r="H19" s="2">
        <v>5.4305787499999996</v>
      </c>
      <c r="I19" s="2">
        <v>6.2031209599999997</v>
      </c>
      <c r="J19" s="2">
        <v>4.51903305</v>
      </c>
      <c r="L19" s="2"/>
      <c r="M19" s="2"/>
    </row>
    <row r="20" spans="2:13">
      <c r="B20" s="2"/>
      <c r="C20" s="1">
        <v>28.600630039999999</v>
      </c>
      <c r="D20" s="1">
        <v>0.87064938800000002</v>
      </c>
      <c r="E20" s="1"/>
      <c r="H20" s="2">
        <v>35.170878600000002</v>
      </c>
      <c r="I20" s="2">
        <v>26.009577400000001</v>
      </c>
      <c r="J20" s="2">
        <v>28.608955399999999</v>
      </c>
      <c r="L20" s="2"/>
      <c r="M20" s="2"/>
    </row>
    <row r="21" spans="2:13">
      <c r="B21" s="2"/>
      <c r="C21" s="1">
        <v>60.159737749999998</v>
      </c>
      <c r="D21" s="1">
        <v>3.9047305890000001</v>
      </c>
      <c r="E21" s="1"/>
      <c r="H21" s="2">
        <v>55.418074699999998</v>
      </c>
      <c r="I21" s="2">
        <v>43.0953667</v>
      </c>
      <c r="J21" s="2">
        <v>64.100745799999999</v>
      </c>
      <c r="L21" s="2"/>
      <c r="M21" s="2"/>
    </row>
    <row r="22" spans="2:13">
      <c r="B22" s="2"/>
      <c r="C22" s="1">
        <v>16.301815730000001</v>
      </c>
      <c r="D22" s="1">
        <v>0.50128298100000002</v>
      </c>
      <c r="E22" s="1"/>
      <c r="H22" s="2">
        <v>22.221952000000002</v>
      </c>
      <c r="I22" s="2">
        <v>16.992509299999998</v>
      </c>
      <c r="J22" s="2">
        <v>26.662295</v>
      </c>
      <c r="L22" s="2"/>
      <c r="M22" s="2"/>
    </row>
    <row r="23" spans="2:13">
      <c r="B23" s="2"/>
      <c r="C23" s="1">
        <v>31.716088160000002</v>
      </c>
      <c r="D23" s="1">
        <v>0.90362853200000004</v>
      </c>
      <c r="E23" s="1"/>
      <c r="H23" s="2">
        <v>13.525888399999999</v>
      </c>
      <c r="I23" s="2">
        <v>11.3801618</v>
      </c>
      <c r="J23" s="2">
        <v>10.011396299999999</v>
      </c>
      <c r="L23" s="2"/>
      <c r="M23" s="2"/>
    </row>
    <row r="24" spans="2:13">
      <c r="B24" s="2"/>
      <c r="C24" s="1">
        <v>40.380201329999998</v>
      </c>
      <c r="D24" s="1">
        <v>3.6013224689999999</v>
      </c>
      <c r="E24" s="1"/>
      <c r="H24" s="2">
        <v>50.487133</v>
      </c>
      <c r="I24" s="2">
        <v>32.725738399999997</v>
      </c>
      <c r="J24" s="2">
        <v>54.576014600000001</v>
      </c>
      <c r="L24" s="2"/>
      <c r="M24" s="2"/>
    </row>
    <row r="25" spans="2:13">
      <c r="B25" s="2"/>
      <c r="C25" s="1">
        <v>22.92518308</v>
      </c>
      <c r="D25" s="1">
        <v>0.98277847600000001</v>
      </c>
      <c r="E25" s="1"/>
      <c r="H25" s="2">
        <v>29.2168706</v>
      </c>
      <c r="I25" s="2">
        <v>32.834565099999999</v>
      </c>
      <c r="J25" s="2">
        <v>27.600863400000001</v>
      </c>
      <c r="L25" s="2"/>
      <c r="M25" s="2"/>
    </row>
    <row r="26" spans="2:13">
      <c r="B26" s="2"/>
      <c r="C26" s="1">
        <v>33.279854919999998</v>
      </c>
      <c r="D26" s="1">
        <v>2.1832192990000001</v>
      </c>
      <c r="E26" s="1"/>
      <c r="H26" s="2">
        <v>27.6406347</v>
      </c>
      <c r="I26" s="2">
        <v>21.485496699999999</v>
      </c>
      <c r="J26" s="2">
        <v>20.439934099999999</v>
      </c>
      <c r="L26" s="2"/>
      <c r="M26" s="2"/>
    </row>
    <row r="27" spans="2:13">
      <c r="B27" s="2"/>
      <c r="C27" s="1">
        <v>10.113163460000001</v>
      </c>
      <c r="D27" s="1">
        <v>108.158399</v>
      </c>
      <c r="E27" s="1"/>
      <c r="H27" s="2">
        <v>10.3496243</v>
      </c>
      <c r="I27" s="2">
        <v>6.7628010500000002</v>
      </c>
      <c r="J27" s="2">
        <v>5.1795071200000002</v>
      </c>
      <c r="L27" s="2"/>
      <c r="M27" s="2"/>
    </row>
    <row r="28" spans="2:13">
      <c r="B28" s="2"/>
      <c r="C28" s="1">
        <v>26.300262709999998</v>
      </c>
      <c r="D28" s="1">
        <v>2.9219521130000001</v>
      </c>
      <c r="E28" s="1"/>
      <c r="H28" s="2">
        <v>12.7823809</v>
      </c>
      <c r="I28" s="2">
        <v>7.07373443</v>
      </c>
      <c r="J28" s="2">
        <v>8.9337807300000005</v>
      </c>
      <c r="L28" s="2"/>
      <c r="M28" s="2"/>
    </row>
    <row r="29" spans="2:13">
      <c r="B29" s="2"/>
      <c r="C29" s="1">
        <v>27.471578359999999</v>
      </c>
      <c r="D29" s="1">
        <v>66.65084899</v>
      </c>
      <c r="E29" s="1"/>
      <c r="H29" s="2">
        <v>38.311454300000001</v>
      </c>
      <c r="I29" s="2">
        <v>27.657524299999999</v>
      </c>
      <c r="J29" s="2">
        <v>25.654202999999999</v>
      </c>
      <c r="L29" s="2"/>
      <c r="M29" s="2"/>
    </row>
    <row r="30" spans="2:13">
      <c r="B30" s="2"/>
      <c r="C30" s="1">
        <v>14.689747280000001</v>
      </c>
      <c r="D30" s="1">
        <v>0.69915784199999997</v>
      </c>
      <c r="E30" s="1"/>
      <c r="H30" s="2">
        <v>12.1459385</v>
      </c>
      <c r="I30" s="2">
        <v>8.3641079600000001</v>
      </c>
      <c r="J30" s="2">
        <v>8.9337807300000005</v>
      </c>
      <c r="L30" s="2"/>
      <c r="M30" s="2"/>
    </row>
    <row r="31" spans="2:13">
      <c r="B31" s="2"/>
      <c r="C31" s="1">
        <v>36.377199910000002</v>
      </c>
      <c r="D31" s="1">
        <v>2.2227942710000002</v>
      </c>
      <c r="E31" s="1"/>
      <c r="H31" s="2">
        <v>55.465659199999997</v>
      </c>
      <c r="I31" s="2">
        <v>44.105900200000001</v>
      </c>
      <c r="J31" s="2">
        <v>40.323679599999998</v>
      </c>
      <c r="L31" s="2"/>
      <c r="M31" s="2"/>
    </row>
    <row r="32" spans="2:13">
      <c r="B32" s="2"/>
      <c r="C32" s="1">
        <v>67.338574379999997</v>
      </c>
      <c r="D32" s="1">
        <v>2.104069355</v>
      </c>
      <c r="E32" s="1"/>
      <c r="H32" s="2">
        <v>40.809639500000003</v>
      </c>
      <c r="I32" s="2">
        <v>32.523631700000003</v>
      </c>
      <c r="J32" s="2">
        <v>25.967059200000001</v>
      </c>
      <c r="L32" s="2"/>
      <c r="M32" s="2"/>
    </row>
    <row r="33" spans="2:13">
      <c r="B33" s="2"/>
      <c r="C33" s="1">
        <v>9.4007137370000002</v>
      </c>
      <c r="D33" s="1">
        <v>0.237449833</v>
      </c>
      <c r="E33" s="1"/>
      <c r="H33" s="2">
        <v>8.8626093600000004</v>
      </c>
      <c r="I33" s="2">
        <v>11.1003217</v>
      </c>
      <c r="J33" s="2">
        <v>8.9337807300000005</v>
      </c>
      <c r="L33" s="2"/>
      <c r="M33" s="2"/>
    </row>
    <row r="34" spans="2:13">
      <c r="B34" s="2"/>
      <c r="C34" s="1">
        <v>16.012005670000001</v>
      </c>
      <c r="D34" s="1">
        <v>1.510444772</v>
      </c>
      <c r="E34" s="1"/>
      <c r="H34" s="2">
        <v>55.168256200000002</v>
      </c>
      <c r="I34" s="2">
        <v>59.994596000000001</v>
      </c>
      <c r="J34" s="2">
        <v>43.104622999999997</v>
      </c>
      <c r="L34" s="2"/>
      <c r="M34" s="2"/>
    </row>
    <row r="35" spans="2:13">
      <c r="B35" s="2"/>
      <c r="C35" s="1">
        <v>72.832890050000003</v>
      </c>
      <c r="D35" s="1">
        <v>2.3744983309999999</v>
      </c>
      <c r="E35" s="1"/>
      <c r="H35" s="2">
        <v>59.694729899999999</v>
      </c>
      <c r="I35" s="2">
        <v>36.099365599999999</v>
      </c>
      <c r="J35" s="2">
        <v>54.4369674</v>
      </c>
      <c r="L35" s="2"/>
      <c r="M35" s="2"/>
    </row>
    <row r="36" spans="2:13">
      <c r="B36" s="2"/>
      <c r="C36" s="1">
        <v>52.383167880000002</v>
      </c>
      <c r="D36" s="1">
        <v>219.11342930000001</v>
      </c>
      <c r="E36" s="1"/>
      <c r="H36" s="2">
        <v>60.396600900000003</v>
      </c>
      <c r="I36" s="2">
        <v>71.825611100000003</v>
      </c>
      <c r="J36" s="2">
        <v>61.8759911</v>
      </c>
      <c r="L36" s="2"/>
      <c r="M36" s="2"/>
    </row>
    <row r="37" spans="2:13">
      <c r="B37" s="2"/>
      <c r="C37" s="1">
        <v>3.4475321409999999</v>
      </c>
      <c r="D37" s="1">
        <v>0.118724917</v>
      </c>
      <c r="E37" s="1"/>
      <c r="H37" s="2">
        <v>3.1822120800000002</v>
      </c>
      <c r="I37" s="2">
        <v>3.9488539500000002</v>
      </c>
      <c r="J37" s="2">
        <v>2.3290401100000002</v>
      </c>
      <c r="L37" s="2"/>
      <c r="M37" s="2"/>
    </row>
    <row r="38" spans="2:13">
      <c r="B38" s="2"/>
      <c r="C38" s="1">
        <v>20.491986140000002</v>
      </c>
      <c r="D38" s="1">
        <v>0.98937430500000001</v>
      </c>
      <c r="E38" s="1"/>
      <c r="H38" s="2">
        <v>19.307402700000001</v>
      </c>
      <c r="I38" s="2">
        <v>12.965922000000001</v>
      </c>
      <c r="J38" s="2">
        <v>16.894231300000001</v>
      </c>
      <c r="L38" s="2"/>
      <c r="M38" s="2"/>
    </row>
    <row r="39" spans="2:13">
      <c r="B39" s="2"/>
      <c r="C39" s="1">
        <v>147.19332059999999</v>
      </c>
      <c r="D39" s="1">
        <v>8.1854234140000006</v>
      </c>
      <c r="E39" s="1"/>
      <c r="H39" s="2">
        <v>94.026932000000002</v>
      </c>
      <c r="I39" s="2">
        <v>58.688675799999999</v>
      </c>
      <c r="J39" s="2">
        <v>84.644965299999996</v>
      </c>
      <c r="L39" s="2"/>
      <c r="M39" s="2"/>
    </row>
    <row r="40" spans="2:13">
      <c r="B40" s="2"/>
      <c r="C40" s="1">
        <v>10.98259363</v>
      </c>
      <c r="D40" s="1">
        <v>0.31659977700000003</v>
      </c>
      <c r="E40" s="1"/>
      <c r="H40" s="2">
        <v>6.8105286700000001</v>
      </c>
      <c r="I40" s="2">
        <v>5.8455475699999999</v>
      </c>
      <c r="J40" s="2">
        <v>4.1714151299999997</v>
      </c>
      <c r="L40" s="2"/>
      <c r="M40" s="2"/>
    </row>
    <row r="41" spans="2:13">
      <c r="B41" s="2"/>
      <c r="C41" s="1">
        <v>6.828649478</v>
      </c>
      <c r="D41" s="1">
        <v>0.44851635099999998</v>
      </c>
      <c r="E41" s="1"/>
      <c r="H41" s="2">
        <v>8.3629723200000008</v>
      </c>
      <c r="I41" s="2">
        <v>7.3846678099999998</v>
      </c>
      <c r="J41" s="2">
        <v>5.8052193900000004</v>
      </c>
      <c r="L41" s="2"/>
      <c r="M41" s="2"/>
    </row>
    <row r="42" spans="2:13">
      <c r="B42" s="2"/>
      <c r="C42" s="1">
        <v>21.31915235</v>
      </c>
      <c r="D42" s="1">
        <v>1.840236207</v>
      </c>
      <c r="E42" s="1"/>
      <c r="H42" s="2">
        <v>17.296958400000001</v>
      </c>
      <c r="I42" s="2">
        <v>11.2091484</v>
      </c>
      <c r="J42" s="2">
        <v>12.0623421</v>
      </c>
      <c r="L42" s="2"/>
      <c r="M42" s="2"/>
    </row>
    <row r="43" spans="2:13">
      <c r="B43" s="2"/>
      <c r="C43" s="1">
        <v>3.0671564409999998</v>
      </c>
      <c r="D43" s="1">
        <v>65.26572496</v>
      </c>
      <c r="E43" s="1"/>
      <c r="H43" s="2">
        <v>1.4096902099999999</v>
      </c>
      <c r="I43" s="2">
        <v>0.73069344999999997</v>
      </c>
      <c r="J43" s="2">
        <v>0.90380660999999995</v>
      </c>
      <c r="L43" s="2"/>
      <c r="M43" s="2"/>
    </row>
    <row r="44" spans="2:13">
      <c r="B44" s="2"/>
      <c r="C44" s="1">
        <v>2.680743031</v>
      </c>
      <c r="D44" s="1">
        <v>0.15170406</v>
      </c>
      <c r="E44" s="1"/>
      <c r="H44" s="2">
        <v>4.3718240799999997</v>
      </c>
      <c r="I44" s="2">
        <v>3.54464055</v>
      </c>
      <c r="J44" s="2">
        <v>3.4761792699999998</v>
      </c>
      <c r="L44" s="2"/>
      <c r="M44" s="2"/>
    </row>
    <row r="45" spans="2:13">
      <c r="B45" s="2"/>
      <c r="C45" s="1">
        <v>14.67163416</v>
      </c>
      <c r="D45" s="1">
        <v>0.91022435999999995</v>
      </c>
      <c r="E45" s="1"/>
      <c r="H45" s="2">
        <v>15.3578908</v>
      </c>
      <c r="I45" s="2">
        <v>16.495015899999999</v>
      </c>
      <c r="J45" s="2">
        <v>11.7842477</v>
      </c>
      <c r="L45" s="2"/>
      <c r="M45" s="2"/>
    </row>
    <row r="46" spans="2:13">
      <c r="B46" s="2"/>
      <c r="C46" s="1">
        <v>103.16030499999999</v>
      </c>
      <c r="D46" s="1">
        <v>3.9047305890000001</v>
      </c>
      <c r="E46" s="1"/>
      <c r="H46" s="2">
        <v>97.774209799999994</v>
      </c>
      <c r="I46" s="2">
        <v>57.989075700000001</v>
      </c>
      <c r="J46" s="2">
        <v>84.332109200000005</v>
      </c>
      <c r="L46" s="2"/>
      <c r="M46" s="2"/>
    </row>
    <row r="47" spans="2:13">
      <c r="B47" s="2"/>
      <c r="C47" s="1">
        <v>3.3509287890000001</v>
      </c>
      <c r="D47" s="1">
        <v>0.118724917</v>
      </c>
      <c r="E47" s="1"/>
      <c r="H47" s="2">
        <v>2.2662108500000002</v>
      </c>
      <c r="I47" s="2">
        <v>4.6795473899999998</v>
      </c>
      <c r="J47" s="2">
        <v>1.3904717099999999</v>
      </c>
      <c r="L47" s="2"/>
      <c r="M47" s="2"/>
    </row>
    <row r="48" spans="2:13">
      <c r="B48" s="2"/>
      <c r="C48" s="1">
        <v>8.6822263030000002</v>
      </c>
      <c r="D48" s="1">
        <v>0.42872886500000001</v>
      </c>
      <c r="E48" s="1"/>
      <c r="H48" s="2">
        <v>15.768307</v>
      </c>
      <c r="I48" s="2">
        <v>11.9553885</v>
      </c>
      <c r="J48" s="2">
        <v>13.209481200000001</v>
      </c>
      <c r="L48" s="2"/>
      <c r="M48" s="2"/>
    </row>
    <row r="49" spans="2:13">
      <c r="B49" s="2"/>
      <c r="C49" s="1">
        <v>71.021577190000002</v>
      </c>
      <c r="D49" s="1">
        <v>2.1106651830000001</v>
      </c>
      <c r="E49" s="1"/>
      <c r="H49" s="2">
        <v>39.655715800000003</v>
      </c>
      <c r="I49" s="2">
        <v>36.285925599999999</v>
      </c>
      <c r="J49" s="2">
        <v>33.440844599999998</v>
      </c>
      <c r="L49" s="2"/>
      <c r="M49" s="2"/>
    </row>
    <row r="50" spans="2:13">
      <c r="B50" s="2"/>
      <c r="C50" s="1">
        <v>5.8626159529999997</v>
      </c>
      <c r="D50" s="1">
        <v>0.41553720799999999</v>
      </c>
      <c r="E50" s="1"/>
      <c r="H50" s="2">
        <v>10.189026699999999</v>
      </c>
      <c r="I50" s="2">
        <v>7.3380278099999998</v>
      </c>
      <c r="J50" s="2">
        <v>8.1342595000000006</v>
      </c>
      <c r="L50" s="2"/>
      <c r="M50" s="2"/>
    </row>
    <row r="51" spans="2:13">
      <c r="B51" s="2"/>
      <c r="C51" s="1">
        <v>5.464127124</v>
      </c>
      <c r="D51" s="1">
        <v>0.34298309199999999</v>
      </c>
      <c r="E51" s="1"/>
      <c r="H51" s="2">
        <v>14.697656200000001</v>
      </c>
      <c r="I51" s="2">
        <v>20.1951231</v>
      </c>
      <c r="J51" s="2">
        <v>19.084224200000001</v>
      </c>
      <c r="L51" s="2"/>
      <c r="M51" s="2"/>
    </row>
    <row r="52" spans="2:13">
      <c r="B52" s="2"/>
      <c r="C52" s="1">
        <v>22.315374420000001</v>
      </c>
      <c r="D52" s="1">
        <v>1.2663991100000001</v>
      </c>
      <c r="E52" s="1"/>
      <c r="H52" s="2">
        <v>18.236751900000002</v>
      </c>
      <c r="I52" s="2">
        <v>18.764829599999999</v>
      </c>
      <c r="J52" s="2">
        <v>14.078526099999999</v>
      </c>
      <c r="L52" s="2"/>
      <c r="M52" s="2"/>
    </row>
    <row r="53" spans="2:13">
      <c r="B53" s="2"/>
      <c r="C53" s="1">
        <v>15.81879897</v>
      </c>
      <c r="D53" s="1">
        <v>1.662148832</v>
      </c>
      <c r="E53" s="1"/>
      <c r="H53" s="2">
        <v>29.853313</v>
      </c>
      <c r="I53" s="2">
        <v>10.836028300000001</v>
      </c>
      <c r="J53" s="2">
        <v>23.811827999999998</v>
      </c>
      <c r="L53" s="2"/>
      <c r="M53" s="2"/>
    </row>
    <row r="54" spans="2:13">
      <c r="B54" s="2"/>
      <c r="C54" s="1">
        <v>3.7131913600000002</v>
      </c>
      <c r="D54" s="1">
        <v>0.13191657400000001</v>
      </c>
      <c r="E54" s="1"/>
      <c r="H54" s="2">
        <v>3.6461607599999999</v>
      </c>
      <c r="I54" s="2">
        <v>4.6484540499999998</v>
      </c>
      <c r="J54" s="2">
        <v>2.8504670000000001</v>
      </c>
      <c r="L54" s="2"/>
      <c r="M54" s="2"/>
    </row>
    <row r="55" spans="2:13">
      <c r="B55" s="2"/>
      <c r="C55" s="1">
        <v>183.7878781</v>
      </c>
      <c r="D55" s="1">
        <v>56.677956000000002</v>
      </c>
      <c r="E55" s="1"/>
      <c r="H55" s="2">
        <v>152.407141</v>
      </c>
      <c r="I55" s="2">
        <v>190.882003</v>
      </c>
      <c r="J55" s="2">
        <v>146.38190900000001</v>
      </c>
      <c r="L55" s="2"/>
      <c r="M55" s="2"/>
    </row>
    <row r="56" spans="2:13">
      <c r="B56" s="2"/>
      <c r="C56" s="1">
        <v>42.517550499999999</v>
      </c>
      <c r="D56" s="1">
        <v>2.9747187429999999</v>
      </c>
      <c r="E56" s="1"/>
      <c r="H56" s="2">
        <v>32.238484999999997</v>
      </c>
      <c r="I56" s="2">
        <v>36.332565600000002</v>
      </c>
      <c r="J56" s="2">
        <v>36.1522644</v>
      </c>
      <c r="L56" s="2"/>
      <c r="M56" s="2"/>
    </row>
    <row r="57" spans="2:13">
      <c r="B57" s="2"/>
      <c r="C57" s="1">
        <v>17.020303160000001</v>
      </c>
      <c r="D57" s="1">
        <v>1.3653365399999999</v>
      </c>
      <c r="E57" s="1"/>
      <c r="H57" s="2">
        <v>16.523710600000001</v>
      </c>
      <c r="I57" s="2">
        <v>13.370135400000001</v>
      </c>
      <c r="J57" s="2">
        <v>14.8432855</v>
      </c>
      <c r="L57" s="2"/>
      <c r="M57" s="2"/>
    </row>
    <row r="58" spans="2:13">
      <c r="B58" s="2"/>
      <c r="C58" s="1">
        <v>86.725659680000007</v>
      </c>
      <c r="D58" s="1">
        <v>2.7966313679999999</v>
      </c>
      <c r="E58" s="1"/>
      <c r="H58" s="2">
        <v>71.477836699999997</v>
      </c>
      <c r="I58" s="2">
        <v>42.939900000000002</v>
      </c>
      <c r="J58" s="2">
        <v>86.800196400000004</v>
      </c>
      <c r="L58" s="2"/>
      <c r="M58" s="2"/>
    </row>
    <row r="59" spans="2:13">
      <c r="B59" s="2"/>
      <c r="C59" s="1">
        <v>1.110938553</v>
      </c>
      <c r="D59" s="1">
        <v>7.9149944E-2</v>
      </c>
      <c r="E59" s="1"/>
      <c r="H59" s="2">
        <v>1.0052221299999999</v>
      </c>
      <c r="I59" s="2">
        <v>1.2437335300000001</v>
      </c>
      <c r="J59" s="2">
        <v>0.79952122999999997</v>
      </c>
      <c r="L59" s="2"/>
      <c r="M59" s="2"/>
    </row>
    <row r="60" spans="2:13">
      <c r="B60" s="2"/>
      <c r="C60" s="1">
        <v>19.646706810000001</v>
      </c>
      <c r="D60" s="1">
        <v>1.787469577</v>
      </c>
      <c r="E60" s="1"/>
      <c r="H60" s="2">
        <v>37.002881100000003</v>
      </c>
      <c r="I60" s="2">
        <v>31.2643515</v>
      </c>
      <c r="J60" s="2">
        <v>36.882262099999998</v>
      </c>
      <c r="L60" s="2"/>
      <c r="M60" s="2"/>
    </row>
    <row r="61" spans="2:13">
      <c r="B61" s="2"/>
      <c r="C61" s="1">
        <v>20.902550389999998</v>
      </c>
      <c r="D61" s="1">
        <v>4.5511218009999999</v>
      </c>
      <c r="E61" s="1"/>
      <c r="H61" s="2">
        <v>20.610027800000001</v>
      </c>
      <c r="I61" s="2">
        <v>19.262322999999999</v>
      </c>
      <c r="J61" s="2">
        <v>16.129471800000001</v>
      </c>
      <c r="L61" s="2"/>
      <c r="M61" s="2"/>
    </row>
    <row r="62" spans="2:13">
      <c r="B62" s="2"/>
      <c r="C62" s="1">
        <v>5.1622416470000001</v>
      </c>
      <c r="D62" s="1">
        <v>0.481495495</v>
      </c>
      <c r="E62" s="1"/>
      <c r="H62" s="2">
        <v>13.115472199999999</v>
      </c>
      <c r="I62" s="2">
        <v>8.9859747300000006</v>
      </c>
      <c r="J62" s="2">
        <v>10.1852053</v>
      </c>
      <c r="L62" s="2"/>
      <c r="M62" s="2"/>
    </row>
    <row r="63" spans="2:13">
      <c r="B63" s="2"/>
      <c r="C63" s="1">
        <v>13.971259849999999</v>
      </c>
      <c r="D63" s="1">
        <v>0.45511217999999998</v>
      </c>
      <c r="E63" s="1"/>
      <c r="H63" s="2">
        <v>10.789780800000001</v>
      </c>
      <c r="I63" s="2">
        <v>11.784375199999999</v>
      </c>
      <c r="J63" s="2">
        <v>6.2571226900000001</v>
      </c>
      <c r="L63" s="2"/>
      <c r="M63" s="2"/>
    </row>
    <row r="64" spans="2:13">
      <c r="B64" s="2"/>
      <c r="C64" s="1">
        <v>6.2731802009999997</v>
      </c>
      <c r="D64" s="1">
        <v>0.20447069000000001</v>
      </c>
      <c r="E64" s="1"/>
      <c r="H64" s="2">
        <v>7.0187107600000003</v>
      </c>
      <c r="I64" s="2">
        <v>5.1459474700000003</v>
      </c>
      <c r="J64" s="2">
        <v>5.3533160799999999</v>
      </c>
      <c r="L64" s="2"/>
      <c r="M64" s="2"/>
    </row>
    <row r="65" spans="2:13">
      <c r="B65" s="2"/>
      <c r="C65" s="1">
        <v>4.1297933179999999</v>
      </c>
      <c r="D65" s="1">
        <v>0.17149154599999999</v>
      </c>
      <c r="E65" s="1"/>
      <c r="H65" s="2">
        <v>6.5190737299999997</v>
      </c>
      <c r="I65" s="2">
        <v>7.0115477500000001</v>
      </c>
      <c r="J65" s="2">
        <v>6.5352170300000001</v>
      </c>
      <c r="L65" s="2"/>
      <c r="M65" s="2"/>
    </row>
    <row r="66" spans="2:13">
      <c r="B66" s="2"/>
      <c r="C66" s="1">
        <v>62.713688879999999</v>
      </c>
      <c r="D66" s="1">
        <v>4.1553720800000002</v>
      </c>
      <c r="E66" s="1"/>
      <c r="H66" s="2">
        <v>79.775380299999995</v>
      </c>
      <c r="I66" s="2">
        <v>46.111420500000001</v>
      </c>
      <c r="J66" s="2">
        <v>79.952123299999997</v>
      </c>
      <c r="L66" s="2"/>
      <c r="M66" s="2"/>
    </row>
    <row r="67" spans="2:13">
      <c r="B67" s="2"/>
      <c r="C67" s="1">
        <v>22.816504309999999</v>
      </c>
      <c r="D67" s="1">
        <v>0.98277847600000001</v>
      </c>
      <c r="E67" s="1"/>
      <c r="H67" s="2">
        <v>7.2387889799999998</v>
      </c>
      <c r="I67" s="2">
        <v>3.6223738999999999</v>
      </c>
      <c r="J67" s="2">
        <v>3.6152264399999998</v>
      </c>
      <c r="L67" s="2"/>
      <c r="M67" s="2"/>
    </row>
    <row r="68" spans="2:13">
      <c r="B68" s="2"/>
      <c r="C68" s="1">
        <v>43.845846600000002</v>
      </c>
      <c r="D68" s="1">
        <v>1.4246989990000001</v>
      </c>
      <c r="E68" s="1"/>
      <c r="H68" s="2">
        <v>25.362527700000001</v>
      </c>
      <c r="I68" s="2">
        <v>28.5747778</v>
      </c>
      <c r="J68" s="2">
        <v>27.6356252</v>
      </c>
      <c r="L68" s="2"/>
      <c r="M68" s="2"/>
    </row>
    <row r="69" spans="2:13">
      <c r="B69" s="2"/>
      <c r="C69" s="1">
        <v>49.062427630000002</v>
      </c>
      <c r="D69" s="1">
        <v>2.5459898769999998</v>
      </c>
      <c r="E69" s="1"/>
      <c r="H69" s="2">
        <v>17.517036600000001</v>
      </c>
      <c r="I69" s="2">
        <v>31.963951600000001</v>
      </c>
      <c r="J69" s="2">
        <v>12.6185308</v>
      </c>
      <c r="L69" s="2"/>
      <c r="M69" s="2"/>
    </row>
    <row r="70" spans="2:13">
      <c r="B70" s="2"/>
      <c r="C70" s="1">
        <v>47.589226510000003</v>
      </c>
      <c r="D70" s="1">
        <v>4.1619679080000003</v>
      </c>
      <c r="E70" s="1"/>
      <c r="H70" s="2">
        <v>22.858394499999999</v>
      </c>
      <c r="I70" s="2">
        <v>24.392723799999999</v>
      </c>
      <c r="J70" s="2">
        <v>20.266125200000001</v>
      </c>
      <c r="L70" s="2"/>
      <c r="M70" s="2"/>
    </row>
    <row r="71" spans="2:13">
      <c r="B71" s="2"/>
      <c r="C71" s="1">
        <v>14.285220750000001</v>
      </c>
      <c r="D71" s="1">
        <v>1.0289492769999999</v>
      </c>
      <c r="E71" s="1"/>
      <c r="H71" s="2">
        <v>38.668337899999997</v>
      </c>
      <c r="I71" s="2">
        <v>30.9534181</v>
      </c>
      <c r="J71" s="2">
        <v>24.5418257</v>
      </c>
      <c r="L71" s="2"/>
      <c r="M71" s="2"/>
    </row>
    <row r="72" spans="2:13">
      <c r="B72" s="2"/>
      <c r="C72" s="1">
        <v>54.677497500000001</v>
      </c>
      <c r="D72" s="1">
        <v>1.912790322</v>
      </c>
      <c r="E72" s="1"/>
      <c r="H72" s="2">
        <v>49.255884600000002</v>
      </c>
      <c r="I72" s="2">
        <v>59.155075799999999</v>
      </c>
      <c r="J72" s="2">
        <v>42.444148900000002</v>
      </c>
      <c r="L72" s="2"/>
      <c r="M72" s="2"/>
    </row>
    <row r="73" spans="2:13">
      <c r="B73" s="2"/>
      <c r="C73" s="1">
        <v>70.260825789999998</v>
      </c>
      <c r="D73" s="1">
        <v>515.22656289999998</v>
      </c>
      <c r="E73" s="1"/>
      <c r="H73" s="2">
        <v>63.168396899999998</v>
      </c>
      <c r="I73" s="2">
        <v>52.096888100000001</v>
      </c>
      <c r="J73" s="2">
        <v>52.177450899999997</v>
      </c>
      <c r="L73" s="2"/>
      <c r="M73" s="2"/>
    </row>
    <row r="74" spans="2:13">
      <c r="B74" s="2"/>
      <c r="C74" s="1">
        <v>38.279078419999998</v>
      </c>
      <c r="D74" s="1">
        <v>1.3191657400000001</v>
      </c>
      <c r="E74" s="1"/>
      <c r="H74" s="2">
        <v>34.570124499999999</v>
      </c>
      <c r="I74" s="2">
        <v>60.865209399999998</v>
      </c>
      <c r="J74" s="2">
        <v>28.1918139</v>
      </c>
      <c r="L74" s="2"/>
      <c r="M74" s="2"/>
    </row>
    <row r="75" spans="2:13">
      <c r="B75" s="2"/>
      <c r="C75" s="1">
        <v>16.00596796</v>
      </c>
      <c r="D75" s="1">
        <v>0.41553720799999999</v>
      </c>
      <c r="E75" s="1"/>
      <c r="H75" s="2">
        <v>15.833735600000001</v>
      </c>
      <c r="I75" s="2">
        <v>10.556188300000001</v>
      </c>
      <c r="J75" s="2">
        <v>9.90711093</v>
      </c>
      <c r="L75" s="2"/>
      <c r="M75" s="2"/>
    </row>
    <row r="76" spans="2:13">
      <c r="B76" s="2"/>
      <c r="C76" s="1">
        <v>21.415755699999998</v>
      </c>
      <c r="D76" s="1">
        <v>0.82447858699999998</v>
      </c>
      <c r="E76" s="1"/>
      <c r="H76" s="2">
        <v>16.4820742</v>
      </c>
      <c r="I76" s="2">
        <v>28.0772844</v>
      </c>
      <c r="J76" s="2">
        <v>15.608044899999999</v>
      </c>
      <c r="L76" s="2"/>
      <c r="M76" s="2"/>
    </row>
    <row r="77" spans="2:13">
      <c r="B77" s="2"/>
      <c r="C77" s="1">
        <v>20.365194240000001</v>
      </c>
      <c r="D77" s="1">
        <v>1.0619284200000001</v>
      </c>
      <c r="E77" s="1"/>
      <c r="H77" s="2">
        <v>19.0575841</v>
      </c>
      <c r="I77" s="2">
        <v>25.201150599999998</v>
      </c>
      <c r="J77" s="2">
        <v>20.057554400000001</v>
      </c>
      <c r="L77" s="2"/>
      <c r="M77" s="2"/>
    </row>
    <row r="78" spans="2:13">
      <c r="B78" s="2"/>
      <c r="C78" s="1">
        <v>16.760681649999999</v>
      </c>
      <c r="D78" s="1">
        <v>1.4312948270000001</v>
      </c>
      <c r="E78" s="1"/>
      <c r="H78" s="2">
        <v>25.0710728</v>
      </c>
      <c r="I78" s="2">
        <v>28.294937699999998</v>
      </c>
      <c r="J78" s="2">
        <v>32.258943700000003</v>
      </c>
      <c r="L78" s="2"/>
      <c r="M78" s="2"/>
    </row>
    <row r="79" spans="2:13">
      <c r="B79" s="2"/>
      <c r="C79" s="1">
        <v>40.398314460000002</v>
      </c>
      <c r="D79" s="1">
        <v>2.3481150159999999</v>
      </c>
      <c r="E79" s="1"/>
      <c r="H79" s="2">
        <v>41.487718299999997</v>
      </c>
      <c r="I79" s="2">
        <v>45.6450204</v>
      </c>
      <c r="J79" s="2">
        <v>36.812738500000002</v>
      </c>
      <c r="L79" s="2"/>
      <c r="M79" s="2"/>
    </row>
    <row r="80" spans="2:13">
      <c r="B80" s="2"/>
      <c r="C80" s="1">
        <v>9.9561830140000005</v>
      </c>
      <c r="D80" s="1">
        <v>0.32319560600000002</v>
      </c>
      <c r="E80" s="1"/>
      <c r="H80" s="2">
        <v>6.6201907499999999</v>
      </c>
      <c r="I80" s="2">
        <v>8.0065345800000003</v>
      </c>
      <c r="J80" s="2">
        <v>4.6233184300000003</v>
      </c>
      <c r="L80" s="2"/>
      <c r="M80" s="2"/>
    </row>
    <row r="81" spans="2:13">
      <c r="B81" s="2"/>
      <c r="C81" s="1">
        <v>31.233071389999999</v>
      </c>
      <c r="D81" s="1">
        <v>6.8200868730000002</v>
      </c>
      <c r="E81" s="1"/>
      <c r="H81" s="2">
        <v>47.417934099999997</v>
      </c>
      <c r="I81" s="2">
        <v>31.917311600000001</v>
      </c>
      <c r="J81" s="2">
        <v>40.671297500000001</v>
      </c>
      <c r="L81" s="2"/>
      <c r="M81" s="2"/>
    </row>
    <row r="82" spans="2:13">
      <c r="B82" s="2"/>
      <c r="C82" s="1">
        <v>37.470025339999999</v>
      </c>
      <c r="D82" s="1">
        <v>1.1806533370000001</v>
      </c>
      <c r="E82" s="1"/>
      <c r="H82" s="2">
        <v>29.9365858</v>
      </c>
      <c r="I82" s="2">
        <v>32.834565099999999</v>
      </c>
      <c r="J82" s="2">
        <v>32.363228999999997</v>
      </c>
      <c r="L82" s="2"/>
      <c r="M82" s="2"/>
    </row>
    <row r="83" spans="2:13">
      <c r="B83" s="2"/>
      <c r="C83" s="1">
        <v>27.99082138</v>
      </c>
      <c r="D83" s="1">
        <v>2.2953483870000002</v>
      </c>
      <c r="E83" s="1"/>
      <c r="H83" s="2">
        <v>36.146360399999999</v>
      </c>
      <c r="I83" s="2">
        <v>30.3937381</v>
      </c>
      <c r="J83" s="2">
        <v>26.140868099999999</v>
      </c>
      <c r="L83" s="2"/>
      <c r="M83" s="2"/>
    </row>
    <row r="84" spans="2:13">
      <c r="B84" s="2"/>
      <c r="C84" s="1">
        <v>9.6422221179999994</v>
      </c>
      <c r="D84" s="1">
        <v>0.26383314800000002</v>
      </c>
      <c r="E84" s="1"/>
      <c r="H84" s="2">
        <v>7.5956725799999996</v>
      </c>
      <c r="I84" s="2">
        <v>5.7678142299999999</v>
      </c>
      <c r="J84" s="2">
        <v>8.5166392200000001</v>
      </c>
      <c r="L84" s="2"/>
      <c r="M84" s="2"/>
    </row>
    <row r="85" spans="2:13">
      <c r="B85" s="2"/>
      <c r="C85" s="1">
        <v>20.691230560000001</v>
      </c>
      <c r="D85" s="1">
        <v>1.945769466</v>
      </c>
      <c r="E85" s="1"/>
      <c r="H85" s="2">
        <v>36.574620799999998</v>
      </c>
      <c r="I85" s="2">
        <v>27.595337600000001</v>
      </c>
      <c r="J85" s="2">
        <v>23.811827999999998</v>
      </c>
      <c r="L85" s="2"/>
      <c r="M85" s="2"/>
    </row>
    <row r="86" spans="2:13">
      <c r="B86" s="2"/>
      <c r="C86" s="1">
        <v>35.151544880000003</v>
      </c>
      <c r="D86" s="1">
        <v>1.3257615679999999</v>
      </c>
      <c r="E86" s="1"/>
      <c r="H86" s="2">
        <v>30.3172617</v>
      </c>
      <c r="I86" s="2">
        <v>20.910269899999999</v>
      </c>
      <c r="J86" s="2">
        <v>21.5175497</v>
      </c>
      <c r="L86" s="2"/>
      <c r="M86" s="2"/>
    </row>
    <row r="87" spans="2:13">
      <c r="B87" s="2"/>
      <c r="C87" s="1">
        <v>35.918333990000001</v>
      </c>
      <c r="D87" s="1">
        <v>0.95639516099999999</v>
      </c>
      <c r="E87" s="1"/>
      <c r="H87" s="2">
        <v>28.259232900000001</v>
      </c>
      <c r="I87" s="2">
        <v>36.674592400000002</v>
      </c>
      <c r="J87" s="2">
        <v>35.665599299999997</v>
      </c>
      <c r="L87" s="2"/>
      <c r="M87" s="2"/>
    </row>
    <row r="88" spans="2:13">
      <c r="B88" s="2"/>
      <c r="C88" s="1">
        <v>36.61267059</v>
      </c>
      <c r="D88" s="1">
        <v>2.1436443270000001</v>
      </c>
      <c r="E88" s="1"/>
      <c r="H88" s="2">
        <v>41.469874099999998</v>
      </c>
      <c r="I88" s="2">
        <v>37.4674725</v>
      </c>
      <c r="J88" s="2">
        <v>29.721332799999999</v>
      </c>
      <c r="L88" s="2"/>
      <c r="M88" s="2"/>
    </row>
    <row r="89" spans="2:13">
      <c r="B89" s="2"/>
      <c r="C89" s="1">
        <v>52.962787990000002</v>
      </c>
      <c r="D89" s="1">
        <v>1.5895947159999999</v>
      </c>
      <c r="E89" s="1"/>
      <c r="H89" s="2">
        <v>41.255744</v>
      </c>
      <c r="I89" s="2">
        <v>39.675099500000002</v>
      </c>
      <c r="J89" s="2">
        <v>47.554132500000001</v>
      </c>
      <c r="L89" s="2"/>
      <c r="M89" s="2"/>
    </row>
    <row r="90" spans="2:13">
      <c r="B90" s="2"/>
      <c r="C90" s="1">
        <v>17.153132769999999</v>
      </c>
      <c r="D90" s="1">
        <v>0.73213698500000002</v>
      </c>
      <c r="E90" s="1"/>
      <c r="H90" s="2">
        <v>21.454652299999999</v>
      </c>
      <c r="I90" s="2">
        <v>26.149497400000001</v>
      </c>
      <c r="J90" s="2">
        <v>20.961361</v>
      </c>
      <c r="L90" s="2"/>
      <c r="M90" s="2"/>
    </row>
    <row r="91" spans="2:13">
      <c r="B91" s="2"/>
      <c r="C91" s="1">
        <v>10.378822680000001</v>
      </c>
      <c r="D91" s="1">
        <v>1.0817159059999999</v>
      </c>
      <c r="E91" s="1"/>
      <c r="H91" s="2">
        <v>28.1402717</v>
      </c>
      <c r="I91" s="2">
        <v>21.625416699999999</v>
      </c>
      <c r="J91" s="2">
        <v>26.975151199999999</v>
      </c>
      <c r="L91" s="2"/>
      <c r="M91" s="2"/>
    </row>
    <row r="92" spans="2:13">
      <c r="B92" s="2"/>
      <c r="C92" s="1">
        <v>7.6980796500000004</v>
      </c>
      <c r="D92" s="1">
        <v>0.17808737499999999</v>
      </c>
      <c r="E92" s="1"/>
      <c r="H92" s="2">
        <v>5.0499029100000001</v>
      </c>
      <c r="I92" s="2">
        <v>7.4468544899999998</v>
      </c>
      <c r="J92" s="2">
        <v>4.3104623000000002</v>
      </c>
      <c r="L92" s="2"/>
      <c r="M92" s="2"/>
    </row>
    <row r="93" spans="2:13">
      <c r="B93" s="2"/>
      <c r="C93" s="1">
        <v>71.679687529999995</v>
      </c>
      <c r="D93" s="1">
        <v>5.1447463840000003</v>
      </c>
      <c r="E93" s="1"/>
      <c r="H93" s="2">
        <v>61.1460565</v>
      </c>
      <c r="I93" s="2">
        <v>65.980063599999994</v>
      </c>
      <c r="J93" s="2">
        <v>52.5250688</v>
      </c>
      <c r="L93" s="2"/>
      <c r="M93" s="2"/>
    </row>
    <row r="94" spans="2:13">
      <c r="B94" s="2"/>
      <c r="C94" s="1">
        <v>64.893302019999993</v>
      </c>
      <c r="D94" s="1">
        <v>2.7504605670000002</v>
      </c>
      <c r="E94" s="1"/>
      <c r="H94" s="2">
        <v>65.4821922</v>
      </c>
      <c r="I94" s="2">
        <v>51.428381299999998</v>
      </c>
      <c r="J94" s="2">
        <v>50.821741000000003</v>
      </c>
      <c r="L94" s="2"/>
      <c r="M94" s="2"/>
    </row>
    <row r="95" spans="2:13">
      <c r="B95" s="2"/>
      <c r="C95" s="1">
        <v>5.669409248</v>
      </c>
      <c r="D95" s="1">
        <v>0.40894137899999999</v>
      </c>
      <c r="E95" s="1"/>
      <c r="H95" s="2">
        <v>9.4276750499999995</v>
      </c>
      <c r="I95" s="2">
        <v>4.25978733</v>
      </c>
      <c r="J95" s="2">
        <v>7.09140572</v>
      </c>
      <c r="L95" s="2"/>
      <c r="M95" s="2"/>
    </row>
    <row r="96" spans="2:13">
      <c r="B96" s="2"/>
      <c r="C96" s="1">
        <v>25.485171919999999</v>
      </c>
      <c r="D96" s="1">
        <v>4.4983551720000001</v>
      </c>
      <c r="E96" s="1"/>
      <c r="H96" s="2">
        <v>78.157508000000007</v>
      </c>
      <c r="I96" s="2">
        <v>59.947955999999998</v>
      </c>
      <c r="J96" s="2">
        <v>76.302135000000007</v>
      </c>
      <c r="L96" s="2"/>
      <c r="M96" s="2"/>
    </row>
    <row r="97" spans="2:13">
      <c r="B97" s="2"/>
      <c r="C97" s="1">
        <v>21.59084928</v>
      </c>
      <c r="D97" s="1">
        <v>1.1476741930000001</v>
      </c>
      <c r="E97" s="1"/>
      <c r="H97" s="2">
        <v>29.734351799999999</v>
      </c>
      <c r="I97" s="2">
        <v>22.806963499999998</v>
      </c>
      <c r="J97" s="2">
        <v>20.718028499999999</v>
      </c>
      <c r="L97" s="2"/>
      <c r="M97" s="2"/>
    </row>
    <row r="98" spans="2:13">
      <c r="B98" s="2"/>
      <c r="C98" s="1">
        <v>18.994634179999998</v>
      </c>
      <c r="D98" s="1">
        <v>535.39660700000002</v>
      </c>
      <c r="E98" s="1"/>
      <c r="H98" s="2">
        <v>39.715196400000004</v>
      </c>
      <c r="I98" s="2">
        <v>27.237764200000001</v>
      </c>
      <c r="J98" s="2">
        <v>33.197512099999997</v>
      </c>
      <c r="L98" s="2"/>
      <c r="M98" s="2"/>
    </row>
    <row r="99" spans="2:13">
      <c r="B99" s="2"/>
      <c r="C99" s="1">
        <v>24.754609070000001</v>
      </c>
      <c r="D99" s="1">
        <v>2.8823771410000001</v>
      </c>
      <c r="E99" s="1"/>
      <c r="H99" s="2">
        <v>52.7771361</v>
      </c>
      <c r="I99" s="2">
        <v>72.571851300000006</v>
      </c>
      <c r="J99" s="2">
        <v>53.985064100000002</v>
      </c>
      <c r="L99" s="2"/>
      <c r="M99" s="2"/>
    </row>
    <row r="100" spans="2:13">
      <c r="B100" s="2"/>
      <c r="C100" s="1">
        <v>19.966705409999999</v>
      </c>
      <c r="D100" s="1">
        <v>230.55719210000001</v>
      </c>
      <c r="E100" s="1"/>
      <c r="H100" s="2">
        <v>14.352668700000001</v>
      </c>
      <c r="I100" s="2">
        <v>19.526616400000002</v>
      </c>
      <c r="J100" s="2">
        <v>13.0704341</v>
      </c>
      <c r="L100" s="2"/>
      <c r="M100" s="2"/>
    </row>
    <row r="101" spans="2:13">
      <c r="B101" s="2"/>
      <c r="C101" s="1">
        <v>12.7335294</v>
      </c>
      <c r="D101" s="1">
        <v>0.77830778599999995</v>
      </c>
      <c r="E101" s="1"/>
      <c r="H101" s="2">
        <v>9.1838045899999994</v>
      </c>
      <c r="I101" s="2">
        <v>10.851575</v>
      </c>
      <c r="J101" s="2">
        <v>6.1180755199999997</v>
      </c>
      <c r="L101" s="2"/>
      <c r="M101" s="2"/>
    </row>
    <row r="102" spans="2:13">
      <c r="B102" s="2"/>
      <c r="C102" s="1">
        <v>104.7965243</v>
      </c>
      <c r="D102" s="1">
        <v>7.0707283639999998</v>
      </c>
      <c r="E102" s="1"/>
      <c r="H102" s="2">
        <v>79.281691300000006</v>
      </c>
      <c r="I102" s="2">
        <v>82.179692799999998</v>
      </c>
      <c r="J102" s="2">
        <v>58.538859000000002</v>
      </c>
      <c r="L102" s="2"/>
      <c r="M102" s="2"/>
    </row>
    <row r="103" spans="2:13">
      <c r="B103" s="2"/>
      <c r="C103" s="1">
        <v>13.28296096</v>
      </c>
      <c r="D103" s="1">
        <v>0.77830778599999995</v>
      </c>
      <c r="E103" s="1"/>
      <c r="H103" s="2">
        <v>11.7355223</v>
      </c>
      <c r="I103" s="2">
        <v>7.8666145500000004</v>
      </c>
      <c r="J103" s="2">
        <v>8.9337807300000005</v>
      </c>
      <c r="L103" s="2"/>
      <c r="M103" s="2"/>
    </row>
    <row r="104" spans="2:13">
      <c r="B104" s="2"/>
      <c r="C104" s="1">
        <v>117.81382600000001</v>
      </c>
      <c r="D104" s="1">
        <v>6.4243371519999997</v>
      </c>
      <c r="E104" s="1"/>
      <c r="H104" s="2">
        <v>77.223662599999997</v>
      </c>
      <c r="I104" s="2">
        <v>99.296575399999995</v>
      </c>
      <c r="J104" s="2">
        <v>64.205031199999993</v>
      </c>
      <c r="L104" s="2"/>
      <c r="M104" s="2"/>
    </row>
    <row r="105" spans="2:13">
      <c r="B105" s="2"/>
      <c r="C105" s="1">
        <v>8.0120405449999996</v>
      </c>
      <c r="D105" s="1">
        <v>0.481495495</v>
      </c>
      <c r="E105" s="1"/>
      <c r="H105" s="2">
        <v>9.55853237</v>
      </c>
      <c r="I105" s="2">
        <v>8.1775479400000002</v>
      </c>
      <c r="J105" s="2">
        <v>7.5780708199999998</v>
      </c>
      <c r="L105" s="2"/>
      <c r="M105" s="2"/>
    </row>
    <row r="106" spans="2:13">
      <c r="B106" s="2"/>
      <c r="C106" s="1">
        <v>18.32444842</v>
      </c>
      <c r="D106" s="1">
        <v>0.65958287000000004</v>
      </c>
      <c r="E106" s="1"/>
      <c r="H106" s="2">
        <v>16.119242499999999</v>
      </c>
      <c r="I106" s="2">
        <v>15.002535699999999</v>
      </c>
      <c r="J106" s="2">
        <v>11.679962400000001</v>
      </c>
      <c r="L106" s="2"/>
      <c r="M106" s="2"/>
    </row>
    <row r="107" spans="2:13">
      <c r="B107" s="2"/>
      <c r="C107" s="1">
        <v>3.4233813030000002</v>
      </c>
      <c r="D107" s="1">
        <v>0.230854004</v>
      </c>
      <c r="E107" s="1"/>
      <c r="H107" s="2">
        <v>4.2469148199999998</v>
      </c>
      <c r="I107" s="2">
        <v>4.4774406899999999</v>
      </c>
      <c r="J107" s="2">
        <v>5.2837924899999997</v>
      </c>
      <c r="L107" s="2"/>
      <c r="M107" s="2"/>
    </row>
    <row r="108" spans="2:13">
      <c r="B108" s="2"/>
      <c r="C108" s="1">
        <v>1.5335782200000001</v>
      </c>
      <c r="D108" s="1">
        <v>4.6170800999999997E-2</v>
      </c>
      <c r="E108" s="1"/>
      <c r="H108" s="2">
        <v>1.96285979</v>
      </c>
      <c r="I108" s="2">
        <v>1.39920022</v>
      </c>
      <c r="J108" s="2">
        <v>1.77285143</v>
      </c>
      <c r="L108" s="2"/>
      <c r="M108" s="2"/>
    </row>
    <row r="109" spans="2:13">
      <c r="B109" s="2"/>
      <c r="C109" s="1">
        <v>6.007520982</v>
      </c>
      <c r="D109" s="1">
        <v>0.112129088</v>
      </c>
      <c r="E109" s="1"/>
      <c r="H109" s="2">
        <v>4.1220055599999998</v>
      </c>
      <c r="I109" s="2">
        <v>1.5857602500000001</v>
      </c>
      <c r="J109" s="2">
        <v>2.53761087</v>
      </c>
      <c r="L109" s="2"/>
      <c r="M109" s="2"/>
    </row>
    <row r="110" spans="2:13">
      <c r="B110" s="2"/>
      <c r="C110" s="1">
        <v>3.4596075599999998</v>
      </c>
      <c r="D110" s="1">
        <v>0.13191657400000001</v>
      </c>
      <c r="E110" s="1"/>
      <c r="H110" s="2">
        <v>2.7955881900000001</v>
      </c>
      <c r="I110" s="2">
        <v>1.5857602500000001</v>
      </c>
      <c r="J110" s="2">
        <v>2.0161839800000001</v>
      </c>
      <c r="L110" s="2"/>
      <c r="M110" s="2"/>
    </row>
    <row r="111" spans="2:13">
      <c r="B111" s="2"/>
      <c r="C111" s="1">
        <v>53.832218159999996</v>
      </c>
      <c r="D111" s="1">
        <v>3.0736561729999998</v>
      </c>
      <c r="E111" s="1"/>
      <c r="H111" s="2">
        <v>48.048428399999999</v>
      </c>
      <c r="I111" s="2">
        <v>59.932409300000003</v>
      </c>
      <c r="J111" s="2">
        <v>35.109410699999998</v>
      </c>
      <c r="L111" s="2"/>
      <c r="M111" s="2"/>
    </row>
    <row r="112" spans="2:13">
      <c r="B112" s="2"/>
      <c r="C112" s="1">
        <v>21.65122637</v>
      </c>
      <c r="D112" s="1">
        <v>0.72554115699999999</v>
      </c>
      <c r="E112" s="1"/>
      <c r="H112" s="2">
        <v>22.816758</v>
      </c>
      <c r="I112" s="2">
        <v>26.895737499999999</v>
      </c>
      <c r="J112" s="2">
        <v>12.827101499999999</v>
      </c>
      <c r="L112" s="2"/>
      <c r="M112" s="2"/>
    </row>
    <row r="113" spans="2:13">
      <c r="B113" s="2"/>
      <c r="C113" s="1">
        <v>19.568216580000001</v>
      </c>
      <c r="D113" s="1">
        <v>1.371932369</v>
      </c>
      <c r="E113" s="1"/>
      <c r="H113" s="2">
        <v>27.194530199999999</v>
      </c>
      <c r="I113" s="2">
        <v>17.863122799999999</v>
      </c>
      <c r="J113" s="2">
        <v>26.384200700000001</v>
      </c>
      <c r="L113" s="2"/>
      <c r="M113" s="2"/>
    </row>
    <row r="114" spans="2:13">
      <c r="B114" s="2"/>
      <c r="C114" s="1">
        <v>36.703236230000002</v>
      </c>
      <c r="D114" s="1">
        <v>265.9438131</v>
      </c>
      <c r="E114" s="1"/>
      <c r="H114" s="2">
        <v>22.108938899999998</v>
      </c>
      <c r="I114" s="2">
        <v>15.795415800000001</v>
      </c>
      <c r="J114" s="2">
        <v>21.969453000000001</v>
      </c>
      <c r="L114" s="2"/>
      <c r="M114" s="2"/>
    </row>
    <row r="115" spans="2:13">
      <c r="B115" s="2"/>
      <c r="C115" s="1">
        <v>70.429881660000007</v>
      </c>
      <c r="D115" s="1">
        <v>44.211839759999997</v>
      </c>
      <c r="E115" s="1"/>
      <c r="H115" s="2">
        <v>51.379342000000001</v>
      </c>
      <c r="I115" s="2">
        <v>49.531687699999999</v>
      </c>
      <c r="J115" s="2">
        <v>46.963182000000003</v>
      </c>
      <c r="L115" s="2"/>
      <c r="M115" s="2"/>
    </row>
    <row r="116" spans="2:13">
      <c r="B116" s="2"/>
      <c r="C116" s="1">
        <v>26.336488970000001</v>
      </c>
      <c r="D116" s="1">
        <v>1.662148832</v>
      </c>
      <c r="E116" s="1"/>
      <c r="H116" s="2">
        <v>22.959511500000001</v>
      </c>
      <c r="I116" s="2">
        <v>24.781390500000001</v>
      </c>
      <c r="J116" s="2">
        <v>19.118986</v>
      </c>
      <c r="L116" s="2"/>
      <c r="M116" s="2"/>
    </row>
    <row r="117" spans="2:13">
      <c r="B117" s="2"/>
      <c r="C117" s="1">
        <v>245.80723040000001</v>
      </c>
      <c r="D117" s="1">
        <v>12.24185806</v>
      </c>
      <c r="E117" s="1"/>
      <c r="H117" s="2">
        <v>266.580152</v>
      </c>
      <c r="I117" s="2">
        <v>190.058029</v>
      </c>
      <c r="J117" s="2">
        <v>267.56151899999998</v>
      </c>
      <c r="L117" s="2"/>
      <c r="M117" s="2"/>
    </row>
    <row r="118" spans="2:13">
      <c r="B118" s="2"/>
      <c r="C118" s="1">
        <v>171.43472439999999</v>
      </c>
      <c r="D118" s="1">
        <v>9.2737351490000002</v>
      </c>
      <c r="E118" s="1"/>
      <c r="H118" s="2">
        <v>156.636211</v>
      </c>
      <c r="I118" s="2">
        <v>125.057406</v>
      </c>
      <c r="J118" s="2">
        <v>140.75049899999999</v>
      </c>
      <c r="L118" s="2"/>
      <c r="M118" s="2"/>
    </row>
    <row r="119" spans="2:13">
      <c r="B119" s="2"/>
      <c r="C119" s="1">
        <v>10.25203078</v>
      </c>
      <c r="D119" s="1">
        <v>0.28362063399999998</v>
      </c>
      <c r="E119" s="1"/>
      <c r="H119" s="2">
        <v>12.502822099999999</v>
      </c>
      <c r="I119" s="2">
        <v>9.6700281700000001</v>
      </c>
      <c r="J119" s="2">
        <v>10.532823199999999</v>
      </c>
      <c r="L119" s="2"/>
      <c r="M119" s="2"/>
    </row>
    <row r="120" spans="2:13">
      <c r="B120" s="2"/>
      <c r="C120" s="1">
        <v>25.074607669999999</v>
      </c>
      <c r="D120" s="1">
        <v>1.41810317</v>
      </c>
      <c r="E120" s="1"/>
      <c r="H120" s="2">
        <v>41.999251399999999</v>
      </c>
      <c r="I120" s="2">
        <v>37.7473125</v>
      </c>
      <c r="J120" s="2">
        <v>36.777976700000004</v>
      </c>
      <c r="L120" s="2"/>
      <c r="M120" s="2"/>
    </row>
    <row r="121" spans="2:13">
      <c r="B121" s="2"/>
      <c r="C121" s="1">
        <v>127.3775579</v>
      </c>
      <c r="D121" s="1">
        <v>5.1315547270000001</v>
      </c>
      <c r="E121" s="1"/>
      <c r="H121" s="2">
        <v>69.324639000000005</v>
      </c>
      <c r="I121" s="2">
        <v>35.819525599999999</v>
      </c>
      <c r="J121" s="2">
        <v>72.791194000000004</v>
      </c>
      <c r="L121" s="2"/>
      <c r="M121" s="2"/>
    </row>
    <row r="122" spans="2:13">
      <c r="B122" s="2"/>
      <c r="C122" s="1">
        <v>9.2437332889999997</v>
      </c>
      <c r="D122" s="1">
        <v>4.841338264</v>
      </c>
      <c r="E122" s="1"/>
      <c r="H122" s="2">
        <v>20.2174558</v>
      </c>
      <c r="I122" s="2">
        <v>20.910269899999999</v>
      </c>
      <c r="J122" s="2">
        <v>14.947570900000001</v>
      </c>
      <c r="L122" s="2"/>
      <c r="M122" s="2"/>
    </row>
    <row r="123" spans="2:13">
      <c r="B123" s="2"/>
      <c r="C123" s="1">
        <v>17.21954758</v>
      </c>
      <c r="D123" s="1">
        <v>0.98277847600000001</v>
      </c>
      <c r="E123" s="1"/>
      <c r="H123" s="2">
        <v>27.414608399999999</v>
      </c>
      <c r="I123" s="2">
        <v>14.1941089</v>
      </c>
      <c r="J123" s="2">
        <v>15.2256652</v>
      </c>
      <c r="L123" s="2"/>
      <c r="M123" s="2"/>
    </row>
    <row r="124" spans="2:13">
      <c r="B124" s="2"/>
      <c r="C124" s="1">
        <v>6.0739357859999998</v>
      </c>
      <c r="D124" s="1">
        <v>0.230854004</v>
      </c>
      <c r="E124" s="1"/>
      <c r="H124" s="2">
        <v>7.2625812200000004</v>
      </c>
      <c r="I124" s="2">
        <v>5.2547741500000003</v>
      </c>
      <c r="J124" s="2">
        <v>8.7599717699999999</v>
      </c>
      <c r="L124" s="2"/>
      <c r="M124" s="2"/>
    </row>
    <row r="125" spans="2:13">
      <c r="B125" s="2"/>
      <c r="C125" s="1">
        <v>23.154616040000001</v>
      </c>
      <c r="D125" s="1">
        <v>2.6449273080000002</v>
      </c>
      <c r="E125" s="1"/>
      <c r="H125" s="2">
        <v>30.471911200000001</v>
      </c>
      <c r="I125" s="2">
        <v>28.201657699999998</v>
      </c>
      <c r="J125" s="2">
        <v>15.9209011</v>
      </c>
      <c r="L125" s="2"/>
      <c r="M125" s="2"/>
    </row>
    <row r="126" spans="2:13">
      <c r="B126" s="2"/>
      <c r="C126" s="1">
        <v>14.381824099999999</v>
      </c>
      <c r="D126" s="1">
        <v>2.1832192990000001</v>
      </c>
      <c r="E126" s="1"/>
      <c r="H126" s="2">
        <v>14.453785699999999</v>
      </c>
      <c r="I126" s="2">
        <v>8.3796546299999992</v>
      </c>
      <c r="J126" s="2">
        <v>7.7866415699999996</v>
      </c>
      <c r="L126" s="2"/>
      <c r="M126" s="2"/>
    </row>
    <row r="127" spans="2:13">
      <c r="B127" s="2"/>
      <c r="C127" s="1">
        <v>5.5245042189999998</v>
      </c>
      <c r="D127" s="1">
        <v>0.27702480499999999</v>
      </c>
      <c r="E127" s="1"/>
      <c r="H127" s="2">
        <v>5.0082664899999996</v>
      </c>
      <c r="I127" s="2">
        <v>3.0782404799999998</v>
      </c>
      <c r="J127" s="2">
        <v>4.7971273999999999</v>
      </c>
      <c r="L127" s="2"/>
      <c r="M127" s="2"/>
    </row>
    <row r="128" spans="2:13">
      <c r="B128" s="2"/>
      <c r="C128" s="1">
        <v>36.932669189999999</v>
      </c>
      <c r="D128" s="1">
        <v>2.216198442</v>
      </c>
      <c r="E128" s="1"/>
      <c r="H128" s="2">
        <v>27.759595900000001</v>
      </c>
      <c r="I128" s="2">
        <v>12.0953085</v>
      </c>
      <c r="J128" s="2">
        <v>23.116592199999999</v>
      </c>
      <c r="L128" s="2"/>
      <c r="M128" s="2"/>
    </row>
    <row r="129" spans="2:13">
      <c r="B129" s="2"/>
      <c r="C129" s="1">
        <v>10.40297352</v>
      </c>
      <c r="D129" s="1">
        <v>0.44851635099999998</v>
      </c>
      <c r="E129" s="1"/>
      <c r="H129" s="2">
        <v>8.3094397799999999</v>
      </c>
      <c r="I129" s="2">
        <v>5.8921875799999999</v>
      </c>
      <c r="J129" s="2">
        <v>4.7971273999999999</v>
      </c>
      <c r="L129" s="2"/>
      <c r="M129" s="2"/>
    </row>
    <row r="130" spans="2:13">
      <c r="B130" s="2"/>
      <c r="C130" s="1">
        <v>12.298814309999999</v>
      </c>
      <c r="D130" s="1">
        <v>0.65958287000000004</v>
      </c>
      <c r="E130" s="1"/>
      <c r="H130" s="2">
        <v>11.717678100000001</v>
      </c>
      <c r="I130" s="2">
        <v>9.3124547799999995</v>
      </c>
      <c r="J130" s="2">
        <v>9.6985401699999993</v>
      </c>
      <c r="L130" s="2"/>
      <c r="M130" s="2"/>
    </row>
    <row r="131" spans="2:13">
      <c r="B131" s="2"/>
      <c r="C131" s="1">
        <v>13.07164113</v>
      </c>
      <c r="D131" s="1">
        <v>0.36936640700000001</v>
      </c>
      <c r="E131" s="1"/>
      <c r="H131" s="2">
        <v>10.8730536</v>
      </c>
      <c r="I131" s="2">
        <v>9.3435481199999995</v>
      </c>
      <c r="J131" s="2">
        <v>10.1504435</v>
      </c>
      <c r="L131" s="2"/>
      <c r="M131" s="2"/>
    </row>
    <row r="132" spans="2:13">
      <c r="B132" s="2"/>
      <c r="C132" s="1">
        <v>11.888250060000001</v>
      </c>
      <c r="D132" s="1">
        <v>0.36936640700000001</v>
      </c>
      <c r="E132" s="1"/>
      <c r="H132" s="2">
        <v>12.728848299999999</v>
      </c>
      <c r="I132" s="2">
        <v>13.074748700000001</v>
      </c>
      <c r="J132" s="2">
        <v>8.6556863899999996</v>
      </c>
      <c r="L132" s="2"/>
      <c r="M132" s="2"/>
    </row>
    <row r="133" spans="2:13">
      <c r="B133" s="2"/>
      <c r="C133" s="1">
        <v>14.14031572</v>
      </c>
      <c r="D133" s="1">
        <v>0.62660372600000003</v>
      </c>
      <c r="E133" s="1"/>
      <c r="H133" s="2">
        <v>9.9154159699999997</v>
      </c>
      <c r="I133" s="2">
        <v>11.2246951</v>
      </c>
      <c r="J133" s="2">
        <v>7.3347382699999999</v>
      </c>
      <c r="L133" s="2"/>
      <c r="M133" s="2"/>
    </row>
    <row r="134" spans="2:13">
      <c r="B134" s="2"/>
      <c r="C134" s="1">
        <v>2.1313114639999999</v>
      </c>
      <c r="D134" s="1">
        <v>0.17149154599999999</v>
      </c>
      <c r="E134" s="1"/>
      <c r="H134" s="2">
        <v>7.9585042399999999</v>
      </c>
      <c r="I134" s="2">
        <v>7.6645078599999996</v>
      </c>
      <c r="J134" s="2">
        <v>7.7866415699999996</v>
      </c>
      <c r="L134" s="2"/>
      <c r="M134" s="2"/>
    </row>
    <row r="135" spans="2:13">
      <c r="B135" s="2"/>
      <c r="C135" s="1">
        <v>11.972778</v>
      </c>
      <c r="D135" s="1">
        <v>172.69198700000001</v>
      </c>
      <c r="E135" s="1"/>
      <c r="H135" s="2">
        <v>29.758144000000001</v>
      </c>
      <c r="I135" s="2">
        <v>18.935842900000001</v>
      </c>
      <c r="J135" s="2">
        <v>22.595165300000001</v>
      </c>
      <c r="L135" s="2"/>
      <c r="M135" s="2"/>
    </row>
    <row r="136" spans="2:13">
      <c r="B136" s="2"/>
      <c r="C136" s="1">
        <v>8.1327947359999992</v>
      </c>
      <c r="D136" s="1">
        <v>0.66617869799999996</v>
      </c>
      <c r="E136" s="1"/>
      <c r="H136" s="2">
        <v>21.531977099999999</v>
      </c>
      <c r="I136" s="2">
        <v>9.3746414500000004</v>
      </c>
      <c r="J136" s="2">
        <v>14.9128091</v>
      </c>
      <c r="L136" s="2"/>
      <c r="M136" s="2"/>
    </row>
    <row r="137" spans="2:13">
      <c r="B137" s="2"/>
      <c r="C137" s="1">
        <v>77.928716890000004</v>
      </c>
      <c r="D137" s="1">
        <v>3.0934436590000001</v>
      </c>
      <c r="E137" s="1"/>
      <c r="H137" s="2">
        <v>44.6045017</v>
      </c>
      <c r="I137" s="2">
        <v>53.558275000000002</v>
      </c>
      <c r="J137" s="2">
        <v>37.021309299999999</v>
      </c>
      <c r="L137" s="2"/>
      <c r="M137" s="2"/>
    </row>
    <row r="138" spans="2:13">
      <c r="B138" s="2"/>
      <c r="C138" s="1">
        <v>28.962892610000001</v>
      </c>
      <c r="D138" s="1">
        <v>1.127886707</v>
      </c>
      <c r="E138" s="1"/>
      <c r="H138" s="2">
        <v>27.866661000000001</v>
      </c>
      <c r="I138" s="2">
        <v>24.890217199999999</v>
      </c>
      <c r="J138" s="2">
        <v>19.2580332</v>
      </c>
      <c r="L138" s="2"/>
      <c r="M138" s="2"/>
    </row>
    <row r="139" spans="2:13">
      <c r="B139" s="2"/>
      <c r="C139" s="1">
        <v>12.6731523</v>
      </c>
      <c r="D139" s="1">
        <v>1.0751200780000001</v>
      </c>
      <c r="E139" s="1"/>
      <c r="H139" s="2">
        <v>45.437230100000001</v>
      </c>
      <c r="I139" s="2">
        <v>34.980005400000003</v>
      </c>
      <c r="J139" s="2">
        <v>34.761792700000001</v>
      </c>
      <c r="L139" s="2"/>
      <c r="M139" s="2"/>
    </row>
    <row r="140" spans="2:13">
      <c r="B140" s="2"/>
      <c r="C140" s="1">
        <v>22.85876828</v>
      </c>
      <c r="D140" s="1">
        <v>453.01470660000001</v>
      </c>
      <c r="E140" s="1"/>
      <c r="H140" s="2">
        <v>32.577524500000003</v>
      </c>
      <c r="I140" s="2">
        <v>28.792431100000002</v>
      </c>
      <c r="J140" s="2">
        <v>26.279915299999999</v>
      </c>
      <c r="L140" s="2"/>
      <c r="M140" s="2"/>
    </row>
    <row r="141" spans="2:13">
      <c r="B141" s="2"/>
      <c r="C141" s="1">
        <v>89.213195999999996</v>
      </c>
      <c r="D141" s="1">
        <v>4.6830383749999998</v>
      </c>
      <c r="E141" s="1"/>
      <c r="H141" s="2">
        <v>52.842564799999998</v>
      </c>
      <c r="I141" s="2">
        <v>46.422353899999997</v>
      </c>
      <c r="J141" s="2">
        <v>33.54513</v>
      </c>
      <c r="L141" s="2"/>
      <c r="M141" s="2"/>
    </row>
    <row r="142" spans="2:13">
      <c r="B142" s="2"/>
      <c r="C142" s="1">
        <v>57.183146950000001</v>
      </c>
      <c r="D142" s="1">
        <v>2.242581757</v>
      </c>
      <c r="E142" s="1"/>
      <c r="H142" s="2">
        <v>55.673841299999999</v>
      </c>
      <c r="I142" s="2">
        <v>62.062303</v>
      </c>
      <c r="J142" s="2">
        <v>48.006035799999999</v>
      </c>
      <c r="L142" s="2"/>
      <c r="M142" s="2"/>
    </row>
    <row r="143" spans="2:13">
      <c r="B143" s="2"/>
      <c r="C143" s="1">
        <v>14.44220119</v>
      </c>
      <c r="D143" s="1">
        <v>0.84426607300000001</v>
      </c>
      <c r="E143" s="1"/>
      <c r="H143" s="2">
        <v>25.671826800000002</v>
      </c>
      <c r="I143" s="2">
        <v>28.2172044</v>
      </c>
      <c r="J143" s="2">
        <v>21.065646399999999</v>
      </c>
      <c r="L143" s="2"/>
      <c r="M143" s="2"/>
    </row>
    <row r="144" spans="2:13">
      <c r="B144" s="2"/>
      <c r="C144" s="1">
        <v>9.0807151319999999</v>
      </c>
      <c r="D144" s="1">
        <v>0.56724126799999997</v>
      </c>
      <c r="E144" s="1"/>
      <c r="H144" s="2">
        <v>8.4640893399999992</v>
      </c>
      <c r="I144" s="2">
        <v>9.3590947900000003</v>
      </c>
      <c r="J144" s="2">
        <v>7.2999764699999998</v>
      </c>
      <c r="L144" s="2"/>
      <c r="M144" s="2"/>
    </row>
    <row r="145" spans="2:13">
      <c r="B145" s="2"/>
      <c r="C145" s="1">
        <v>8.4044916650000001</v>
      </c>
      <c r="D145" s="1">
        <v>0.41553720799999999</v>
      </c>
      <c r="E145" s="1"/>
      <c r="H145" s="2">
        <v>8.0893615600000004</v>
      </c>
      <c r="I145" s="2">
        <v>5.4102408400000002</v>
      </c>
      <c r="J145" s="2">
        <v>5.2490306999999996</v>
      </c>
      <c r="L145" s="2"/>
      <c r="M145" s="2"/>
    </row>
    <row r="146" spans="2:13">
      <c r="B146" s="2"/>
      <c r="C146" s="1">
        <v>78.266828630000006</v>
      </c>
      <c r="D146" s="1">
        <v>3.7728140149999998</v>
      </c>
      <c r="E146" s="1"/>
      <c r="H146" s="2">
        <v>59.224833099999998</v>
      </c>
      <c r="I146" s="2">
        <v>42.3802199</v>
      </c>
      <c r="J146" s="2">
        <v>51.308406099999999</v>
      </c>
      <c r="L146" s="2"/>
      <c r="M146" s="2"/>
    </row>
    <row r="147" spans="2:13">
      <c r="B147" s="2"/>
      <c r="C147" s="1">
        <v>1.5758421869999999</v>
      </c>
      <c r="D147" s="1">
        <v>8.5745772999999997E-2</v>
      </c>
      <c r="E147" s="1"/>
      <c r="H147" s="2">
        <v>0.95763765999999995</v>
      </c>
      <c r="I147" s="2">
        <v>0.73069344999999997</v>
      </c>
      <c r="J147" s="2">
        <v>0.48666510000000002</v>
      </c>
      <c r="L147" s="2"/>
      <c r="M147" s="2"/>
    </row>
    <row r="148" spans="2:13">
      <c r="B148" s="2"/>
      <c r="C148" s="1">
        <v>6.1705391389999997</v>
      </c>
      <c r="D148" s="1">
        <v>0.310003949</v>
      </c>
      <c r="E148" s="1"/>
      <c r="H148" s="2">
        <v>6.1919304300000002</v>
      </c>
      <c r="I148" s="2">
        <v>7.12037444</v>
      </c>
      <c r="J148" s="2">
        <v>4.1366533299999997</v>
      </c>
      <c r="L148" s="2"/>
      <c r="M148" s="2"/>
    </row>
    <row r="149" spans="2:13">
      <c r="B149" s="2"/>
      <c r="C149" s="1">
        <v>2.3184804589999999</v>
      </c>
      <c r="D149" s="1">
        <v>0.105533259</v>
      </c>
      <c r="E149" s="1"/>
      <c r="H149" s="2">
        <v>3.7353816599999998</v>
      </c>
      <c r="I149" s="2">
        <v>3.8711205999999998</v>
      </c>
      <c r="J149" s="2">
        <v>1.56428067</v>
      </c>
      <c r="L149" s="2"/>
      <c r="M149" s="2"/>
    </row>
    <row r="150" spans="2:13">
      <c r="B150" s="2"/>
      <c r="C150" s="1">
        <v>61.065394179999998</v>
      </c>
      <c r="D150" s="1">
        <v>1.9919402669999999</v>
      </c>
      <c r="E150" s="1"/>
      <c r="H150" s="2">
        <v>53.389786299999997</v>
      </c>
      <c r="I150" s="2">
        <v>58.3466491</v>
      </c>
      <c r="J150" s="2">
        <v>43.4522409</v>
      </c>
      <c r="L150" s="2"/>
      <c r="M150" s="2"/>
    </row>
    <row r="151" spans="2:13">
      <c r="B151" s="2"/>
      <c r="C151" s="1">
        <v>12.15994699</v>
      </c>
      <c r="D151" s="1">
        <v>0.36277057800000001</v>
      </c>
      <c r="E151" s="1"/>
      <c r="H151" s="2">
        <v>15.470904000000001</v>
      </c>
      <c r="I151" s="2">
        <v>28.372671100000002</v>
      </c>
      <c r="J151" s="2">
        <v>14.947570900000001</v>
      </c>
      <c r="L151" s="2"/>
      <c r="M151" s="2"/>
    </row>
    <row r="152" spans="2:13">
      <c r="B152" s="2"/>
      <c r="C152" s="1">
        <v>88.730179239999998</v>
      </c>
      <c r="D152" s="1">
        <v>2.6910981089999999</v>
      </c>
      <c r="E152" s="1"/>
      <c r="H152" s="2">
        <v>52.325083599999999</v>
      </c>
      <c r="I152" s="2">
        <v>45.4584604</v>
      </c>
      <c r="J152" s="2">
        <v>48.179844699999997</v>
      </c>
      <c r="L152" s="2"/>
      <c r="M152" s="2"/>
    </row>
    <row r="153" spans="2:13">
      <c r="B153" s="2"/>
      <c r="C153" s="1">
        <v>19.254255690000001</v>
      </c>
      <c r="D153" s="1">
        <v>0.83767024499999998</v>
      </c>
      <c r="E153" s="1"/>
      <c r="H153" s="2">
        <v>23.078472699999999</v>
      </c>
      <c r="I153" s="2">
        <v>11.1625084</v>
      </c>
      <c r="J153" s="2">
        <v>16.963754900000001</v>
      </c>
      <c r="L153" s="2"/>
      <c r="M153" s="2"/>
    </row>
    <row r="154" spans="2:13">
      <c r="B154" s="2"/>
      <c r="C154" s="1">
        <v>6.1282751720000004</v>
      </c>
      <c r="D154" s="1">
        <v>0.27702480499999999</v>
      </c>
      <c r="E154" s="1"/>
      <c r="H154" s="2">
        <v>7.7860104999999997</v>
      </c>
      <c r="I154" s="2">
        <v>6.6228810300000003</v>
      </c>
      <c r="J154" s="2">
        <v>5.3533160799999999</v>
      </c>
      <c r="L154" s="2"/>
      <c r="M154" s="2"/>
    </row>
    <row r="155" spans="2:13">
      <c r="B155" s="2"/>
      <c r="C155" s="1">
        <v>285.1127194</v>
      </c>
      <c r="D155" s="1">
        <v>19.596207060000001</v>
      </c>
      <c r="E155" s="1"/>
      <c r="H155" s="2">
        <v>251.63862499999999</v>
      </c>
      <c r="I155" s="2">
        <v>258.82094699999999</v>
      </c>
      <c r="J155" s="2">
        <v>261.02630199999999</v>
      </c>
      <c r="L155" s="2"/>
      <c r="M155" s="2"/>
    </row>
    <row r="156" spans="2:13">
      <c r="B156" s="2"/>
      <c r="C156" s="1">
        <v>36.860216680000001</v>
      </c>
      <c r="D156" s="1">
        <v>4.5247384869999996</v>
      </c>
      <c r="E156" s="1"/>
      <c r="H156" s="2">
        <v>66.731284799999997</v>
      </c>
      <c r="I156" s="2">
        <v>70.457504299999997</v>
      </c>
      <c r="J156" s="2">
        <v>67.159783599999997</v>
      </c>
      <c r="L156" s="2"/>
      <c r="M156" s="2"/>
    </row>
    <row r="157" spans="2:13">
      <c r="B157" s="2"/>
      <c r="C157" s="1">
        <v>30.29118871</v>
      </c>
      <c r="D157" s="1">
        <v>170.42302190000001</v>
      </c>
      <c r="E157" s="1"/>
      <c r="H157" s="2">
        <v>18.540102900000001</v>
      </c>
      <c r="I157" s="2">
        <v>20.583789899999999</v>
      </c>
      <c r="J157" s="2">
        <v>15.7818539</v>
      </c>
      <c r="L157" s="2"/>
      <c r="M157" s="2"/>
    </row>
    <row r="158" spans="2:13">
      <c r="B158" s="2"/>
      <c r="C158" s="1">
        <v>115.13912070000001</v>
      </c>
      <c r="D158" s="1">
        <v>6.5826370399999998</v>
      </c>
      <c r="E158" s="1"/>
      <c r="H158" s="2">
        <v>84.010399000000007</v>
      </c>
      <c r="I158" s="2">
        <v>70.037744200000006</v>
      </c>
      <c r="J158" s="2">
        <v>69.349776500000004</v>
      </c>
      <c r="L158" s="2"/>
      <c r="M158" s="2"/>
    </row>
    <row r="159" spans="2:13">
      <c r="B159" s="2"/>
      <c r="C159" s="1">
        <v>42.885850789999999</v>
      </c>
      <c r="D159" s="1">
        <v>6.806895216</v>
      </c>
      <c r="E159" s="1"/>
      <c r="H159" s="2">
        <v>100.242655</v>
      </c>
      <c r="I159" s="2">
        <v>85.273479899999998</v>
      </c>
      <c r="J159" s="2">
        <v>93.231128100000006</v>
      </c>
      <c r="L159" s="2"/>
      <c r="M159" s="2"/>
    </row>
    <row r="160" spans="2:13">
      <c r="B160" s="2"/>
      <c r="C160" s="1">
        <v>63.492553409999999</v>
      </c>
      <c r="D160" s="1">
        <v>2.6119481640000002</v>
      </c>
      <c r="E160" s="1"/>
      <c r="H160" s="2">
        <v>52.0633689</v>
      </c>
      <c r="I160" s="2">
        <v>43.406300100000003</v>
      </c>
      <c r="J160" s="2">
        <v>42.4789107</v>
      </c>
      <c r="L160" s="2"/>
      <c r="M160" s="2"/>
    </row>
    <row r="161" spans="2:13">
      <c r="B161" s="2"/>
      <c r="C161" s="1">
        <v>6.2429916529999998</v>
      </c>
      <c r="D161" s="1">
        <v>0.39574972200000003</v>
      </c>
      <c r="E161" s="1"/>
      <c r="H161" s="2">
        <v>10.641079299999999</v>
      </c>
      <c r="I161" s="2">
        <v>5.62789421</v>
      </c>
      <c r="J161" s="2">
        <v>7.1956911000000003</v>
      </c>
      <c r="L161" s="2"/>
      <c r="M161" s="2"/>
    </row>
    <row r="162" spans="2:13">
      <c r="B162" s="2"/>
      <c r="C162" s="1">
        <v>3.5079092360000002</v>
      </c>
      <c r="D162" s="1">
        <v>0.118724917</v>
      </c>
      <c r="E162" s="1"/>
      <c r="H162" s="2">
        <v>1.89743113</v>
      </c>
      <c r="I162" s="2">
        <v>1.2126401899999999</v>
      </c>
      <c r="J162" s="2">
        <v>0.93856839999999997</v>
      </c>
      <c r="L162" s="2"/>
      <c r="M162" s="2"/>
    </row>
    <row r="163" spans="2:13">
      <c r="B163" s="2"/>
      <c r="C163" s="1">
        <v>7.8852486449999999</v>
      </c>
      <c r="D163" s="1">
        <v>0.46170800899999997</v>
      </c>
      <c r="E163" s="1"/>
      <c r="H163" s="2">
        <v>14.6917081</v>
      </c>
      <c r="I163" s="2">
        <v>13.603335400000001</v>
      </c>
      <c r="J163" s="2">
        <v>11.4366298</v>
      </c>
      <c r="L163" s="2"/>
      <c r="M163" s="2"/>
    </row>
    <row r="164" spans="2:13">
      <c r="B164" s="2"/>
      <c r="C164" s="1">
        <v>15.378046169999999</v>
      </c>
      <c r="D164" s="1">
        <v>0.82447858699999998</v>
      </c>
      <c r="E164" s="1"/>
      <c r="H164" s="2">
        <v>31.851861100000001</v>
      </c>
      <c r="I164" s="2">
        <v>25.2322439</v>
      </c>
      <c r="J164" s="2">
        <v>24.020398799999999</v>
      </c>
      <c r="L164" s="2"/>
      <c r="M164" s="2"/>
    </row>
    <row r="165" spans="2:13">
      <c r="B165" s="2"/>
      <c r="C165" s="1">
        <v>13.46409225</v>
      </c>
      <c r="D165" s="1">
        <v>86.873659779999997</v>
      </c>
      <c r="E165" s="1"/>
      <c r="H165" s="2">
        <v>10.373416600000001</v>
      </c>
      <c r="I165" s="2">
        <v>22.4649368</v>
      </c>
      <c r="J165" s="2">
        <v>8.5166392200000001</v>
      </c>
      <c r="L165" s="2"/>
      <c r="M165" s="2"/>
    </row>
    <row r="166" spans="2:13">
      <c r="B166" s="2"/>
      <c r="C166" s="1">
        <v>9.2618464179999993</v>
      </c>
      <c r="D166" s="1">
        <v>0.17808737499999999</v>
      </c>
      <c r="E166" s="1"/>
      <c r="H166" s="2">
        <v>5.8469429499999999</v>
      </c>
      <c r="I166" s="2">
        <v>3.3580805200000001</v>
      </c>
      <c r="J166" s="2">
        <v>4.0671297500000003</v>
      </c>
      <c r="L166" s="2"/>
      <c r="M166" s="2"/>
    </row>
    <row r="167" spans="2:13">
      <c r="B167" s="2"/>
      <c r="C167" s="1">
        <v>4.9569595230000001</v>
      </c>
      <c r="D167" s="1">
        <v>0.45511217999999998</v>
      </c>
      <c r="E167" s="1"/>
      <c r="H167" s="2">
        <v>9.3384541500000005</v>
      </c>
      <c r="I167" s="2">
        <v>5.9388275899999998</v>
      </c>
      <c r="J167" s="2">
        <v>9.4552076199999995</v>
      </c>
      <c r="L167" s="2"/>
      <c r="M167" s="2"/>
    </row>
    <row r="168" spans="2:13">
      <c r="B168" s="2"/>
      <c r="C168" s="1">
        <v>27.27837165</v>
      </c>
      <c r="D168" s="1">
        <v>0.60681624000000001</v>
      </c>
      <c r="E168" s="1"/>
      <c r="H168" s="2">
        <v>13.2998621</v>
      </c>
      <c r="I168" s="2">
        <v>8.3796546299999992</v>
      </c>
      <c r="J168" s="2">
        <v>8.6904481800000006</v>
      </c>
      <c r="L168" s="2"/>
      <c r="M168" s="2"/>
    </row>
    <row r="169" spans="2:13">
      <c r="B169" s="2"/>
      <c r="C169" s="1">
        <v>62.285011500000003</v>
      </c>
      <c r="D169" s="1">
        <v>3.7464306999999999</v>
      </c>
      <c r="E169" s="1"/>
      <c r="H169" s="2">
        <v>77.431844699999999</v>
      </c>
      <c r="I169" s="2">
        <v>40.343606299999998</v>
      </c>
      <c r="J169" s="2">
        <v>58.191240999999998</v>
      </c>
      <c r="L169" s="2"/>
      <c r="M169" s="2"/>
    </row>
    <row r="170" spans="2:13">
      <c r="B170" s="2"/>
      <c r="C170" s="1">
        <v>38.798321430000001</v>
      </c>
      <c r="D170" s="1">
        <v>1.0091617909999999</v>
      </c>
      <c r="E170" s="1"/>
      <c r="H170" s="2">
        <v>20.205559699999998</v>
      </c>
      <c r="I170" s="2">
        <v>15.297922399999999</v>
      </c>
      <c r="J170" s="2">
        <v>18.736606299999998</v>
      </c>
      <c r="L170" s="2"/>
      <c r="M170" s="2"/>
    </row>
    <row r="171" spans="2:13">
      <c r="B171" s="2"/>
      <c r="C171" s="1">
        <v>5.9894078530000003</v>
      </c>
      <c r="D171" s="1">
        <v>0.32979143500000002</v>
      </c>
      <c r="E171" s="1"/>
      <c r="H171" s="2">
        <v>9.10053175</v>
      </c>
      <c r="I171" s="2">
        <v>11.986481899999999</v>
      </c>
      <c r="J171" s="2">
        <v>14.460905800000001</v>
      </c>
      <c r="L171" s="2"/>
      <c r="M171" s="2"/>
    </row>
    <row r="172" spans="2:13">
      <c r="B172" s="2"/>
      <c r="C172" s="1">
        <v>3.483758398</v>
      </c>
      <c r="D172" s="1">
        <v>0.158299889</v>
      </c>
      <c r="E172" s="1"/>
      <c r="H172" s="2">
        <v>5.5435918900000001</v>
      </c>
      <c r="I172" s="2">
        <v>6.5917876900000003</v>
      </c>
      <c r="J172" s="2">
        <v>2.8504670000000001</v>
      </c>
      <c r="L172" s="2"/>
      <c r="M172" s="2"/>
    </row>
    <row r="173" spans="2:13">
      <c r="B173" s="2"/>
      <c r="C173" s="1">
        <v>33.587778110000002</v>
      </c>
      <c r="D173" s="1">
        <v>2.38109416</v>
      </c>
      <c r="E173" s="1"/>
      <c r="H173" s="2">
        <v>59.956444500000003</v>
      </c>
      <c r="I173" s="2">
        <v>30.9067781</v>
      </c>
      <c r="J173" s="2">
        <v>41.157962599999998</v>
      </c>
      <c r="L173" s="2"/>
      <c r="M173" s="2"/>
    </row>
    <row r="174" spans="2:13">
      <c r="B174" s="2"/>
      <c r="C174" s="1">
        <v>51.133361999999998</v>
      </c>
      <c r="D174" s="1">
        <v>2.209602614</v>
      </c>
      <c r="E174" s="1"/>
      <c r="H174" s="2">
        <v>33.196122699999997</v>
      </c>
      <c r="I174" s="2">
        <v>28.1239244</v>
      </c>
      <c r="J174" s="2">
        <v>30.9379955</v>
      </c>
      <c r="L174" s="2"/>
      <c r="M174" s="2"/>
    </row>
    <row r="175" spans="2:13">
      <c r="B175" s="2"/>
      <c r="C175" s="1">
        <v>50.469213949999997</v>
      </c>
      <c r="D175" s="1">
        <v>3.7068557279999998</v>
      </c>
      <c r="E175" s="1"/>
      <c r="H175" s="2">
        <v>70.484510599999993</v>
      </c>
      <c r="I175" s="2">
        <v>64.5186767</v>
      </c>
      <c r="J175" s="2">
        <v>57.7393377</v>
      </c>
      <c r="L175" s="2"/>
      <c r="M175" s="2"/>
    </row>
    <row r="176" spans="2:13">
      <c r="B176" s="2"/>
      <c r="C176" s="1">
        <v>10.922216540000001</v>
      </c>
      <c r="D176" s="1">
        <v>5.0260214679999997</v>
      </c>
      <c r="E176" s="1"/>
      <c r="H176" s="2">
        <v>33.784980599999997</v>
      </c>
      <c r="I176" s="2">
        <v>44.5567536</v>
      </c>
      <c r="J176" s="2">
        <v>26.036582800000001</v>
      </c>
      <c r="L176" s="2"/>
      <c r="M176" s="2"/>
    </row>
    <row r="177" spans="2:13">
      <c r="B177" s="2"/>
      <c r="C177" s="1">
        <v>35.254185939999999</v>
      </c>
      <c r="D177" s="1">
        <v>1.121290879</v>
      </c>
      <c r="E177" s="1"/>
      <c r="H177" s="2">
        <v>16.339320699999998</v>
      </c>
      <c r="I177" s="2">
        <v>11.4268018</v>
      </c>
      <c r="J177" s="2">
        <v>11.019488300000001</v>
      </c>
      <c r="L177" s="2"/>
      <c r="M177" s="2"/>
    </row>
    <row r="178" spans="2:13">
      <c r="B178" s="2"/>
      <c r="C178" s="1">
        <v>59.954455619999997</v>
      </c>
      <c r="D178" s="1">
        <v>4.6764425469999997</v>
      </c>
      <c r="E178" s="1"/>
      <c r="H178" s="2">
        <v>78.841534899999999</v>
      </c>
      <c r="I178" s="2">
        <v>56.092382000000001</v>
      </c>
      <c r="J178" s="2">
        <v>78.040224699999996</v>
      </c>
      <c r="L178" s="2"/>
      <c r="M178" s="2"/>
    </row>
    <row r="179" spans="2:13">
      <c r="B179" s="2"/>
      <c r="C179" s="1">
        <v>3.9667751610000002</v>
      </c>
      <c r="D179" s="1">
        <v>0.105533259</v>
      </c>
      <c r="E179" s="1"/>
      <c r="H179" s="2">
        <v>3.3844461199999998</v>
      </c>
      <c r="I179" s="2">
        <v>2.2231736799999999</v>
      </c>
      <c r="J179" s="2">
        <v>2.8504670000000001</v>
      </c>
      <c r="L179" s="2"/>
      <c r="M179" s="2"/>
    </row>
    <row r="180" spans="2:13">
      <c r="B180" s="2"/>
      <c r="C180" s="1">
        <v>16.796907910000002</v>
      </c>
      <c r="D180" s="1">
        <v>1.1806533370000001</v>
      </c>
      <c r="E180" s="1"/>
      <c r="H180" s="2">
        <v>26.6532567</v>
      </c>
      <c r="I180" s="2">
        <v>25.465444000000002</v>
      </c>
      <c r="J180" s="2">
        <v>18.6323209</v>
      </c>
      <c r="L180" s="2"/>
      <c r="M180" s="2"/>
    </row>
    <row r="181" spans="2:13">
      <c r="B181" s="2"/>
      <c r="C181" s="1">
        <v>7.3901564640000004</v>
      </c>
      <c r="D181" s="1">
        <v>0.27042897700000001</v>
      </c>
      <c r="E181" s="1"/>
      <c r="H181" s="2">
        <v>5.70418951</v>
      </c>
      <c r="I181" s="2">
        <v>3.1559738199999998</v>
      </c>
      <c r="J181" s="2">
        <v>3.6499882399999999</v>
      </c>
      <c r="L181" s="2"/>
      <c r="M181" s="2"/>
    </row>
    <row r="182" spans="2:13">
      <c r="B182" s="2"/>
      <c r="C182" s="1">
        <v>28.576479200000001</v>
      </c>
      <c r="D182" s="1">
        <v>1.3587407119999999</v>
      </c>
      <c r="E182" s="1"/>
      <c r="H182" s="2">
        <v>27.539517700000001</v>
      </c>
      <c r="I182" s="2">
        <v>23.646483700000001</v>
      </c>
      <c r="J182" s="2">
        <v>19.292795000000002</v>
      </c>
      <c r="L182" s="2"/>
      <c r="M182" s="2"/>
    </row>
    <row r="183" spans="2:13">
      <c r="B183" s="2"/>
      <c r="C183" s="1">
        <v>13.88069421</v>
      </c>
      <c r="D183" s="1">
        <v>0.65958287000000004</v>
      </c>
      <c r="E183" s="1"/>
      <c r="H183" s="2">
        <v>15.572020999999999</v>
      </c>
      <c r="I183" s="2">
        <v>16.7904026</v>
      </c>
      <c r="J183" s="2">
        <v>15.4689978</v>
      </c>
      <c r="L183" s="2"/>
      <c r="M183" s="2"/>
    </row>
    <row r="184" spans="2:13">
      <c r="B184" s="2"/>
      <c r="C184" s="1">
        <v>20.673117430000001</v>
      </c>
      <c r="D184" s="1">
        <v>0.67937035599999995</v>
      </c>
      <c r="E184" s="1"/>
      <c r="H184" s="2">
        <v>17.0411918</v>
      </c>
      <c r="I184" s="2">
        <v>17.987496100000001</v>
      </c>
      <c r="J184" s="2">
        <v>13.5223374</v>
      </c>
      <c r="L184" s="2"/>
      <c r="M184" s="2"/>
    </row>
    <row r="185" spans="2:13">
      <c r="B185" s="2"/>
      <c r="C185" s="1">
        <v>142.2303234</v>
      </c>
      <c r="D185" s="1">
        <v>8.6405355939999993</v>
      </c>
      <c r="E185" s="1"/>
      <c r="H185" s="2">
        <v>185.728173</v>
      </c>
      <c r="I185" s="2">
        <v>138.06996799999999</v>
      </c>
      <c r="J185" s="2">
        <v>176.10324199999999</v>
      </c>
      <c r="L185" s="2"/>
      <c r="M185" s="2"/>
    </row>
    <row r="186" spans="2:13">
      <c r="B186" s="2"/>
      <c r="C186" s="1">
        <v>2.475460907</v>
      </c>
      <c r="D186" s="1">
        <v>0.31659977700000003</v>
      </c>
      <c r="E186" s="1"/>
      <c r="H186" s="2">
        <v>5.7993584699999996</v>
      </c>
      <c r="I186" s="2">
        <v>6.3119476499999996</v>
      </c>
      <c r="J186" s="2">
        <v>5.9790283500000001</v>
      </c>
      <c r="L186" s="2"/>
      <c r="M186" s="2"/>
    </row>
    <row r="187" spans="2:13">
      <c r="B187" s="2"/>
      <c r="C187" s="1">
        <v>16.82709646</v>
      </c>
      <c r="D187" s="1">
        <v>0.41553720799999999</v>
      </c>
      <c r="E187" s="1"/>
      <c r="H187" s="2">
        <v>12.2589516</v>
      </c>
      <c r="I187" s="2">
        <v>8.1153612600000002</v>
      </c>
      <c r="J187" s="2">
        <v>10.1504435</v>
      </c>
      <c r="L187" s="2"/>
      <c r="M187" s="2"/>
    </row>
    <row r="188" spans="2:13">
      <c r="B188" s="2"/>
      <c r="C188" s="1">
        <v>5.4399762860000003</v>
      </c>
      <c r="D188" s="1">
        <v>0.237449833</v>
      </c>
      <c r="E188" s="1"/>
      <c r="H188" s="2">
        <v>9.6239610300000002</v>
      </c>
      <c r="I188" s="2">
        <v>4.8972007599999996</v>
      </c>
      <c r="J188" s="2">
        <v>8.1690212899999999</v>
      </c>
      <c r="L188" s="2"/>
      <c r="M188" s="2"/>
    </row>
    <row r="189" spans="2:13">
      <c r="B189" s="2"/>
      <c r="C189" s="1">
        <v>81.587568869999998</v>
      </c>
      <c r="D189" s="1">
        <v>3.7794098439999999</v>
      </c>
      <c r="E189" s="1"/>
      <c r="H189" s="2">
        <v>83.475073600000002</v>
      </c>
      <c r="I189" s="2">
        <v>79.832145699999998</v>
      </c>
      <c r="J189" s="2">
        <v>67.264068899999998</v>
      </c>
      <c r="L189" s="2"/>
      <c r="M189" s="2"/>
    </row>
    <row r="190" spans="2:13">
      <c r="B190" s="2"/>
      <c r="C190" s="1">
        <v>7.2633645639999997</v>
      </c>
      <c r="D190" s="1">
        <v>0.34957892099999999</v>
      </c>
      <c r="E190" s="1"/>
      <c r="H190" s="2">
        <v>9.2432851899999999</v>
      </c>
      <c r="I190" s="2">
        <v>9.2658147700000004</v>
      </c>
      <c r="J190" s="2">
        <v>8.7252099800000007</v>
      </c>
      <c r="L190" s="2"/>
      <c r="M190" s="2"/>
    </row>
    <row r="191" spans="2:13">
      <c r="B191" s="2"/>
      <c r="C191" s="1">
        <v>21.313114639999998</v>
      </c>
      <c r="D191" s="1">
        <v>1.0817159059999999</v>
      </c>
      <c r="E191" s="1"/>
      <c r="H191" s="2">
        <v>15.8753721</v>
      </c>
      <c r="I191" s="2">
        <v>21.298936600000001</v>
      </c>
      <c r="J191" s="2">
        <v>11.158535499999999</v>
      </c>
      <c r="L191" s="2"/>
      <c r="M191" s="2"/>
    </row>
    <row r="192" spans="2:13">
      <c r="B192" s="2"/>
      <c r="C192" s="1">
        <v>15.118424660000001</v>
      </c>
      <c r="D192" s="1">
        <v>0.58702875399999999</v>
      </c>
      <c r="E192" s="1"/>
      <c r="H192" s="2">
        <v>18.391401399999999</v>
      </c>
      <c r="I192" s="2">
        <v>8.2397346099999993</v>
      </c>
      <c r="J192" s="2">
        <v>11.054250100000001</v>
      </c>
      <c r="L192" s="2"/>
      <c r="M192" s="2"/>
    </row>
    <row r="193" spans="2:13">
      <c r="B193" s="2"/>
      <c r="C193" s="1">
        <v>11.024857600000001</v>
      </c>
      <c r="D193" s="1">
        <v>0.52766629600000003</v>
      </c>
      <c r="E193" s="1"/>
      <c r="H193" s="2">
        <v>10.361520499999999</v>
      </c>
      <c r="I193" s="2">
        <v>9.4990148100000003</v>
      </c>
      <c r="J193" s="2">
        <v>6.2223609</v>
      </c>
      <c r="L193" s="2"/>
      <c r="M193" s="2"/>
    </row>
    <row r="194" spans="2:13">
      <c r="B194" s="2"/>
      <c r="C194" s="1">
        <v>51.302417869999999</v>
      </c>
      <c r="D194" s="1">
        <v>2.2887525580000001</v>
      </c>
      <c r="E194" s="1"/>
      <c r="H194" s="2">
        <v>17.433763800000001</v>
      </c>
      <c r="I194" s="2">
        <v>17.816482799999999</v>
      </c>
      <c r="J194" s="2">
        <v>10.0461581</v>
      </c>
      <c r="L194" s="2"/>
      <c r="M194" s="2"/>
    </row>
    <row r="195" spans="2:13">
      <c r="B195" s="2"/>
      <c r="C195" s="1">
        <v>7.2814776920000002</v>
      </c>
      <c r="D195" s="1">
        <v>0.80469110099999996</v>
      </c>
      <c r="E195" s="1"/>
      <c r="H195" s="2">
        <v>9.9213640299999994</v>
      </c>
      <c r="I195" s="2">
        <v>10.9759484</v>
      </c>
      <c r="J195" s="2">
        <v>7.5433090199999997</v>
      </c>
      <c r="L195" s="2"/>
      <c r="M195" s="2"/>
    </row>
    <row r="196" spans="2:13">
      <c r="B196" s="2"/>
      <c r="C196" s="1">
        <v>12.47390789</v>
      </c>
      <c r="D196" s="1">
        <v>0.67277452699999996</v>
      </c>
      <c r="E196" s="1"/>
      <c r="H196" s="2">
        <v>12.134042300000001</v>
      </c>
      <c r="I196" s="2">
        <v>8.9859747300000006</v>
      </c>
      <c r="J196" s="2">
        <v>9.0033043199999998</v>
      </c>
      <c r="L196" s="2"/>
      <c r="M196" s="2"/>
    </row>
    <row r="197" spans="2:13">
      <c r="B197" s="2"/>
      <c r="C197" s="1">
        <v>52.697128769999999</v>
      </c>
      <c r="D197" s="1">
        <v>1.7281071189999999</v>
      </c>
      <c r="E197" s="1"/>
      <c r="H197" s="2">
        <v>28.949207900000001</v>
      </c>
      <c r="I197" s="2">
        <v>46.484540500000001</v>
      </c>
      <c r="J197" s="2">
        <v>15.7818539</v>
      </c>
      <c r="L197" s="2"/>
      <c r="M197" s="2"/>
    </row>
    <row r="198" spans="2:13">
      <c r="B198" s="2"/>
      <c r="C198" s="1">
        <v>19.550103459999999</v>
      </c>
      <c r="D198" s="1">
        <v>2.526202391</v>
      </c>
      <c r="E198" s="1"/>
      <c r="H198" s="2">
        <v>33.297239699999999</v>
      </c>
      <c r="I198" s="2">
        <v>18.562722900000001</v>
      </c>
      <c r="J198" s="2">
        <v>22.595165300000001</v>
      </c>
      <c r="L198" s="2"/>
      <c r="M198" s="2"/>
    </row>
    <row r="199" spans="2:13">
      <c r="B199" s="2"/>
      <c r="C199" s="1">
        <v>50.60808127</v>
      </c>
      <c r="D199" s="1">
        <v>3.3506809780000002</v>
      </c>
      <c r="E199" s="1"/>
      <c r="H199" s="2">
        <v>113.030984</v>
      </c>
      <c r="I199" s="2">
        <v>130.809674</v>
      </c>
      <c r="J199" s="2">
        <v>118.781046</v>
      </c>
      <c r="L199" s="2"/>
      <c r="M199" s="2"/>
    </row>
    <row r="200" spans="2:13">
      <c r="B200" s="2"/>
      <c r="C200" s="1">
        <v>19.531990329999999</v>
      </c>
      <c r="D200" s="1">
        <v>128.3086557</v>
      </c>
      <c r="E200" s="1"/>
      <c r="H200" s="2">
        <v>61.943096500000003</v>
      </c>
      <c r="I200" s="2">
        <v>52.252354799999999</v>
      </c>
      <c r="J200" s="2">
        <v>49.292222099999996</v>
      </c>
      <c r="L200" s="2"/>
      <c r="M200" s="2"/>
    </row>
    <row r="201" spans="2:13">
      <c r="B201" s="2"/>
      <c r="C201" s="1">
        <v>40.108504400000001</v>
      </c>
      <c r="D201" s="1">
        <v>1.1608658510000001</v>
      </c>
      <c r="E201" s="1"/>
      <c r="H201" s="2">
        <v>23.482940800000002</v>
      </c>
      <c r="I201" s="2">
        <v>15.002535699999999</v>
      </c>
      <c r="J201" s="2">
        <v>20.370410499999998</v>
      </c>
      <c r="L201" s="2"/>
      <c r="M201" s="2"/>
    </row>
    <row r="202" spans="2:13">
      <c r="B202" s="2"/>
      <c r="C202" s="1">
        <v>131.4228233</v>
      </c>
      <c r="D202" s="1">
        <v>1179.6903460000001</v>
      </c>
      <c r="E202" s="1"/>
      <c r="H202" s="2">
        <v>186.69770600000001</v>
      </c>
      <c r="I202" s="2">
        <v>136.857328</v>
      </c>
      <c r="J202" s="2">
        <v>186.80987400000001</v>
      </c>
      <c r="L202" s="2"/>
      <c r="M202" s="2"/>
    </row>
    <row r="203" spans="2:13">
      <c r="B203" s="2"/>
      <c r="C203" s="1">
        <v>18.390863230000001</v>
      </c>
      <c r="D203" s="1">
        <v>0.69915784199999997</v>
      </c>
      <c r="E203" s="1"/>
      <c r="H203" s="2">
        <v>10.0403252</v>
      </c>
      <c r="I203" s="2">
        <v>12.266321899999999</v>
      </c>
      <c r="J203" s="2">
        <v>7.2652146799999997</v>
      </c>
      <c r="L203" s="2"/>
      <c r="M203" s="2"/>
    </row>
    <row r="204" spans="2:13">
      <c r="B204" s="2"/>
      <c r="C204" s="1">
        <v>7.1848743400000004</v>
      </c>
      <c r="D204" s="1">
        <v>117.0495761</v>
      </c>
      <c r="E204" s="1"/>
      <c r="H204" s="2">
        <v>6.5726062699999996</v>
      </c>
      <c r="I204" s="2">
        <v>3.7933872599999998</v>
      </c>
      <c r="J204" s="2">
        <v>7.9952123300000002</v>
      </c>
      <c r="L204" s="2"/>
      <c r="M204" s="2"/>
    </row>
    <row r="205" spans="2:13">
      <c r="B205" s="2"/>
      <c r="C205" s="1">
        <v>2.7230069979999998</v>
      </c>
      <c r="D205" s="1">
        <v>0.244045662</v>
      </c>
      <c r="E205" s="1"/>
      <c r="H205" s="2">
        <v>7.7146337799999998</v>
      </c>
      <c r="I205" s="2">
        <v>5.4102408400000002</v>
      </c>
      <c r="J205" s="2">
        <v>5.9790283500000001</v>
      </c>
      <c r="L205" s="2"/>
      <c r="M205" s="2"/>
    </row>
    <row r="206" spans="2:13">
      <c r="B206" s="2"/>
      <c r="C206" s="1">
        <v>82.529451550000005</v>
      </c>
      <c r="D206" s="1">
        <v>6.668382813</v>
      </c>
      <c r="E206" s="1"/>
      <c r="H206" s="2">
        <v>114.000517</v>
      </c>
      <c r="I206" s="2">
        <v>101.519749</v>
      </c>
      <c r="J206" s="2">
        <v>96.185880499999996</v>
      </c>
      <c r="L206" s="2"/>
      <c r="M206" s="2"/>
    </row>
    <row r="207" spans="2:13">
      <c r="B207" s="2"/>
      <c r="C207" s="1">
        <v>7.239213726</v>
      </c>
      <c r="D207" s="1">
        <v>0.36277057800000001</v>
      </c>
      <c r="E207" s="1"/>
      <c r="H207" s="2">
        <v>6.9651782200000003</v>
      </c>
      <c r="I207" s="2">
        <v>13.401228700000001</v>
      </c>
      <c r="J207" s="2">
        <v>8.5514010099999993</v>
      </c>
      <c r="L207" s="2"/>
      <c r="M207" s="2"/>
    </row>
    <row r="208" spans="2:13">
      <c r="B208" s="2"/>
      <c r="C208" s="1">
        <v>5.7599748909999997</v>
      </c>
      <c r="D208" s="1">
        <v>0.12532074500000001</v>
      </c>
      <c r="E208" s="1"/>
      <c r="H208" s="2">
        <v>2.0342365099999999</v>
      </c>
      <c r="I208" s="2">
        <v>2.5185603900000002</v>
      </c>
      <c r="J208" s="2">
        <v>1.8771368100000001</v>
      </c>
      <c r="L208" s="2"/>
      <c r="M208" s="2"/>
    </row>
    <row r="209" spans="2:13">
      <c r="B209" s="2"/>
      <c r="C209" s="1">
        <v>33.189289279999997</v>
      </c>
      <c r="D209" s="1">
        <v>1.2532074529999999</v>
      </c>
      <c r="E209" s="1"/>
      <c r="H209" s="2">
        <v>41.957614999999997</v>
      </c>
      <c r="I209" s="2">
        <v>43.344113399999998</v>
      </c>
      <c r="J209" s="2">
        <v>32.919417699999997</v>
      </c>
      <c r="L209" s="2"/>
      <c r="M209" s="2"/>
    </row>
    <row r="210" spans="2:13">
      <c r="B210" s="2"/>
      <c r="C210" s="1">
        <v>15.74030874</v>
      </c>
      <c r="D210" s="1">
        <v>1.6291696879999999</v>
      </c>
      <c r="E210" s="1"/>
      <c r="H210" s="2">
        <v>29.401260400000002</v>
      </c>
      <c r="I210" s="2">
        <v>24.967950500000001</v>
      </c>
      <c r="J210" s="2">
        <v>21.0308846</v>
      </c>
      <c r="L210" s="2"/>
      <c r="M210" s="2"/>
    </row>
    <row r="211" spans="2:13">
      <c r="B211" s="2"/>
      <c r="C211" s="1">
        <v>44.135656660000002</v>
      </c>
      <c r="D211" s="1">
        <v>2.0908776969999998</v>
      </c>
      <c r="E211" s="1"/>
      <c r="H211" s="2">
        <v>35.1589825</v>
      </c>
      <c r="I211" s="2">
        <v>38.120432600000001</v>
      </c>
      <c r="J211" s="2">
        <v>41.436056899999997</v>
      </c>
      <c r="L211" s="2"/>
      <c r="M211" s="2"/>
    </row>
    <row r="212" spans="2:13">
      <c r="B212" s="2"/>
      <c r="C212" s="1">
        <v>42.215665029999997</v>
      </c>
      <c r="D212" s="1">
        <v>1.1344825359999999</v>
      </c>
      <c r="E212" s="1"/>
      <c r="H212" s="2">
        <v>50.796432099999997</v>
      </c>
      <c r="I212" s="2">
        <v>30.4403781</v>
      </c>
      <c r="J212" s="2">
        <v>35.1789342</v>
      </c>
      <c r="L212" s="2"/>
      <c r="M212" s="2"/>
    </row>
    <row r="213" spans="2:13">
      <c r="B213" s="2"/>
      <c r="C213" s="1">
        <v>12.76975565</v>
      </c>
      <c r="D213" s="1">
        <v>0.98277847600000001</v>
      </c>
      <c r="E213" s="1"/>
      <c r="H213" s="2">
        <v>11.0514954</v>
      </c>
      <c r="I213" s="2">
        <v>8.45738798</v>
      </c>
      <c r="J213" s="2">
        <v>6.7090259999999997</v>
      </c>
      <c r="L213" s="2"/>
      <c r="M213" s="2"/>
    </row>
    <row r="214" spans="2:13">
      <c r="B214" s="2"/>
      <c r="C214" s="1">
        <v>67.290272700000003</v>
      </c>
      <c r="D214" s="1">
        <v>2.3679025020000002</v>
      </c>
      <c r="E214" s="1"/>
      <c r="H214" s="2">
        <v>50.998666200000002</v>
      </c>
      <c r="I214" s="2">
        <v>48.692167599999998</v>
      </c>
      <c r="J214" s="2">
        <v>46.233184299999998</v>
      </c>
      <c r="L214" s="2"/>
      <c r="M214" s="2"/>
    </row>
    <row r="215" spans="2:13">
      <c r="B215" s="2"/>
      <c r="C215" s="1">
        <v>74.414769949999993</v>
      </c>
      <c r="D215" s="1">
        <v>3.7002598990000002</v>
      </c>
      <c r="E215" s="1"/>
      <c r="H215" s="2">
        <v>53.574176199999997</v>
      </c>
      <c r="I215" s="2">
        <v>23.444376999999999</v>
      </c>
      <c r="J215" s="2">
        <v>48.701271599999998</v>
      </c>
      <c r="L215" s="2"/>
      <c r="M215" s="2"/>
    </row>
    <row r="216" spans="2:13">
      <c r="B216" s="2"/>
      <c r="C216" s="1">
        <v>53.385427659999998</v>
      </c>
      <c r="D216" s="1">
        <v>1.3257615679999999</v>
      </c>
      <c r="E216" s="1"/>
      <c r="H216" s="2">
        <v>58.427793100000002</v>
      </c>
      <c r="I216" s="2">
        <v>31.2643515</v>
      </c>
      <c r="J216" s="2">
        <v>59.060285800000003</v>
      </c>
      <c r="L216" s="2"/>
      <c r="M216" s="2"/>
    </row>
    <row r="217" spans="2:13">
      <c r="B217" s="2"/>
      <c r="C217" s="1">
        <v>5.258845</v>
      </c>
      <c r="D217" s="1">
        <v>0.224258176</v>
      </c>
      <c r="E217" s="1"/>
      <c r="H217" s="2">
        <v>6.5250217900000003</v>
      </c>
      <c r="I217" s="2">
        <v>4.1198673100000001</v>
      </c>
      <c r="J217" s="2">
        <v>4.9014127700000003</v>
      </c>
      <c r="L217" s="2"/>
      <c r="M217" s="2"/>
    </row>
    <row r="218" spans="2:13">
      <c r="B218" s="2"/>
      <c r="C218" s="1">
        <v>11.767495869999999</v>
      </c>
      <c r="D218" s="1">
        <v>185.32299889999999</v>
      </c>
      <c r="E218" s="1"/>
      <c r="H218" s="2">
        <v>24.8807349</v>
      </c>
      <c r="I218" s="2">
        <v>24.750297199999999</v>
      </c>
      <c r="J218" s="2">
        <v>16.685660500000001</v>
      </c>
      <c r="L218" s="2"/>
      <c r="M218" s="2"/>
    </row>
    <row r="219" spans="2:13">
      <c r="B219" s="2"/>
      <c r="C219" s="1">
        <v>22.091979169999998</v>
      </c>
      <c r="D219" s="1">
        <v>0.96958681899999999</v>
      </c>
      <c r="E219" s="1"/>
      <c r="H219" s="2">
        <v>30.430274799999999</v>
      </c>
      <c r="I219" s="2">
        <v>27.2688576</v>
      </c>
      <c r="J219" s="2">
        <v>19.1885096</v>
      </c>
      <c r="L219" s="2"/>
      <c r="M219" s="2"/>
    </row>
    <row r="220" spans="2:13">
      <c r="B220" s="2"/>
      <c r="C220" s="1">
        <v>70.345353720000006</v>
      </c>
      <c r="D220" s="1">
        <v>445.12609550000002</v>
      </c>
      <c r="E220" s="1"/>
      <c r="H220" s="2">
        <v>32.119523800000003</v>
      </c>
      <c r="I220" s="2">
        <v>38.291445899999999</v>
      </c>
      <c r="J220" s="2">
        <v>25.584679399999999</v>
      </c>
      <c r="L220" s="2"/>
      <c r="M220" s="2"/>
    </row>
    <row r="221" spans="2:13">
      <c r="B221" s="2"/>
      <c r="C221" s="1">
        <v>31.13646804</v>
      </c>
      <c r="D221" s="1">
        <v>1.576403059</v>
      </c>
      <c r="E221" s="1"/>
      <c r="H221" s="2">
        <v>29.900897499999999</v>
      </c>
      <c r="I221" s="2">
        <v>25.0456839</v>
      </c>
      <c r="J221" s="2">
        <v>22.143262</v>
      </c>
      <c r="L221" s="2"/>
      <c r="M221" s="2"/>
    </row>
    <row r="222" spans="2:13">
      <c r="B222" s="2"/>
      <c r="C222" s="1">
        <v>12.88447214</v>
      </c>
      <c r="D222" s="1">
        <v>0.77171195800000003</v>
      </c>
      <c r="E222" s="1"/>
      <c r="H222" s="2">
        <v>14.8225654</v>
      </c>
      <c r="I222" s="2">
        <v>7.5556811699999997</v>
      </c>
      <c r="J222" s="2">
        <v>9.4552076199999995</v>
      </c>
      <c r="L222" s="2"/>
      <c r="M222" s="2"/>
    </row>
    <row r="223" spans="2:13">
      <c r="B223" s="2"/>
      <c r="C223" s="1">
        <v>30.16439681</v>
      </c>
      <c r="D223" s="1">
        <v>2.282156729</v>
      </c>
      <c r="E223" s="1"/>
      <c r="H223" s="2">
        <v>36.253425499999999</v>
      </c>
      <c r="I223" s="2">
        <v>57.957982299999998</v>
      </c>
      <c r="J223" s="2">
        <v>33.927509700000002</v>
      </c>
      <c r="L223" s="2"/>
      <c r="M223" s="2"/>
    </row>
    <row r="224" spans="2:13">
      <c r="B224" s="2"/>
      <c r="C224" s="1">
        <v>5.7599748909999997</v>
      </c>
      <c r="D224" s="1">
        <v>0.25723731900000002</v>
      </c>
      <c r="E224" s="1"/>
      <c r="H224" s="2">
        <v>5.1212796300000001</v>
      </c>
      <c r="I224" s="2">
        <v>4.9593874400000004</v>
      </c>
      <c r="J224" s="2">
        <v>4.2061769199999999</v>
      </c>
      <c r="L224" s="2"/>
      <c r="M224" s="2"/>
    </row>
    <row r="225" spans="2:13">
      <c r="B225" s="2"/>
      <c r="C225" s="1">
        <v>17.23766071</v>
      </c>
      <c r="D225" s="1">
        <v>0.89703270300000004</v>
      </c>
      <c r="E225" s="1"/>
      <c r="H225" s="2">
        <v>17.957193</v>
      </c>
      <c r="I225" s="2">
        <v>10.6805617</v>
      </c>
      <c r="J225" s="2">
        <v>11.7494859</v>
      </c>
      <c r="L225" s="2"/>
      <c r="M225" s="2"/>
    </row>
    <row r="226" spans="2:13">
      <c r="B226" s="2"/>
      <c r="C226" s="1">
        <v>38.146248810000003</v>
      </c>
      <c r="D226" s="1">
        <v>1.6423613459999999</v>
      </c>
      <c r="E226" s="1"/>
      <c r="H226" s="2">
        <v>48.988221899999999</v>
      </c>
      <c r="I226" s="2">
        <v>56.0768354</v>
      </c>
      <c r="J226" s="2">
        <v>45.086045200000001</v>
      </c>
      <c r="L226" s="2"/>
      <c r="M226" s="2"/>
    </row>
    <row r="227" spans="2:13">
      <c r="B227" s="2"/>
      <c r="C227" s="1">
        <v>1.3947109010000001</v>
      </c>
      <c r="D227" s="1">
        <v>3.2979143000000002E-2</v>
      </c>
      <c r="E227" s="1"/>
      <c r="H227" s="2">
        <v>0.63644241999999995</v>
      </c>
      <c r="I227" s="2">
        <v>0.27984004000000001</v>
      </c>
      <c r="J227" s="2">
        <v>0.45190331</v>
      </c>
      <c r="L227" s="2"/>
      <c r="M227" s="2"/>
    </row>
    <row r="228" spans="2:13">
      <c r="B228" s="2"/>
      <c r="C228" s="1">
        <v>131.8756515</v>
      </c>
      <c r="D228" s="1">
        <v>6.457316295</v>
      </c>
      <c r="E228" s="1"/>
      <c r="H228" s="2">
        <v>122.095827</v>
      </c>
      <c r="I228" s="2">
        <v>121.62159200000001</v>
      </c>
      <c r="J228" s="2">
        <v>131.12148199999999</v>
      </c>
      <c r="L228" s="2"/>
      <c r="M228" s="2"/>
    </row>
    <row r="229" spans="2:13">
      <c r="B229" s="2"/>
      <c r="C229" s="1">
        <v>9.5818450229999996</v>
      </c>
      <c r="D229" s="1">
        <v>0.69256201299999998</v>
      </c>
      <c r="E229" s="1"/>
      <c r="H229" s="2">
        <v>17.0411918</v>
      </c>
      <c r="I229" s="2">
        <v>22.977976900000002</v>
      </c>
      <c r="J229" s="2">
        <v>15.260427</v>
      </c>
      <c r="L229" s="2"/>
      <c r="M229" s="2"/>
    </row>
    <row r="230" spans="2:13">
      <c r="B230" s="2"/>
      <c r="C230" s="1">
        <v>47.891111989999999</v>
      </c>
      <c r="D230" s="1">
        <v>2.2689650719999999</v>
      </c>
      <c r="E230" s="1"/>
      <c r="H230" s="2">
        <v>28.782662200000001</v>
      </c>
      <c r="I230" s="2">
        <v>29.694137900000001</v>
      </c>
      <c r="J230" s="2">
        <v>15.7818539</v>
      </c>
      <c r="L230" s="2"/>
      <c r="M230" s="2"/>
    </row>
    <row r="231" spans="2:13">
      <c r="B231" s="2"/>
      <c r="C231" s="1">
        <v>108.5700928</v>
      </c>
      <c r="D231" s="1">
        <v>5.2898546160000004</v>
      </c>
      <c r="E231" s="1"/>
      <c r="H231" s="2">
        <v>85.622323300000005</v>
      </c>
      <c r="I231" s="2">
        <v>81.993132700000004</v>
      </c>
      <c r="J231" s="2">
        <v>82.315925199999995</v>
      </c>
      <c r="L231" s="2"/>
      <c r="M231" s="2"/>
    </row>
    <row r="232" spans="2:13">
      <c r="B232" s="2"/>
      <c r="C232" s="1">
        <v>45.693385720000002</v>
      </c>
      <c r="D232" s="1">
        <v>2.981314571</v>
      </c>
      <c r="E232" s="1"/>
      <c r="H232" s="2">
        <v>58.064961400000001</v>
      </c>
      <c r="I232" s="2">
        <v>41.291953100000001</v>
      </c>
      <c r="J232" s="2">
        <v>52.768401400000002</v>
      </c>
      <c r="L232" s="2"/>
      <c r="M232" s="2"/>
    </row>
    <row r="233" spans="2:13">
      <c r="B233" s="2"/>
      <c r="C233" s="1">
        <v>97.829007500000003</v>
      </c>
      <c r="D233" s="1">
        <v>3.9245180749999999</v>
      </c>
      <c r="E233" s="1"/>
      <c r="H233" s="2">
        <v>76.379038100000002</v>
      </c>
      <c r="I233" s="2">
        <v>45.240806999999997</v>
      </c>
      <c r="J233" s="2">
        <v>48.284130099999999</v>
      </c>
      <c r="L233" s="2"/>
      <c r="M233" s="2"/>
    </row>
    <row r="234" spans="2:13">
      <c r="B234" s="2"/>
      <c r="C234" s="1">
        <v>10.44523749</v>
      </c>
      <c r="D234" s="1">
        <v>0.94320350399999997</v>
      </c>
      <c r="E234" s="1"/>
      <c r="H234" s="2">
        <v>27.301595299999999</v>
      </c>
      <c r="I234" s="2">
        <v>13.3390421</v>
      </c>
      <c r="J234" s="2">
        <v>23.151354000000001</v>
      </c>
      <c r="L234" s="2"/>
      <c r="M234" s="2"/>
    </row>
    <row r="235" spans="2:13">
      <c r="B235" s="2"/>
      <c r="C235" s="1">
        <v>77.669095380000002</v>
      </c>
      <c r="D235" s="1">
        <v>2.216198442</v>
      </c>
      <c r="E235" s="1"/>
      <c r="H235" s="2">
        <v>27.575206000000001</v>
      </c>
      <c r="I235" s="2">
        <v>45.178620299999999</v>
      </c>
      <c r="J235" s="2">
        <v>30.7294248</v>
      </c>
      <c r="L235" s="2"/>
      <c r="M235" s="2"/>
    </row>
    <row r="236" spans="2:13">
      <c r="B236" s="2"/>
      <c r="C236" s="1">
        <v>77.216267169999995</v>
      </c>
      <c r="D236" s="1">
        <v>4.7885716350000003</v>
      </c>
      <c r="E236" s="1"/>
      <c r="H236" s="2">
        <v>42.974733299999997</v>
      </c>
      <c r="I236" s="2">
        <v>22.3716568</v>
      </c>
      <c r="J236" s="2">
        <v>27.670387000000002</v>
      </c>
      <c r="L236" s="2"/>
      <c r="M236" s="2"/>
    </row>
    <row r="237" spans="2:13">
      <c r="B237" s="2"/>
      <c r="C237" s="1">
        <v>23.945555989999999</v>
      </c>
      <c r="D237" s="1">
        <v>6.239653948</v>
      </c>
      <c r="E237" s="1"/>
      <c r="H237" s="2">
        <v>111.674826</v>
      </c>
      <c r="I237" s="2">
        <v>101.13108200000001</v>
      </c>
      <c r="J237" s="2">
        <v>107.970128</v>
      </c>
      <c r="L237" s="2"/>
      <c r="M237" s="2"/>
    </row>
    <row r="238" spans="2:13">
      <c r="B238" s="2"/>
      <c r="C238" s="1">
        <v>55.607304759999998</v>
      </c>
      <c r="D238" s="1">
        <v>3.2913185199999999</v>
      </c>
      <c r="E238" s="1"/>
      <c r="H238" s="2">
        <v>55.0195547</v>
      </c>
      <c r="I238" s="2">
        <v>59.947955999999998</v>
      </c>
      <c r="J238" s="2">
        <v>55.931724500000001</v>
      </c>
      <c r="L238" s="2"/>
      <c r="M238" s="2"/>
    </row>
    <row r="239" spans="2:13">
      <c r="B239" s="2"/>
      <c r="C239" s="1">
        <v>80.633610759999996</v>
      </c>
      <c r="D239" s="1">
        <v>2.8296105109999998</v>
      </c>
      <c r="E239" s="1"/>
      <c r="H239" s="2">
        <v>38.709974299999999</v>
      </c>
      <c r="I239" s="2">
        <v>28.3104844</v>
      </c>
      <c r="J239" s="2">
        <v>40.2889178</v>
      </c>
      <c r="L239" s="2"/>
      <c r="M239" s="2"/>
    </row>
    <row r="240" spans="2:13">
      <c r="B240" s="2"/>
      <c r="C240" s="1">
        <v>30.97344988</v>
      </c>
      <c r="D240" s="1">
        <v>2.7372689100000001</v>
      </c>
      <c r="E240" s="1"/>
      <c r="H240" s="2">
        <v>50.255158700000003</v>
      </c>
      <c r="I240" s="2">
        <v>47.044220600000003</v>
      </c>
      <c r="J240" s="2">
        <v>42.965575800000003</v>
      </c>
      <c r="L240" s="2"/>
      <c r="M240" s="2"/>
    </row>
    <row r="241" spans="2:13">
      <c r="B241" s="2"/>
      <c r="C241" s="1">
        <v>109.52405090000001</v>
      </c>
      <c r="D241" s="1">
        <v>3.7002598990000002</v>
      </c>
      <c r="E241" s="1"/>
      <c r="H241" s="2">
        <v>49.583027899999998</v>
      </c>
      <c r="I241" s="2">
        <v>37.0166191</v>
      </c>
      <c r="J241" s="2">
        <v>40.462726699999997</v>
      </c>
      <c r="L241" s="2"/>
      <c r="M241" s="2"/>
    </row>
    <row r="242" spans="2:13">
      <c r="B242" s="2"/>
      <c r="C242" s="1">
        <v>10.807500060000001</v>
      </c>
      <c r="D242" s="1">
        <v>0.78490361500000005</v>
      </c>
      <c r="E242" s="1"/>
      <c r="H242" s="2">
        <v>14.864201899999999</v>
      </c>
      <c r="I242" s="2">
        <v>15.748775800000001</v>
      </c>
      <c r="J242" s="2">
        <v>23.012306800000001</v>
      </c>
      <c r="L242" s="2"/>
      <c r="M242" s="2"/>
    </row>
    <row r="243" spans="2:13">
      <c r="B243" s="2"/>
      <c r="C243" s="1">
        <v>30.84665798</v>
      </c>
      <c r="D243" s="1">
        <v>1.0157576189999999</v>
      </c>
      <c r="E243" s="1"/>
      <c r="H243" s="2">
        <v>18.076154200000001</v>
      </c>
      <c r="I243" s="2">
        <v>9.3746414500000004</v>
      </c>
      <c r="J243" s="2">
        <v>13.383290199999999</v>
      </c>
      <c r="L243" s="2"/>
      <c r="M243" s="2"/>
    </row>
    <row r="244" spans="2:13">
      <c r="B244" s="2"/>
      <c r="C244" s="1">
        <v>24.15083812</v>
      </c>
      <c r="D244" s="1">
        <v>1.7742779200000001</v>
      </c>
      <c r="E244" s="1"/>
      <c r="H244" s="2">
        <v>30.448118999999998</v>
      </c>
      <c r="I244" s="2">
        <v>16.277362499999999</v>
      </c>
      <c r="J244" s="2">
        <v>26.5927714</v>
      </c>
      <c r="L244" s="2"/>
      <c r="M244" s="2"/>
    </row>
    <row r="245" spans="2:13">
      <c r="B245" s="2"/>
      <c r="C245" s="1">
        <v>53.0352405</v>
      </c>
      <c r="D245" s="1">
        <v>2.803227197</v>
      </c>
      <c r="E245" s="1"/>
      <c r="H245" s="2">
        <v>42.082524300000003</v>
      </c>
      <c r="I245" s="2">
        <v>33.192138499999999</v>
      </c>
      <c r="J245" s="2">
        <v>35.144172400000002</v>
      </c>
      <c r="L245" s="2"/>
      <c r="M245" s="2"/>
    </row>
    <row r="246" spans="2:13">
      <c r="B246" s="2"/>
      <c r="C246" s="1">
        <v>6.4905377440000001</v>
      </c>
      <c r="D246" s="1">
        <v>0.30340812</v>
      </c>
      <c r="E246" s="1"/>
      <c r="H246" s="2">
        <v>5.70418951</v>
      </c>
      <c r="I246" s="2">
        <v>3.2181605000000002</v>
      </c>
      <c r="J246" s="2">
        <v>3.54570286</v>
      </c>
      <c r="L246" s="2"/>
      <c r="M246" s="2"/>
    </row>
    <row r="247" spans="2:13">
      <c r="B247" s="2"/>
      <c r="C247" s="1">
        <v>3.5924371700000002</v>
      </c>
      <c r="D247" s="1">
        <v>0.19787486100000001</v>
      </c>
      <c r="E247" s="1"/>
      <c r="H247" s="2">
        <v>5.5554880100000004</v>
      </c>
      <c r="I247" s="2">
        <v>4.1509606400000001</v>
      </c>
      <c r="J247" s="2">
        <v>4.9361745700000004</v>
      </c>
      <c r="L247" s="2"/>
      <c r="M247" s="2"/>
    </row>
    <row r="248" spans="2:13">
      <c r="B248" s="2"/>
      <c r="C248" s="1">
        <v>3.7856438749999999</v>
      </c>
      <c r="D248" s="1">
        <v>7.9149944E-2</v>
      </c>
      <c r="E248" s="1"/>
      <c r="H248" s="2">
        <v>5.0677470900000001</v>
      </c>
      <c r="I248" s="2">
        <v>3.49800054</v>
      </c>
      <c r="J248" s="2">
        <v>4.0323679600000002</v>
      </c>
      <c r="L248" s="2"/>
      <c r="M248" s="2"/>
    </row>
    <row r="249" spans="2:13">
      <c r="B249" s="2"/>
      <c r="C249" s="1">
        <v>38.919075630000002</v>
      </c>
      <c r="D249" s="1">
        <v>1.312569911</v>
      </c>
      <c r="E249" s="1"/>
      <c r="H249" s="2">
        <v>27.093413200000001</v>
      </c>
      <c r="I249" s="2">
        <v>19.2312297</v>
      </c>
      <c r="J249" s="2">
        <v>23.047068599999999</v>
      </c>
      <c r="L249" s="2"/>
      <c r="M249" s="2"/>
    </row>
    <row r="250" spans="2:13">
      <c r="B250" s="2"/>
      <c r="C250" s="1">
        <v>6.0014832719999998</v>
      </c>
      <c r="D250" s="1">
        <v>0.27042897700000001</v>
      </c>
      <c r="E250" s="1"/>
      <c r="H250" s="2">
        <v>9.2135448899999997</v>
      </c>
      <c r="I250" s="2">
        <v>7.5245878299999998</v>
      </c>
      <c r="J250" s="2">
        <v>8.8642571500000003</v>
      </c>
      <c r="L250" s="2"/>
      <c r="M250" s="2"/>
    </row>
    <row r="251" spans="2:13">
      <c r="B251" s="2"/>
      <c r="C251" s="1">
        <v>1.2075419060000001</v>
      </c>
      <c r="D251" s="1">
        <v>3.9574972E-2</v>
      </c>
      <c r="E251" s="1"/>
      <c r="H251" s="2">
        <v>2.20078219</v>
      </c>
      <c r="I251" s="2">
        <v>1.69458693</v>
      </c>
      <c r="J251" s="2">
        <v>1.49475709</v>
      </c>
      <c r="L251" s="2"/>
      <c r="M251" s="2"/>
    </row>
    <row r="252" spans="2:13">
      <c r="B252" s="2"/>
      <c r="C252" s="1">
        <v>4.2626229279999999</v>
      </c>
      <c r="D252" s="1">
        <v>0.36277057800000001</v>
      </c>
      <c r="E252" s="1"/>
      <c r="H252" s="2">
        <v>10.1652345</v>
      </c>
      <c r="I252" s="2">
        <v>5.4568808500000001</v>
      </c>
      <c r="J252" s="2">
        <v>8.5166392200000001</v>
      </c>
      <c r="L252" s="2"/>
      <c r="M252" s="2"/>
    </row>
    <row r="253" spans="2:13">
      <c r="B253" s="2"/>
      <c r="C253" s="1">
        <v>32.651933130000003</v>
      </c>
      <c r="D253" s="1">
        <v>2.915356284</v>
      </c>
      <c r="E253" s="1"/>
      <c r="H253" s="2">
        <v>53.978644199999998</v>
      </c>
      <c r="I253" s="2">
        <v>51.055261299999998</v>
      </c>
      <c r="J253" s="2">
        <v>49.292222099999996</v>
      </c>
      <c r="L253" s="2"/>
      <c r="M253" s="2"/>
    </row>
    <row r="254" spans="2:13">
      <c r="B254" s="2"/>
      <c r="C254" s="1">
        <v>130.42056349999999</v>
      </c>
      <c r="D254" s="1">
        <v>7.710523748</v>
      </c>
      <c r="E254" s="1"/>
      <c r="H254" s="2">
        <v>91.189707400000003</v>
      </c>
      <c r="I254" s="2">
        <v>50.7287812</v>
      </c>
      <c r="J254" s="2">
        <v>82.976399200000003</v>
      </c>
      <c r="L254" s="2"/>
      <c r="M254" s="2"/>
    </row>
    <row r="255" spans="2:13">
      <c r="B255" s="2"/>
      <c r="C255" s="1">
        <v>4.7214888520000002</v>
      </c>
      <c r="D255" s="1">
        <v>0.29021646299999998</v>
      </c>
      <c r="E255" s="1"/>
      <c r="H255" s="2">
        <v>6.3584761099999998</v>
      </c>
      <c r="I255" s="2">
        <v>6.1564809599999997</v>
      </c>
      <c r="J255" s="2">
        <v>4.51903305</v>
      </c>
      <c r="L255" s="2"/>
      <c r="M255" s="2"/>
    </row>
    <row r="256" spans="2:13">
      <c r="B256" s="2"/>
      <c r="C256" s="1">
        <v>1.0807500059999999</v>
      </c>
      <c r="D256" s="1">
        <v>4.6170800999999997E-2</v>
      </c>
      <c r="E256" s="1"/>
      <c r="H256" s="2">
        <v>2.1591457699999999</v>
      </c>
      <c r="I256" s="2">
        <v>1.41474689</v>
      </c>
      <c r="J256" s="2">
        <v>1.3209481199999999</v>
      </c>
      <c r="L256" s="2"/>
      <c r="M256" s="2"/>
    </row>
    <row r="257" spans="2:13">
      <c r="B257" s="2"/>
      <c r="C257" s="1">
        <v>62.218596699999999</v>
      </c>
      <c r="D257" s="1">
        <v>3.3770642930000001</v>
      </c>
      <c r="E257" s="1"/>
      <c r="H257" s="2">
        <v>54.400956499999999</v>
      </c>
      <c r="I257" s="2">
        <v>41.074299699999997</v>
      </c>
      <c r="J257" s="2">
        <v>64.517887299999998</v>
      </c>
      <c r="L257" s="2"/>
      <c r="M257" s="2"/>
    </row>
    <row r="258" spans="2:13">
      <c r="B258" s="2"/>
      <c r="C258" s="1">
        <v>3.8279078420000001</v>
      </c>
      <c r="D258" s="1">
        <v>0.12532074500000001</v>
      </c>
      <c r="E258" s="1"/>
      <c r="H258" s="2">
        <v>2.6290425100000001</v>
      </c>
      <c r="I258" s="2">
        <v>3.0471471399999999</v>
      </c>
      <c r="J258" s="2">
        <v>1.56428067</v>
      </c>
      <c r="L258" s="2"/>
      <c r="M258" s="2"/>
    </row>
    <row r="259" spans="2:13">
      <c r="B259" s="2"/>
      <c r="C259" s="1">
        <v>14.8286146</v>
      </c>
      <c r="D259" s="1">
        <v>0.51447463800000004</v>
      </c>
      <c r="E259" s="1"/>
      <c r="H259" s="2">
        <v>8.16668634</v>
      </c>
      <c r="I259" s="2">
        <v>5.5812542000000001</v>
      </c>
      <c r="J259" s="2">
        <v>5.5618868399999997</v>
      </c>
      <c r="L259" s="2"/>
      <c r="M259" s="2"/>
    </row>
    <row r="260" spans="2:13">
      <c r="B260" s="2"/>
      <c r="C260" s="1">
        <v>8.0905307690000008</v>
      </c>
      <c r="D260" s="1">
        <v>0.38255806399999998</v>
      </c>
      <c r="E260" s="1"/>
      <c r="H260" s="2">
        <v>7.6670493000000004</v>
      </c>
      <c r="I260" s="2">
        <v>5.0215741100000004</v>
      </c>
      <c r="J260" s="2">
        <v>9.7333019600000004</v>
      </c>
      <c r="L260" s="2"/>
      <c r="M260" s="2"/>
    </row>
    <row r="261" spans="2:13">
      <c r="B261" s="2"/>
      <c r="C261" s="1">
        <v>19.04293586</v>
      </c>
      <c r="D261" s="1">
        <v>4.0894137930000003</v>
      </c>
      <c r="E261" s="1"/>
      <c r="H261" s="2">
        <v>29.538065799999998</v>
      </c>
      <c r="I261" s="2">
        <v>16.9769626</v>
      </c>
      <c r="J261" s="2">
        <v>16.164233599999999</v>
      </c>
      <c r="L261" s="2"/>
      <c r="M261" s="2"/>
    </row>
    <row r="262" spans="2:13">
      <c r="B262" s="2"/>
      <c r="C262" s="1">
        <v>120.2590984</v>
      </c>
      <c r="D262" s="1">
        <v>9.8739555600000006</v>
      </c>
      <c r="E262" s="1"/>
      <c r="H262" s="2">
        <v>240.164817</v>
      </c>
      <c r="I262" s="2">
        <v>250.456839</v>
      </c>
      <c r="J262" s="2">
        <v>218.373582</v>
      </c>
      <c r="L262" s="2"/>
      <c r="M262" s="2"/>
    </row>
    <row r="263" spans="2:13">
      <c r="B263" s="2"/>
      <c r="C263" s="1">
        <v>48.736391320000003</v>
      </c>
      <c r="D263" s="1">
        <v>1.101503393</v>
      </c>
      <c r="E263" s="1"/>
      <c r="H263" s="2">
        <v>29.276351200000001</v>
      </c>
      <c r="I263" s="2">
        <v>17.956402799999999</v>
      </c>
      <c r="J263" s="2">
        <v>21.343740700000001</v>
      </c>
      <c r="L263" s="2"/>
      <c r="M263" s="2"/>
    </row>
    <row r="264" spans="2:13">
      <c r="B264" s="2"/>
      <c r="C264" s="1">
        <v>60.697093899999999</v>
      </c>
      <c r="D264" s="1">
        <v>3.64749327</v>
      </c>
      <c r="E264" s="1"/>
      <c r="H264" s="2">
        <v>49.029858300000001</v>
      </c>
      <c r="I264" s="2">
        <v>37.1098991</v>
      </c>
      <c r="J264" s="2">
        <v>34.205604000000001</v>
      </c>
      <c r="L264" s="2"/>
      <c r="M264" s="2"/>
    </row>
    <row r="265" spans="2:13">
      <c r="B265" s="2"/>
      <c r="C265" s="1">
        <v>14.852765440000001</v>
      </c>
      <c r="D265" s="1">
        <v>2.2030067849999999</v>
      </c>
      <c r="E265" s="1"/>
      <c r="H265" s="2">
        <v>23.1736416</v>
      </c>
      <c r="I265" s="2">
        <v>20.1484831</v>
      </c>
      <c r="J265" s="2">
        <v>18.5627973</v>
      </c>
      <c r="L265" s="2"/>
      <c r="M265" s="2"/>
    </row>
    <row r="266" spans="2:13">
      <c r="B266" s="2"/>
      <c r="C266" s="1">
        <v>39.993787920000003</v>
      </c>
      <c r="D266" s="1">
        <v>2.3942858170000001</v>
      </c>
      <c r="E266" s="1"/>
      <c r="H266" s="2">
        <v>29.805728500000001</v>
      </c>
      <c r="I266" s="2">
        <v>34.249312000000003</v>
      </c>
      <c r="J266" s="2">
        <v>24.9589672</v>
      </c>
      <c r="L266" s="2"/>
      <c r="M266" s="2"/>
    </row>
    <row r="267" spans="2:13">
      <c r="B267" s="2"/>
      <c r="C267" s="1">
        <v>63.051800610000001</v>
      </c>
      <c r="D267" s="1">
        <v>4.0300513340000004</v>
      </c>
      <c r="E267" s="1"/>
      <c r="H267" s="2">
        <v>52.1406937</v>
      </c>
      <c r="I267" s="2">
        <v>45.536193699999998</v>
      </c>
      <c r="J267" s="2">
        <v>54.402205600000002</v>
      </c>
      <c r="L267" s="2"/>
      <c r="M267" s="2"/>
    </row>
    <row r="268" spans="2:13">
      <c r="B268" s="2"/>
      <c r="C268" s="1">
        <v>31.02778927</v>
      </c>
      <c r="D268" s="1">
        <v>1.6291696879999999</v>
      </c>
      <c r="E268" s="1"/>
      <c r="H268" s="2">
        <v>38.930052500000002</v>
      </c>
      <c r="I268" s="2">
        <v>35.073285400000003</v>
      </c>
      <c r="J268" s="2">
        <v>32.467514399999999</v>
      </c>
      <c r="L268" s="2"/>
      <c r="M268" s="2"/>
    </row>
    <row r="269" spans="2:13">
      <c r="B269" s="2"/>
      <c r="C269" s="1">
        <v>12.226361799999999</v>
      </c>
      <c r="D269" s="1">
        <v>0.78490361500000005</v>
      </c>
      <c r="E269" s="1"/>
      <c r="H269" s="2">
        <v>21.032340099999999</v>
      </c>
      <c r="I269" s="2">
        <v>16.261815899999998</v>
      </c>
      <c r="J269" s="2">
        <v>18.5627973</v>
      </c>
      <c r="L269" s="2"/>
      <c r="M269" s="2"/>
    </row>
    <row r="270" spans="2:13">
      <c r="B270" s="2"/>
      <c r="C270" s="1">
        <v>37.137951309999998</v>
      </c>
      <c r="D270" s="1">
        <v>1.7808737480000001</v>
      </c>
      <c r="E270" s="1"/>
      <c r="H270" s="2">
        <v>36.770906699999998</v>
      </c>
      <c r="I270" s="2">
        <v>20.941363299999999</v>
      </c>
      <c r="J270" s="2">
        <v>33.579891799999999</v>
      </c>
      <c r="L270" s="2"/>
      <c r="M270" s="2"/>
    </row>
    <row r="271" spans="2:13">
      <c r="B271" s="2"/>
      <c r="C271" s="1">
        <v>4.8301676230000004</v>
      </c>
      <c r="D271" s="1">
        <v>0.620007898</v>
      </c>
      <c r="E271" s="1"/>
      <c r="H271" s="2">
        <v>12.687211899999999</v>
      </c>
      <c r="I271" s="2">
        <v>14.3962156</v>
      </c>
      <c r="J271" s="2">
        <v>12.757577899999999</v>
      </c>
      <c r="L271" s="2"/>
      <c r="M271" s="2"/>
    </row>
    <row r="272" spans="2:13">
      <c r="B272" s="2"/>
      <c r="C272" s="1">
        <v>113.0621486</v>
      </c>
      <c r="D272" s="1">
        <v>5.7383709669999998</v>
      </c>
      <c r="E272" s="1"/>
      <c r="H272" s="2">
        <v>78.109923499999994</v>
      </c>
      <c r="I272" s="2">
        <v>44.012620200000001</v>
      </c>
      <c r="J272" s="2">
        <v>61.632658499999998</v>
      </c>
      <c r="L272" s="2"/>
      <c r="M272" s="2"/>
    </row>
    <row r="273" spans="2:13">
      <c r="B273" s="2"/>
      <c r="C273" s="1">
        <v>31.54099458</v>
      </c>
      <c r="D273" s="1">
        <v>4.1487762510000001</v>
      </c>
      <c r="E273" s="1"/>
      <c r="H273" s="2">
        <v>35.0995019</v>
      </c>
      <c r="I273" s="2">
        <v>23.288910300000001</v>
      </c>
      <c r="J273" s="2">
        <v>32.154658300000001</v>
      </c>
      <c r="L273" s="2"/>
      <c r="M273" s="2"/>
    </row>
    <row r="274" spans="2:13">
      <c r="B274" s="2"/>
      <c r="C274" s="1">
        <v>60.558226580000003</v>
      </c>
      <c r="D274" s="1">
        <v>221.77154830000001</v>
      </c>
      <c r="E274" s="1"/>
      <c r="H274" s="2">
        <v>30.668197200000002</v>
      </c>
      <c r="I274" s="2">
        <v>28.092831</v>
      </c>
      <c r="J274" s="2">
        <v>25.688964800000001</v>
      </c>
      <c r="L274" s="2"/>
      <c r="M274" s="2"/>
    </row>
    <row r="275" spans="2:13">
      <c r="B275" s="2"/>
      <c r="C275" s="1">
        <v>41.617931779999999</v>
      </c>
      <c r="D275" s="1">
        <v>3.792601501</v>
      </c>
      <c r="E275" s="1"/>
      <c r="H275" s="2">
        <v>63.453903799999999</v>
      </c>
      <c r="I275" s="2">
        <v>48.785447599999998</v>
      </c>
      <c r="J275" s="2">
        <v>57.113625499999998</v>
      </c>
      <c r="L275" s="2"/>
      <c r="M275" s="2"/>
    </row>
    <row r="276" spans="2:13">
      <c r="B276" s="2"/>
      <c r="C276" s="1">
        <v>62.194445860000002</v>
      </c>
      <c r="D276" s="1">
        <v>3.6606849270000001</v>
      </c>
      <c r="E276" s="1"/>
      <c r="H276" s="2">
        <v>55.709529699999997</v>
      </c>
      <c r="I276" s="2">
        <v>33.145498500000002</v>
      </c>
      <c r="J276" s="2">
        <v>45.607472100000003</v>
      </c>
      <c r="L276" s="2"/>
      <c r="M276" s="2"/>
    </row>
    <row r="277" spans="2:13">
      <c r="B277" s="2"/>
      <c r="C277" s="1">
        <v>13.518431639999999</v>
      </c>
      <c r="D277" s="1">
        <v>1.4642739709999999</v>
      </c>
      <c r="E277" s="1"/>
      <c r="H277" s="2">
        <v>18.260544100000001</v>
      </c>
      <c r="I277" s="2">
        <v>19.448882999999999</v>
      </c>
      <c r="J277" s="2">
        <v>18.806129899999998</v>
      </c>
      <c r="L277" s="2"/>
      <c r="M277" s="2"/>
    </row>
    <row r="278" spans="2:13">
      <c r="B278" s="2"/>
      <c r="C278" s="1">
        <v>2.6505544830000001</v>
      </c>
      <c r="D278" s="1">
        <v>0.13851240300000001</v>
      </c>
      <c r="E278" s="1"/>
      <c r="H278" s="2">
        <v>7.4053346600000003</v>
      </c>
      <c r="I278" s="2">
        <v>8.2863746200000001</v>
      </c>
      <c r="J278" s="2">
        <v>4.6580802300000004</v>
      </c>
      <c r="L278" s="2"/>
      <c r="M278" s="2"/>
    </row>
    <row r="279" spans="2:13">
      <c r="B279" s="2"/>
      <c r="C279" s="1">
        <v>53.246560340000002</v>
      </c>
      <c r="D279" s="1">
        <v>2.2623692430000002</v>
      </c>
      <c r="E279" s="1"/>
      <c r="H279" s="2">
        <v>49.475962799999998</v>
      </c>
      <c r="I279" s="2">
        <v>29.927337999999999</v>
      </c>
      <c r="J279" s="2">
        <v>32.815132300000002</v>
      </c>
      <c r="L279" s="2"/>
      <c r="M279" s="2"/>
    </row>
    <row r="280" spans="2:13">
      <c r="B280" s="2"/>
      <c r="C280" s="1">
        <v>8.0120405449999996</v>
      </c>
      <c r="D280" s="1">
        <v>0.81788275899999996</v>
      </c>
      <c r="E280" s="1"/>
      <c r="H280" s="2">
        <v>18.159427099999998</v>
      </c>
      <c r="I280" s="2">
        <v>12.235228599999999</v>
      </c>
      <c r="J280" s="2">
        <v>14.7737619</v>
      </c>
      <c r="L280" s="2"/>
      <c r="M280" s="2"/>
    </row>
    <row r="281" spans="2:13">
      <c r="B281" s="2"/>
      <c r="C281" s="1">
        <v>12.347115990000001</v>
      </c>
      <c r="D281" s="1">
        <v>3.5881308120000002</v>
      </c>
      <c r="E281" s="1"/>
      <c r="H281" s="2">
        <v>35.218463100000001</v>
      </c>
      <c r="I281" s="2">
        <v>19.246776300000001</v>
      </c>
      <c r="J281" s="2">
        <v>20.996122799999998</v>
      </c>
      <c r="L281" s="2"/>
      <c r="M281" s="2"/>
    </row>
    <row r="282" spans="2:13">
      <c r="B282" s="2"/>
      <c r="C282" s="1">
        <v>12.70334085</v>
      </c>
      <c r="D282" s="1">
        <v>1.6093822019999999</v>
      </c>
      <c r="E282" s="1"/>
      <c r="H282" s="2">
        <v>30.1626121</v>
      </c>
      <c r="I282" s="2">
        <v>20.4127765</v>
      </c>
      <c r="J282" s="2">
        <v>22.143262</v>
      </c>
      <c r="L282" s="2"/>
      <c r="M282" s="2"/>
    </row>
    <row r="283" spans="2:13">
      <c r="B283" s="2"/>
      <c r="C283" s="1">
        <v>7.2754399830000001</v>
      </c>
      <c r="D283" s="1">
        <v>0.29681229100000001</v>
      </c>
      <c r="E283" s="1"/>
      <c r="H283" s="2">
        <v>14.703604199999999</v>
      </c>
      <c r="I283" s="2">
        <v>8.0376279099999994</v>
      </c>
      <c r="J283" s="2">
        <v>8.8294953500000002</v>
      </c>
      <c r="L283" s="2"/>
      <c r="M283" s="2"/>
    </row>
    <row r="284" spans="2:13">
      <c r="B284" s="2"/>
      <c r="C284" s="1">
        <v>18.439164900000002</v>
      </c>
      <c r="D284" s="1">
        <v>0.620007898</v>
      </c>
      <c r="E284" s="1"/>
      <c r="H284" s="2">
        <v>8.8209729400000008</v>
      </c>
      <c r="I284" s="2">
        <v>9.1414414199999996</v>
      </c>
      <c r="J284" s="2">
        <v>5.0404599499999998</v>
      </c>
      <c r="L284" s="2"/>
      <c r="M284" s="2"/>
    </row>
    <row r="285" spans="2:13">
      <c r="B285" s="2"/>
      <c r="C285" s="1">
        <v>61.602750329999999</v>
      </c>
      <c r="D285" s="1">
        <v>3.3440851500000002</v>
      </c>
      <c r="E285" s="1"/>
      <c r="H285" s="2">
        <v>40.5122365</v>
      </c>
      <c r="I285" s="2">
        <v>43.079819999999998</v>
      </c>
      <c r="J285" s="2">
        <v>41.887960200000002</v>
      </c>
      <c r="L285" s="2"/>
      <c r="M285" s="2"/>
    </row>
    <row r="286" spans="2:13">
      <c r="B286" s="2"/>
      <c r="C286" s="1">
        <v>16.54332411</v>
      </c>
      <c r="D286" s="1">
        <v>0.93001184599999998</v>
      </c>
      <c r="E286" s="1"/>
      <c r="H286" s="2">
        <v>29.894949400000002</v>
      </c>
      <c r="I286" s="2">
        <v>36.9233391</v>
      </c>
      <c r="J286" s="2">
        <v>25.967059200000001</v>
      </c>
      <c r="L286" s="2"/>
      <c r="M286" s="2"/>
    </row>
    <row r="287" spans="2:13">
      <c r="B287" s="2"/>
      <c r="C287" s="1">
        <v>26.43309232</v>
      </c>
      <c r="D287" s="1">
        <v>3.1264228030000001</v>
      </c>
      <c r="E287" s="1"/>
      <c r="H287" s="2">
        <v>59.064235500000002</v>
      </c>
      <c r="I287" s="2">
        <v>77.982092100000003</v>
      </c>
      <c r="J287" s="2">
        <v>52.003641899999998</v>
      </c>
      <c r="L287" s="2"/>
      <c r="M287" s="2"/>
    </row>
    <row r="288" spans="2:13">
      <c r="B288" s="2"/>
      <c r="C288" s="1">
        <v>3.055081022</v>
      </c>
      <c r="D288" s="1">
        <v>0.12532074500000001</v>
      </c>
      <c r="E288" s="1"/>
      <c r="H288" s="2">
        <v>3.46771896</v>
      </c>
      <c r="I288" s="2">
        <v>2.0366136500000001</v>
      </c>
      <c r="J288" s="2">
        <v>2.4333254900000001</v>
      </c>
      <c r="L288" s="2"/>
      <c r="M288" s="2"/>
    </row>
    <row r="289" spans="2:13">
      <c r="B289" s="2"/>
      <c r="C289" s="1">
        <v>84.618499049999997</v>
      </c>
      <c r="D289" s="1">
        <v>5.3624087310000004</v>
      </c>
      <c r="E289" s="1"/>
      <c r="H289" s="2">
        <v>111.026487</v>
      </c>
      <c r="I289" s="2">
        <v>102.343723</v>
      </c>
      <c r="J289" s="2">
        <v>169.67231000000001</v>
      </c>
      <c r="L289" s="2"/>
      <c r="M289" s="2"/>
    </row>
    <row r="290" spans="2:13">
      <c r="B290" s="2"/>
      <c r="C290" s="1">
        <v>14.303333869999999</v>
      </c>
      <c r="D290" s="1">
        <v>232.57551570000001</v>
      </c>
      <c r="E290" s="1"/>
      <c r="H290" s="2">
        <v>29.972274200000001</v>
      </c>
      <c r="I290" s="2">
        <v>26.6780841</v>
      </c>
      <c r="J290" s="2">
        <v>32.2937054</v>
      </c>
      <c r="L290" s="2"/>
      <c r="M290" s="2"/>
    </row>
    <row r="291" spans="2:13">
      <c r="B291" s="2"/>
      <c r="C291" s="1">
        <v>9.1954316130000002</v>
      </c>
      <c r="D291" s="1">
        <v>0.91682018899999995</v>
      </c>
      <c r="E291" s="1"/>
      <c r="H291" s="2">
        <v>23.304499</v>
      </c>
      <c r="I291" s="2">
        <v>14.5361356</v>
      </c>
      <c r="J291" s="2">
        <v>18.945177000000001</v>
      </c>
      <c r="L291" s="2"/>
      <c r="M291" s="2"/>
    </row>
    <row r="292" spans="2:13">
      <c r="B292" s="2"/>
      <c r="C292" s="1">
        <v>16.953888360000001</v>
      </c>
      <c r="D292" s="1">
        <v>132.77403169999999</v>
      </c>
      <c r="E292" s="1"/>
      <c r="H292" s="2">
        <v>11.081235700000001</v>
      </c>
      <c r="I292" s="2">
        <v>11.5511751</v>
      </c>
      <c r="J292" s="2">
        <v>8.0647359099999996</v>
      </c>
      <c r="L292" s="2"/>
      <c r="M292" s="2"/>
    </row>
    <row r="293" spans="2:13">
      <c r="B293" s="2"/>
      <c r="C293" s="1">
        <v>73.708357930000005</v>
      </c>
      <c r="D293" s="1">
        <v>3.9113264179999998</v>
      </c>
      <c r="E293" s="1"/>
      <c r="H293" s="2">
        <v>42.6654342</v>
      </c>
      <c r="I293" s="2">
        <v>53.014141600000002</v>
      </c>
      <c r="J293" s="2">
        <v>33.301797399999998</v>
      </c>
      <c r="L293" s="2"/>
      <c r="M293" s="2"/>
    </row>
    <row r="294" spans="2:13">
      <c r="B294" s="2"/>
      <c r="C294" s="1">
        <v>34.650414990000002</v>
      </c>
      <c r="D294" s="1">
        <v>2.031515239</v>
      </c>
      <c r="E294" s="1"/>
      <c r="H294" s="2">
        <v>55.929607900000001</v>
      </c>
      <c r="I294" s="2">
        <v>52.376728100000001</v>
      </c>
      <c r="J294" s="2">
        <v>51.5517386</v>
      </c>
      <c r="L294" s="2"/>
      <c r="M294" s="2"/>
    </row>
    <row r="295" spans="2:13">
      <c r="B295" s="2"/>
      <c r="C295" s="1">
        <v>44.389240460000003</v>
      </c>
      <c r="D295" s="1">
        <v>2.0051319240000001</v>
      </c>
      <c r="E295" s="1"/>
      <c r="H295" s="2">
        <v>26.028710400000001</v>
      </c>
      <c r="I295" s="2">
        <v>27.704164299999999</v>
      </c>
      <c r="J295" s="2">
        <v>26.279915299999999</v>
      </c>
      <c r="L295" s="2"/>
      <c r="M295" s="2"/>
    </row>
    <row r="296" spans="2:13">
      <c r="B296" s="2"/>
      <c r="C296" s="1">
        <v>69.789884450000002</v>
      </c>
      <c r="D296" s="1">
        <v>3.4891933810000002</v>
      </c>
      <c r="E296" s="1"/>
      <c r="H296" s="2">
        <v>41.095146300000003</v>
      </c>
      <c r="I296" s="2">
        <v>29.414297900000001</v>
      </c>
      <c r="J296" s="2">
        <v>32.397990800000002</v>
      </c>
      <c r="L296" s="2"/>
      <c r="M296" s="2"/>
    </row>
    <row r="297" spans="2:13">
      <c r="B297" s="2"/>
      <c r="C297" s="1">
        <v>20.58255179</v>
      </c>
      <c r="D297" s="1">
        <v>1.648957174</v>
      </c>
      <c r="E297" s="1"/>
      <c r="H297" s="2">
        <v>22.9833037</v>
      </c>
      <c r="I297" s="2">
        <v>17.614376100000001</v>
      </c>
      <c r="J297" s="2">
        <v>21.274217199999999</v>
      </c>
      <c r="L297" s="2"/>
      <c r="M297" s="2"/>
    </row>
    <row r="298" spans="2:13">
      <c r="B298" s="2"/>
      <c r="C298" s="1">
        <v>17.618036409999998</v>
      </c>
      <c r="D298" s="1">
        <v>0.46830383799999997</v>
      </c>
      <c r="E298" s="1"/>
      <c r="H298" s="2">
        <v>23.512681099999998</v>
      </c>
      <c r="I298" s="2">
        <v>17.039149299999998</v>
      </c>
      <c r="J298" s="2">
        <v>20.996122799999998</v>
      </c>
      <c r="L298" s="2"/>
      <c r="M298" s="2"/>
    </row>
    <row r="299" spans="2:13">
      <c r="B299" s="2"/>
      <c r="C299" s="1">
        <v>22.236884199999999</v>
      </c>
      <c r="D299" s="1">
        <v>0.91022435999999995</v>
      </c>
      <c r="E299" s="1"/>
      <c r="H299" s="2">
        <v>25.683723000000001</v>
      </c>
      <c r="I299" s="2">
        <v>25.931844000000002</v>
      </c>
      <c r="J299" s="2">
        <v>20.683266700000001</v>
      </c>
      <c r="L299" s="2"/>
      <c r="M299" s="2"/>
    </row>
    <row r="300" spans="2:13">
      <c r="B300" s="2"/>
      <c r="C300" s="1">
        <v>8.4226047929999996</v>
      </c>
      <c r="D300" s="1">
        <v>0.27042897700000001</v>
      </c>
      <c r="E300" s="1"/>
      <c r="H300" s="2">
        <v>11.140716299999999</v>
      </c>
      <c r="I300" s="2">
        <v>12.903735299999999</v>
      </c>
      <c r="J300" s="2">
        <v>10.324252400000001</v>
      </c>
      <c r="L300" s="2"/>
      <c r="M300" s="2"/>
    </row>
    <row r="301" spans="2:13">
      <c r="B301" s="2"/>
      <c r="C301" s="1">
        <v>57.635975170000002</v>
      </c>
      <c r="D301" s="1">
        <v>2.7108855950000001</v>
      </c>
      <c r="E301" s="1"/>
      <c r="H301" s="2">
        <v>45.395593699999999</v>
      </c>
      <c r="I301" s="2">
        <v>51.894781399999999</v>
      </c>
      <c r="J301" s="2">
        <v>39.419873000000003</v>
      </c>
      <c r="L301" s="2"/>
      <c r="M301" s="2"/>
    </row>
    <row r="302" spans="2:13">
      <c r="B302" s="2"/>
      <c r="C302" s="1">
        <v>92.654690439999996</v>
      </c>
      <c r="D302" s="1">
        <v>10.619284199999999</v>
      </c>
      <c r="E302" s="1"/>
      <c r="H302" s="2">
        <v>186.263498</v>
      </c>
      <c r="I302" s="2">
        <v>164.82578599999999</v>
      </c>
      <c r="J302" s="2">
        <v>278.615769</v>
      </c>
      <c r="L302" s="2"/>
      <c r="M302" s="2"/>
    </row>
    <row r="303" spans="2:13">
      <c r="B303" s="2"/>
      <c r="C303" s="1">
        <v>36.636821419999997</v>
      </c>
      <c r="D303" s="1">
        <v>1.5302322580000001</v>
      </c>
      <c r="E303" s="1"/>
      <c r="H303" s="2">
        <v>20.830106000000001</v>
      </c>
      <c r="I303" s="2">
        <v>15.033628999999999</v>
      </c>
      <c r="J303" s="2">
        <v>15.7123303</v>
      </c>
      <c r="L303" s="2"/>
      <c r="M303" s="2"/>
    </row>
    <row r="304" spans="2:13">
      <c r="B304" s="2"/>
      <c r="C304" s="1">
        <v>97.243349679999994</v>
      </c>
      <c r="D304" s="1">
        <v>9.7948056159999997</v>
      </c>
      <c r="E304" s="1"/>
      <c r="H304" s="2">
        <v>201.42510300000001</v>
      </c>
      <c r="I304" s="2">
        <v>145.28362300000001</v>
      </c>
      <c r="J304" s="2">
        <v>180.691799</v>
      </c>
      <c r="L304" s="2"/>
      <c r="M304" s="2"/>
    </row>
    <row r="305" spans="2:13">
      <c r="B305" s="2"/>
      <c r="C305" s="1">
        <v>34.795320019999998</v>
      </c>
      <c r="D305" s="1">
        <v>0.92341601799999995</v>
      </c>
      <c r="E305" s="1"/>
      <c r="H305" s="2">
        <v>19.7475591</v>
      </c>
      <c r="I305" s="2">
        <v>18.998029599999999</v>
      </c>
      <c r="J305" s="2">
        <v>15.6428067</v>
      </c>
      <c r="L305" s="2"/>
      <c r="M305" s="2"/>
    </row>
    <row r="306" spans="2:13">
      <c r="B306" s="2"/>
      <c r="C306" s="1">
        <v>1.8173505679999999</v>
      </c>
      <c r="D306" s="1">
        <v>5.9362458E-2</v>
      </c>
      <c r="E306" s="1"/>
      <c r="H306" s="2">
        <v>2.64093863</v>
      </c>
      <c r="I306" s="2">
        <v>2.5652004000000002</v>
      </c>
      <c r="J306" s="2">
        <v>1.77285143</v>
      </c>
      <c r="L306" s="2"/>
      <c r="M306" s="2"/>
    </row>
    <row r="307" spans="2:13">
      <c r="B307" s="2"/>
      <c r="C307" s="1">
        <v>46.864701369999999</v>
      </c>
      <c r="D307" s="1">
        <v>2.704289766</v>
      </c>
      <c r="E307" s="1"/>
      <c r="H307" s="2">
        <v>40.310002400000002</v>
      </c>
      <c r="I307" s="2">
        <v>45.334086999999997</v>
      </c>
      <c r="J307" s="2">
        <v>41.922722</v>
      </c>
      <c r="L307" s="2"/>
      <c r="M307" s="2"/>
    </row>
    <row r="308" spans="2:13">
      <c r="B308" s="2"/>
      <c r="C308" s="1">
        <v>81.376249029999997</v>
      </c>
      <c r="D308" s="1">
        <v>3.159401946</v>
      </c>
      <c r="E308" s="1"/>
      <c r="H308" s="2">
        <v>52.396460300000001</v>
      </c>
      <c r="I308" s="2">
        <v>44.867686999999997</v>
      </c>
      <c r="J308" s="2">
        <v>43.938906000000003</v>
      </c>
      <c r="L308" s="2"/>
      <c r="M308" s="2"/>
    </row>
    <row r="309" spans="2:13">
      <c r="B309" s="2"/>
      <c r="C309" s="1">
        <v>5.5728058950000001</v>
      </c>
      <c r="D309" s="1">
        <v>0.27702480499999999</v>
      </c>
      <c r="E309" s="1"/>
      <c r="H309" s="2">
        <v>12.128094300000001</v>
      </c>
      <c r="I309" s="2">
        <v>8.9859747300000006</v>
      </c>
      <c r="J309" s="2">
        <v>9.2813986600000007</v>
      </c>
      <c r="L309" s="2"/>
      <c r="M309" s="2"/>
    </row>
    <row r="310" spans="2:13">
      <c r="B310" s="2"/>
      <c r="C310" s="1">
        <v>2.849798898</v>
      </c>
      <c r="D310" s="1">
        <v>0.145108231</v>
      </c>
      <c r="E310" s="1"/>
      <c r="H310" s="2">
        <v>4.1636419800000004</v>
      </c>
      <c r="I310" s="2">
        <v>4.321974</v>
      </c>
      <c r="J310" s="2">
        <v>3.40665569</v>
      </c>
      <c r="L310" s="2"/>
      <c r="M310" s="2"/>
    </row>
    <row r="311" spans="2:13">
      <c r="B311" s="2"/>
      <c r="C311" s="1">
        <v>7.4867598160000002</v>
      </c>
      <c r="D311" s="1">
        <v>0.46830383799999997</v>
      </c>
      <c r="E311" s="1"/>
      <c r="H311" s="2">
        <v>17.124464700000001</v>
      </c>
      <c r="I311" s="2">
        <v>13.556695400000001</v>
      </c>
      <c r="J311" s="2">
        <v>17.485181699999998</v>
      </c>
      <c r="L311" s="2"/>
      <c r="M311" s="2"/>
    </row>
    <row r="312" spans="2:13">
      <c r="B312" s="2"/>
      <c r="C312" s="1">
        <v>47.220926230000003</v>
      </c>
      <c r="D312" s="1">
        <v>1.648957174</v>
      </c>
      <c r="E312" s="1"/>
      <c r="H312" s="2">
        <v>37.544154499999998</v>
      </c>
      <c r="I312" s="2">
        <v>33.798458599999996</v>
      </c>
      <c r="J312" s="2">
        <v>36.221787999999997</v>
      </c>
      <c r="L312" s="2"/>
      <c r="M312" s="2"/>
    </row>
    <row r="313" spans="2:13">
      <c r="B313" s="2"/>
      <c r="C313" s="1">
        <v>43.604338220000002</v>
      </c>
      <c r="D313" s="1">
        <v>1.596190545</v>
      </c>
      <c r="E313" s="1"/>
      <c r="H313" s="2">
        <v>30.335105800000001</v>
      </c>
      <c r="I313" s="2">
        <v>16.1996292</v>
      </c>
      <c r="J313" s="2">
        <v>26.071344499999999</v>
      </c>
      <c r="L313" s="2"/>
      <c r="M313" s="2"/>
    </row>
    <row r="314" spans="2:13">
      <c r="B314" s="2"/>
      <c r="C314" s="1">
        <v>12.84824588</v>
      </c>
      <c r="D314" s="1">
        <v>1.048736763</v>
      </c>
      <c r="E314" s="1"/>
      <c r="H314" s="2">
        <v>20.116338800000001</v>
      </c>
      <c r="I314" s="2">
        <v>17.583282700000002</v>
      </c>
      <c r="J314" s="2">
        <v>17.832799699999999</v>
      </c>
      <c r="L314" s="2"/>
      <c r="M314" s="2"/>
    </row>
    <row r="315" spans="2:13">
      <c r="B315" s="2"/>
      <c r="C315" s="1">
        <v>3.7494176179999998</v>
      </c>
      <c r="D315" s="1">
        <v>9.2341601999999995E-2</v>
      </c>
      <c r="E315" s="1"/>
      <c r="H315" s="2">
        <v>5.1034354500000001</v>
      </c>
      <c r="I315" s="2">
        <v>2.3475470299999999</v>
      </c>
      <c r="J315" s="2">
        <v>4.4842712599999999</v>
      </c>
      <c r="L315" s="2"/>
      <c r="M315" s="2"/>
    </row>
    <row r="316" spans="2:13">
      <c r="B316" s="2"/>
      <c r="C316" s="1">
        <v>34.577962470000003</v>
      </c>
      <c r="D316" s="1">
        <v>1.41810317</v>
      </c>
      <c r="E316" s="1"/>
      <c r="H316" s="2">
        <v>27.170737899999999</v>
      </c>
      <c r="I316" s="2">
        <v>37.420832500000003</v>
      </c>
      <c r="J316" s="2">
        <v>13.418051999999999</v>
      </c>
      <c r="L316" s="2"/>
      <c r="M316" s="2"/>
    </row>
    <row r="317" spans="2:13">
      <c r="B317" s="2"/>
      <c r="C317" s="1">
        <v>41.672271170000002</v>
      </c>
      <c r="D317" s="1">
        <v>2.137048498</v>
      </c>
      <c r="E317" s="1"/>
      <c r="H317" s="2">
        <v>55.572724299999997</v>
      </c>
      <c r="I317" s="2">
        <v>42.302486600000002</v>
      </c>
      <c r="J317" s="2">
        <v>44.286523899999999</v>
      </c>
      <c r="L317" s="2"/>
      <c r="M317" s="2"/>
    </row>
    <row r="318" spans="2:13">
      <c r="B318" s="2"/>
      <c r="C318" s="1">
        <v>30.5387348</v>
      </c>
      <c r="D318" s="1">
        <v>3.1791894319999998</v>
      </c>
      <c r="E318" s="1"/>
      <c r="H318" s="2">
        <v>24.178863799999998</v>
      </c>
      <c r="I318" s="2">
        <v>23.444376999999999</v>
      </c>
      <c r="J318" s="2">
        <v>20.300886999999999</v>
      </c>
      <c r="L318" s="2"/>
      <c r="M318" s="2"/>
    </row>
    <row r="319" spans="2:13">
      <c r="B319" s="2"/>
      <c r="C319" s="1">
        <v>152.79027730000001</v>
      </c>
      <c r="D319" s="1">
        <v>710.98416280000004</v>
      </c>
      <c r="E319" s="1"/>
      <c r="H319" s="2">
        <v>82.356838300000007</v>
      </c>
      <c r="I319" s="2">
        <v>64.021183300000004</v>
      </c>
      <c r="J319" s="2">
        <v>76.754038300000005</v>
      </c>
      <c r="L319" s="2"/>
      <c r="M319" s="2"/>
    </row>
    <row r="320" spans="2:13">
      <c r="B320" s="2"/>
      <c r="C320" s="1">
        <v>121.5089043</v>
      </c>
      <c r="D320" s="1">
        <v>6.7079577859999997</v>
      </c>
      <c r="E320" s="1"/>
      <c r="H320" s="2">
        <v>127.383652</v>
      </c>
      <c r="I320" s="2">
        <v>133.73244700000001</v>
      </c>
      <c r="J320" s="2">
        <v>66.221215099999995</v>
      </c>
      <c r="L320" s="2"/>
      <c r="M320" s="2"/>
    </row>
    <row r="321" spans="2:13">
      <c r="B321" s="2"/>
      <c r="C321" s="1">
        <v>8.1992095410000001</v>
      </c>
      <c r="D321" s="1">
        <v>0.29681229100000001</v>
      </c>
      <c r="E321" s="1"/>
      <c r="H321" s="2">
        <v>11.729574299999999</v>
      </c>
      <c r="I321" s="2">
        <v>13.1835754</v>
      </c>
      <c r="J321" s="2">
        <v>11.054250100000001</v>
      </c>
      <c r="L321" s="2"/>
      <c r="M321" s="2"/>
    </row>
    <row r="322" spans="2:13">
      <c r="B322" s="2"/>
      <c r="C322" s="1">
        <v>16.187099249999999</v>
      </c>
      <c r="D322" s="1">
        <v>0.39574972200000003</v>
      </c>
      <c r="E322" s="1"/>
      <c r="H322" s="2">
        <v>8.7436481599999993</v>
      </c>
      <c r="I322" s="2">
        <v>7.2758411299999999</v>
      </c>
      <c r="J322" s="2">
        <v>4.6233184300000003</v>
      </c>
      <c r="L322" s="2"/>
      <c r="M322" s="2"/>
    </row>
    <row r="323" spans="2:13">
      <c r="B323" s="2"/>
      <c r="C323" s="1">
        <v>94.091665300000003</v>
      </c>
      <c r="D323" s="1">
        <v>3.9047305890000001</v>
      </c>
      <c r="E323" s="1"/>
      <c r="H323" s="2">
        <v>88.501184300000006</v>
      </c>
      <c r="I323" s="2">
        <v>98.3637753</v>
      </c>
      <c r="J323" s="2">
        <v>83.7411587</v>
      </c>
      <c r="L323" s="2"/>
      <c r="M323" s="2"/>
    </row>
    <row r="324" spans="2:13">
      <c r="B324" s="2"/>
      <c r="C324" s="1">
        <v>220.56356679999999</v>
      </c>
      <c r="D324" s="1">
        <v>13.936986040000001</v>
      </c>
      <c r="E324" s="1"/>
      <c r="H324" s="2">
        <v>137.162263</v>
      </c>
      <c r="I324" s="2">
        <v>72.260917899999995</v>
      </c>
      <c r="J324" s="2">
        <v>133.62433100000001</v>
      </c>
      <c r="L324" s="2"/>
      <c r="M324" s="2"/>
    </row>
    <row r="325" spans="2:13">
      <c r="B325" s="2"/>
      <c r="C325" s="1">
        <v>27.39912584</v>
      </c>
      <c r="D325" s="1">
        <v>1.5170406000000001</v>
      </c>
      <c r="E325" s="1"/>
      <c r="H325" s="2">
        <v>25.255462600000001</v>
      </c>
      <c r="I325" s="2">
        <v>22.4649368</v>
      </c>
      <c r="J325" s="2">
        <v>17.5894671</v>
      </c>
      <c r="L325" s="2"/>
      <c r="M325" s="2"/>
    </row>
    <row r="326" spans="2:13">
      <c r="B326" s="2"/>
      <c r="C326" s="1">
        <v>6.9614790869999998</v>
      </c>
      <c r="D326" s="1">
        <v>0.42872886500000001</v>
      </c>
      <c r="E326" s="1"/>
      <c r="H326" s="2">
        <v>15.786151200000001</v>
      </c>
      <c r="I326" s="2">
        <v>10.6339217</v>
      </c>
      <c r="J326" s="2">
        <v>12.40996</v>
      </c>
      <c r="L326" s="2"/>
      <c r="M326" s="2"/>
    </row>
    <row r="327" spans="2:13">
      <c r="B327" s="2"/>
      <c r="C327" s="1">
        <v>3.942624323</v>
      </c>
      <c r="D327" s="1">
        <v>9.2341601999999995E-2</v>
      </c>
      <c r="E327" s="1"/>
      <c r="H327" s="2">
        <v>2.8788610299999999</v>
      </c>
      <c r="I327" s="2">
        <v>1.6324002500000001</v>
      </c>
      <c r="J327" s="2">
        <v>1.70332784</v>
      </c>
      <c r="L327" s="2"/>
      <c r="M327" s="2"/>
    </row>
    <row r="328" spans="2:13">
      <c r="B328" s="2"/>
      <c r="C328" s="1">
        <v>58.843517069999997</v>
      </c>
      <c r="D328" s="1">
        <v>2.3085400439999999</v>
      </c>
      <c r="E328" s="1"/>
      <c r="H328" s="2">
        <v>62.5557467</v>
      </c>
      <c r="I328" s="2">
        <v>39.861659500000002</v>
      </c>
      <c r="J328" s="2">
        <v>60.346472200000001</v>
      </c>
      <c r="L328" s="2"/>
      <c r="M328" s="2"/>
    </row>
    <row r="329" spans="2:13">
      <c r="B329" s="2"/>
      <c r="C329" s="1">
        <v>7.6739288119999998</v>
      </c>
      <c r="D329" s="1">
        <v>0.52107046700000004</v>
      </c>
      <c r="E329" s="1"/>
      <c r="H329" s="2">
        <v>6.5845023899999999</v>
      </c>
      <c r="I329" s="2">
        <v>13.276855400000001</v>
      </c>
      <c r="J329" s="2">
        <v>4.9361745700000004</v>
      </c>
      <c r="L329" s="2"/>
      <c r="M329" s="2"/>
    </row>
    <row r="330" spans="2:13">
      <c r="B330" s="2"/>
      <c r="C330" s="1">
        <v>8.7848673650000002</v>
      </c>
      <c r="D330" s="1">
        <v>0.620007898</v>
      </c>
      <c r="E330" s="1"/>
      <c r="H330" s="2">
        <v>6.91759375</v>
      </c>
      <c r="I330" s="2">
        <v>10.245254900000001</v>
      </c>
      <c r="J330" s="2">
        <v>5.5271250399999996</v>
      </c>
      <c r="L330" s="2"/>
      <c r="M330" s="2"/>
    </row>
    <row r="331" spans="2:13">
      <c r="B331" s="2"/>
      <c r="C331" s="1">
        <v>8.0060028360000004</v>
      </c>
      <c r="D331" s="1">
        <v>138.22218620000001</v>
      </c>
      <c r="E331" s="1"/>
      <c r="H331" s="2">
        <v>17.6419459</v>
      </c>
      <c r="I331" s="2">
        <v>24.361630399999999</v>
      </c>
      <c r="J331" s="2">
        <v>12.131865700000001</v>
      </c>
      <c r="L331" s="2"/>
      <c r="M331" s="2"/>
    </row>
    <row r="332" spans="2:13">
      <c r="B332" s="2"/>
      <c r="C332" s="1">
        <v>13.72975147</v>
      </c>
      <c r="D332" s="1">
        <v>0.31659977700000003</v>
      </c>
      <c r="E332" s="1"/>
      <c r="H332" s="2">
        <v>10.5518584</v>
      </c>
      <c r="I332" s="2">
        <v>9.0948014100000005</v>
      </c>
      <c r="J332" s="2">
        <v>9.5594929999999998</v>
      </c>
      <c r="L332" s="2"/>
      <c r="M332" s="2"/>
    </row>
    <row r="333" spans="2:13">
      <c r="B333" s="2"/>
      <c r="C333" s="1">
        <v>3.0852695689999998</v>
      </c>
      <c r="D333" s="1">
        <v>9.2341601999999995E-2</v>
      </c>
      <c r="E333" s="1"/>
      <c r="H333" s="2">
        <v>3.3844461199999998</v>
      </c>
      <c r="I333" s="2">
        <v>3.8711205999999998</v>
      </c>
      <c r="J333" s="2">
        <v>2.1899929400000002</v>
      </c>
      <c r="L333" s="2"/>
      <c r="M333" s="2"/>
    </row>
    <row r="334" spans="2:13">
      <c r="B334" s="2"/>
      <c r="C334" s="1">
        <v>59.658607859999996</v>
      </c>
      <c r="D334" s="1">
        <v>40.076255170000003</v>
      </c>
      <c r="E334" s="1"/>
      <c r="H334" s="2">
        <v>124.01110199999999</v>
      </c>
      <c r="I334" s="2">
        <v>83.532252999999997</v>
      </c>
      <c r="J334" s="2">
        <v>116.208673</v>
      </c>
      <c r="L334" s="2"/>
      <c r="M334" s="2"/>
    </row>
    <row r="335" spans="2:13">
      <c r="B335" s="2"/>
      <c r="C335" s="1">
        <v>6.2067653959999998</v>
      </c>
      <c r="D335" s="1">
        <v>0.37596223600000001</v>
      </c>
      <c r="E335" s="1"/>
      <c r="H335" s="2">
        <v>5.0915393299999998</v>
      </c>
      <c r="I335" s="2">
        <v>6.7161610400000002</v>
      </c>
      <c r="J335" s="2">
        <v>4.5885566400000002</v>
      </c>
      <c r="L335" s="2"/>
      <c r="M335" s="2"/>
    </row>
    <row r="336" spans="2:13">
      <c r="B336" s="2"/>
      <c r="C336" s="1">
        <v>8.2837374740000005</v>
      </c>
      <c r="D336" s="1">
        <v>0.69915784199999997</v>
      </c>
      <c r="E336" s="1"/>
      <c r="H336" s="2">
        <v>23.5305252</v>
      </c>
      <c r="I336" s="2">
        <v>12.841548700000001</v>
      </c>
      <c r="J336" s="2">
        <v>17.415658199999999</v>
      </c>
      <c r="L336" s="2"/>
      <c r="M336" s="2"/>
    </row>
    <row r="337" spans="2:13">
      <c r="B337" s="2"/>
      <c r="C337" s="1">
        <v>53.910708390000003</v>
      </c>
      <c r="D337" s="1">
        <v>191.32520299999999</v>
      </c>
      <c r="E337" s="1"/>
      <c r="H337" s="2">
        <v>48.524273200000003</v>
      </c>
      <c r="I337" s="2">
        <v>66.399823600000005</v>
      </c>
      <c r="J337" s="2">
        <v>45.955089999999998</v>
      </c>
      <c r="L337" s="2"/>
      <c r="M337" s="2"/>
    </row>
    <row r="338" spans="2:13">
      <c r="B338" s="2"/>
      <c r="C338" s="1">
        <v>28.908553229999999</v>
      </c>
      <c r="D338" s="1">
        <v>1.187249166</v>
      </c>
      <c r="E338" s="1"/>
      <c r="H338" s="2">
        <v>30.7038856</v>
      </c>
      <c r="I338" s="2">
        <v>25.4032573</v>
      </c>
      <c r="J338" s="2">
        <v>28.8870498</v>
      </c>
      <c r="L338" s="2"/>
      <c r="M338" s="2"/>
    </row>
    <row r="339" spans="2:13">
      <c r="B339" s="2"/>
      <c r="C339" s="1">
        <v>68.008760140000007</v>
      </c>
      <c r="D339" s="1">
        <v>2.5723731920000001</v>
      </c>
      <c r="E339" s="1"/>
      <c r="H339" s="2">
        <v>56.934829999999998</v>
      </c>
      <c r="I339" s="2">
        <v>32.787925100000002</v>
      </c>
      <c r="J339" s="2">
        <v>56.175057099999997</v>
      </c>
      <c r="L339" s="2"/>
      <c r="M339" s="2"/>
    </row>
    <row r="340" spans="2:13">
      <c r="B340" s="2"/>
      <c r="C340" s="1">
        <v>6.6777067389999996</v>
      </c>
      <c r="D340" s="1">
        <v>0.35617474999999998</v>
      </c>
      <c r="E340" s="1"/>
      <c r="H340" s="2">
        <v>10.296091799999999</v>
      </c>
      <c r="I340" s="2">
        <v>11.1469617</v>
      </c>
      <c r="J340" s="2">
        <v>9.1771132800000004</v>
      </c>
      <c r="L340" s="2"/>
      <c r="M340" s="2"/>
    </row>
    <row r="341" spans="2:13">
      <c r="B341" s="2"/>
      <c r="C341" s="1">
        <v>15.5229512</v>
      </c>
      <c r="D341" s="1">
        <v>0.42872886500000001</v>
      </c>
      <c r="E341" s="1"/>
      <c r="H341" s="2">
        <v>15.072384</v>
      </c>
      <c r="I341" s="2">
        <v>12.826002000000001</v>
      </c>
      <c r="J341" s="2">
        <v>12.236151</v>
      </c>
      <c r="L341" s="2"/>
      <c r="M341" s="2"/>
    </row>
    <row r="342" spans="2:13">
      <c r="B342" s="2"/>
      <c r="C342" s="1">
        <v>74.070620500000004</v>
      </c>
      <c r="D342" s="1">
        <v>4.907296551</v>
      </c>
      <c r="E342" s="1"/>
      <c r="H342" s="2">
        <v>71.477836699999997</v>
      </c>
      <c r="I342" s="2">
        <v>64.440943300000001</v>
      </c>
      <c r="J342" s="2">
        <v>63.579318899999997</v>
      </c>
      <c r="L342" s="2"/>
      <c r="M342" s="2"/>
    </row>
    <row r="343" spans="2:13">
      <c r="B343" s="2"/>
      <c r="C343" s="1">
        <v>28.60666775</v>
      </c>
      <c r="D343" s="1">
        <v>0.91022435999999995</v>
      </c>
      <c r="E343" s="1"/>
      <c r="H343" s="2">
        <v>14.7868771</v>
      </c>
      <c r="I343" s="2">
        <v>15.935335800000001</v>
      </c>
      <c r="J343" s="2">
        <v>11.575677000000001</v>
      </c>
      <c r="L343" s="2"/>
      <c r="M343" s="2"/>
    </row>
    <row r="344" spans="2:13">
      <c r="B344" s="2"/>
      <c r="C344" s="1">
        <v>18.722937250000001</v>
      </c>
      <c r="D344" s="1">
        <v>0.56064543899999997</v>
      </c>
      <c r="E344" s="1"/>
      <c r="H344" s="2">
        <v>9.9689485100000006</v>
      </c>
      <c r="I344" s="2">
        <v>8.7527746900000007</v>
      </c>
      <c r="J344" s="2">
        <v>6.81331138</v>
      </c>
      <c r="L344" s="2"/>
      <c r="M344" s="2"/>
    </row>
    <row r="345" spans="2:13">
      <c r="B345" s="2"/>
      <c r="C345" s="1">
        <v>44.292637110000001</v>
      </c>
      <c r="D345" s="1">
        <v>1.576403059</v>
      </c>
      <c r="E345" s="1"/>
      <c r="H345" s="2">
        <v>37.996207099999999</v>
      </c>
      <c r="I345" s="2">
        <v>34.824538699999998</v>
      </c>
      <c r="J345" s="2">
        <v>28.678478999999999</v>
      </c>
      <c r="L345" s="2"/>
      <c r="M345" s="2"/>
    </row>
    <row r="346" spans="2:13">
      <c r="B346" s="2"/>
      <c r="C346" s="1">
        <v>12.956924649999999</v>
      </c>
      <c r="D346" s="1">
        <v>286.25896549999999</v>
      </c>
      <c r="E346" s="1"/>
      <c r="H346" s="2">
        <v>36.598413000000001</v>
      </c>
      <c r="I346" s="2">
        <v>21.034643299999999</v>
      </c>
      <c r="J346" s="2">
        <v>34.796554499999999</v>
      </c>
      <c r="L346" s="2"/>
      <c r="M346" s="2"/>
    </row>
    <row r="347" spans="2:13">
      <c r="B347" s="2"/>
      <c r="C347" s="1">
        <v>49.358275399999997</v>
      </c>
      <c r="D347" s="1">
        <v>1.945769466</v>
      </c>
      <c r="E347" s="1"/>
      <c r="H347" s="2">
        <v>42.094420399999997</v>
      </c>
      <c r="I347" s="2">
        <v>49.764887700000003</v>
      </c>
      <c r="J347" s="2">
        <v>40.7060593</v>
      </c>
      <c r="L347" s="2"/>
      <c r="M347" s="2"/>
    </row>
    <row r="348" spans="2:13">
      <c r="B348" s="2"/>
      <c r="C348" s="1">
        <v>12.021079670000001</v>
      </c>
      <c r="D348" s="1">
        <v>0.52107046700000004</v>
      </c>
      <c r="E348" s="1"/>
      <c r="H348" s="2">
        <v>9.4990517699999995</v>
      </c>
      <c r="I348" s="2">
        <v>8.7683213599999998</v>
      </c>
      <c r="J348" s="2">
        <v>6.9871203399999997</v>
      </c>
      <c r="L348" s="2"/>
      <c r="M348" s="2"/>
    </row>
    <row r="349" spans="2:13">
      <c r="B349" s="2"/>
      <c r="C349" s="1">
        <v>18.010487529999999</v>
      </c>
      <c r="D349" s="1">
        <v>0.56064543899999997</v>
      </c>
      <c r="E349" s="1"/>
      <c r="H349" s="2">
        <v>17.7311668</v>
      </c>
      <c r="I349" s="2">
        <v>18.656002900000001</v>
      </c>
      <c r="J349" s="2">
        <v>15.051856300000001</v>
      </c>
      <c r="L349" s="2"/>
      <c r="M349" s="2"/>
    </row>
    <row r="350" spans="2:13">
      <c r="B350" s="2"/>
      <c r="C350" s="1">
        <v>13.51239393</v>
      </c>
      <c r="D350" s="1">
        <v>0.48809132399999999</v>
      </c>
      <c r="E350" s="1"/>
      <c r="H350" s="2">
        <v>12.449289500000001</v>
      </c>
      <c r="I350" s="2">
        <v>12.592802000000001</v>
      </c>
      <c r="J350" s="2">
        <v>9.1423514899999994</v>
      </c>
      <c r="L350" s="2"/>
      <c r="M350" s="2"/>
    </row>
    <row r="351" spans="2:13">
      <c r="B351" s="2"/>
      <c r="C351" s="1">
        <v>14.798426060000001</v>
      </c>
      <c r="D351" s="1">
        <v>0.84426607300000001</v>
      </c>
      <c r="E351" s="1"/>
      <c r="H351" s="2">
        <v>19.170597300000001</v>
      </c>
      <c r="I351" s="2">
        <v>12.654988599999999</v>
      </c>
      <c r="J351" s="2">
        <v>16.720422299999999</v>
      </c>
      <c r="L351" s="2"/>
      <c r="M351" s="2"/>
    </row>
    <row r="352" spans="2:13">
      <c r="B352" s="2"/>
      <c r="C352" s="1">
        <v>68.226117680000002</v>
      </c>
      <c r="D352" s="1">
        <v>1334.8638120000001</v>
      </c>
      <c r="E352" s="1"/>
      <c r="H352" s="2">
        <v>62.323772400000003</v>
      </c>
      <c r="I352" s="2">
        <v>66.119983599999998</v>
      </c>
      <c r="J352" s="2">
        <v>46.1984225</v>
      </c>
      <c r="L352" s="2"/>
      <c r="M352" s="2"/>
    </row>
    <row r="353" spans="2:13">
      <c r="B353" s="2"/>
      <c r="C353" s="1">
        <v>22.170469390000001</v>
      </c>
      <c r="D353" s="1">
        <v>0.949799332</v>
      </c>
      <c r="E353" s="1"/>
      <c r="H353" s="2">
        <v>23.839824400000001</v>
      </c>
      <c r="I353" s="2">
        <v>39.037686100000002</v>
      </c>
      <c r="J353" s="2">
        <v>21.274217199999999</v>
      </c>
      <c r="L353" s="2"/>
      <c r="M353" s="2"/>
    </row>
    <row r="354" spans="2:13">
      <c r="B354" s="2"/>
      <c r="C354" s="1">
        <v>31.178732010000001</v>
      </c>
      <c r="D354" s="1">
        <v>1.4115073410000001</v>
      </c>
      <c r="E354" s="1"/>
      <c r="H354" s="2">
        <v>30.251833000000001</v>
      </c>
      <c r="I354" s="2">
        <v>21.221203299999999</v>
      </c>
      <c r="J354" s="2">
        <v>21.830405800000001</v>
      </c>
      <c r="L354" s="2"/>
      <c r="M354" s="2"/>
    </row>
    <row r="355" spans="2:13">
      <c r="B355" s="2"/>
      <c r="C355" s="1">
        <v>203.86930000000001</v>
      </c>
      <c r="D355" s="1">
        <v>14.47784399</v>
      </c>
      <c r="E355" s="1"/>
      <c r="H355" s="2">
        <v>215.59933000000001</v>
      </c>
      <c r="I355" s="2">
        <v>178.149281</v>
      </c>
      <c r="J355" s="2">
        <v>227.62021899999999</v>
      </c>
      <c r="L355" s="2"/>
      <c r="M355" s="2"/>
    </row>
    <row r="356" spans="2:13">
      <c r="B356" s="2"/>
      <c r="C356" s="1">
        <v>77.542303480000001</v>
      </c>
      <c r="D356" s="1">
        <v>5.9956082860000004</v>
      </c>
      <c r="E356" s="1"/>
      <c r="H356" s="2">
        <v>57.815142899999998</v>
      </c>
      <c r="I356" s="2">
        <v>87.760947000000002</v>
      </c>
      <c r="J356" s="2">
        <v>48.284130099999999</v>
      </c>
      <c r="L356" s="2"/>
      <c r="M356" s="2"/>
    </row>
    <row r="357" spans="2:13">
      <c r="B357" s="2"/>
      <c r="C357" s="1">
        <v>23.305558779999998</v>
      </c>
      <c r="D357" s="1">
        <v>0.74532864300000001</v>
      </c>
      <c r="E357" s="1"/>
      <c r="H357" s="2">
        <v>19.937897</v>
      </c>
      <c r="I357" s="2">
        <v>21.112376600000001</v>
      </c>
      <c r="J357" s="2">
        <v>13.5570992</v>
      </c>
      <c r="L357" s="2"/>
      <c r="M357" s="2"/>
    </row>
    <row r="358" spans="2:13">
      <c r="B358" s="2"/>
      <c r="C358" s="1">
        <v>49.986197189999999</v>
      </c>
      <c r="D358" s="1">
        <v>2.5130107339999999</v>
      </c>
      <c r="E358" s="1"/>
      <c r="H358" s="2">
        <v>41.915978600000003</v>
      </c>
      <c r="I358" s="2">
        <v>27.533150899999999</v>
      </c>
      <c r="J358" s="2">
        <v>37.090832800000001</v>
      </c>
      <c r="L358" s="2"/>
      <c r="M358" s="2"/>
    </row>
    <row r="359" spans="2:13">
      <c r="B359" s="2"/>
      <c r="C359" s="1">
        <v>23.854990350000001</v>
      </c>
      <c r="D359" s="1">
        <v>74.506480969999998</v>
      </c>
      <c r="E359" s="1"/>
      <c r="H359" s="2">
        <v>26.5699839</v>
      </c>
      <c r="I359" s="2">
        <v>17.7853894</v>
      </c>
      <c r="J359" s="2">
        <v>18.736606299999998</v>
      </c>
      <c r="L359" s="2"/>
      <c r="M359" s="2"/>
    </row>
    <row r="360" spans="2:13">
      <c r="B360" s="2"/>
      <c r="C360" s="1">
        <v>28.54629065</v>
      </c>
      <c r="D360" s="1">
        <v>1.2400157949999999</v>
      </c>
      <c r="E360" s="1"/>
      <c r="H360" s="2">
        <v>37.651219599999997</v>
      </c>
      <c r="I360" s="2">
        <v>38.9288594</v>
      </c>
      <c r="J360" s="2">
        <v>28.921811600000002</v>
      </c>
      <c r="L360" s="2"/>
      <c r="M360" s="2"/>
    </row>
    <row r="361" spans="2:13">
      <c r="B361" s="2"/>
      <c r="C361" s="1">
        <v>12.413530789999999</v>
      </c>
      <c r="D361" s="1">
        <v>0.75852030000000004</v>
      </c>
      <c r="E361" s="1"/>
      <c r="H361" s="2">
        <v>13.1214203</v>
      </c>
      <c r="I361" s="2">
        <v>11.0847751</v>
      </c>
      <c r="J361" s="2">
        <v>13.313766599999999</v>
      </c>
      <c r="L361" s="2"/>
      <c r="M361" s="2"/>
    </row>
    <row r="362" spans="2:13">
      <c r="B362" s="2"/>
      <c r="C362" s="1">
        <v>54.67145979</v>
      </c>
      <c r="D362" s="1">
        <v>2.5789690209999998</v>
      </c>
      <c r="E362" s="1"/>
      <c r="H362" s="2">
        <v>44.7710474</v>
      </c>
      <c r="I362" s="2">
        <v>45.769393800000003</v>
      </c>
      <c r="J362" s="2">
        <v>44.077953200000003</v>
      </c>
      <c r="L362" s="2"/>
      <c r="M362" s="2"/>
    </row>
    <row r="363" spans="2:13">
      <c r="B363" s="2"/>
      <c r="C363" s="1">
        <v>13.240697000000001</v>
      </c>
      <c r="D363" s="1">
        <v>0.46170800899999997</v>
      </c>
      <c r="E363" s="1"/>
      <c r="H363" s="2">
        <v>6.1205537100000003</v>
      </c>
      <c r="I363" s="2">
        <v>4.13541398</v>
      </c>
      <c r="J363" s="2">
        <v>3.6499882399999999</v>
      </c>
      <c r="L363" s="2"/>
      <c r="M363" s="2"/>
    </row>
    <row r="364" spans="2:13">
      <c r="B364" s="2"/>
      <c r="C364" s="1">
        <v>10.02259782</v>
      </c>
      <c r="D364" s="1">
        <v>0.31659977700000003</v>
      </c>
      <c r="E364" s="1"/>
      <c r="H364" s="2">
        <v>5.2164485899999997</v>
      </c>
      <c r="I364" s="2">
        <v>5.65898754</v>
      </c>
      <c r="J364" s="2">
        <v>4.1714151299999997</v>
      </c>
      <c r="L364" s="2"/>
      <c r="M364" s="2"/>
    </row>
    <row r="365" spans="2:13">
      <c r="B365" s="2"/>
      <c r="C365" s="1">
        <v>87.516599630000002</v>
      </c>
      <c r="D365" s="1">
        <v>2.5855648489999998</v>
      </c>
      <c r="E365" s="1"/>
      <c r="H365" s="2">
        <v>60.592886900000003</v>
      </c>
      <c r="I365" s="2">
        <v>41.354139799999999</v>
      </c>
      <c r="J365" s="2">
        <v>63.335986400000003</v>
      </c>
      <c r="L365" s="2"/>
      <c r="M365" s="2"/>
    </row>
    <row r="366" spans="2:13">
      <c r="B366" s="2"/>
      <c r="C366" s="1">
        <v>54.200518440000003</v>
      </c>
      <c r="D366" s="1">
        <v>2.4008816460000002</v>
      </c>
      <c r="E366" s="1"/>
      <c r="H366" s="2">
        <v>61.931200400000002</v>
      </c>
      <c r="I366" s="2">
        <v>60.1656093</v>
      </c>
      <c r="J366" s="2">
        <v>59.894568900000003</v>
      </c>
      <c r="L366" s="2"/>
      <c r="M366" s="2"/>
    </row>
    <row r="367" spans="2:13">
      <c r="B367" s="2"/>
      <c r="C367" s="1">
        <v>8.5071327270000001</v>
      </c>
      <c r="D367" s="1">
        <v>0.38255806399999998</v>
      </c>
      <c r="E367" s="1"/>
      <c r="H367" s="2">
        <v>10.4269491</v>
      </c>
      <c r="I367" s="2">
        <v>11.8621085</v>
      </c>
      <c r="J367" s="2">
        <v>8.6904481800000006</v>
      </c>
      <c r="L367" s="2"/>
      <c r="M367" s="2"/>
    </row>
    <row r="368" spans="2:13">
      <c r="B368" s="2"/>
      <c r="C368" s="1">
        <v>10.98863134</v>
      </c>
      <c r="D368" s="1">
        <v>1.1608658510000001</v>
      </c>
      <c r="E368" s="1"/>
      <c r="H368" s="2">
        <v>10.0760136</v>
      </c>
      <c r="I368" s="2">
        <v>5.7678142299999999</v>
      </c>
      <c r="J368" s="2">
        <v>6.8480731700000002</v>
      </c>
      <c r="L368" s="2"/>
      <c r="M368" s="2"/>
    </row>
    <row r="369" spans="2:13">
      <c r="B369" s="2"/>
      <c r="C369" s="1">
        <v>6.659593611</v>
      </c>
      <c r="D369" s="1">
        <v>0.38915389299999997</v>
      </c>
      <c r="E369" s="1"/>
      <c r="H369" s="2">
        <v>11.5570805</v>
      </c>
      <c r="I369" s="2">
        <v>10.789388300000001</v>
      </c>
      <c r="J369" s="2">
        <v>9.6637783800000001</v>
      </c>
      <c r="L369" s="2"/>
      <c r="M369" s="2"/>
    </row>
    <row r="370" spans="2:13">
      <c r="B370" s="2"/>
      <c r="C370" s="1">
        <v>12.00900425</v>
      </c>
      <c r="D370" s="1">
        <v>118.6457666</v>
      </c>
      <c r="E370" s="1"/>
      <c r="H370" s="2">
        <v>25.088916999999999</v>
      </c>
      <c r="I370" s="2">
        <v>27.2688576</v>
      </c>
      <c r="J370" s="2">
        <v>18.4932737</v>
      </c>
      <c r="L370" s="2"/>
      <c r="M370" s="2"/>
    </row>
    <row r="371" spans="2:13">
      <c r="B371" s="2"/>
      <c r="C371" s="1">
        <v>31.269297649999999</v>
      </c>
      <c r="D371" s="1">
        <v>1.1476741930000001</v>
      </c>
      <c r="E371" s="1"/>
      <c r="H371" s="2">
        <v>26.2368925</v>
      </c>
      <c r="I371" s="2">
        <v>26.196137400000001</v>
      </c>
      <c r="J371" s="2">
        <v>23.638019100000001</v>
      </c>
      <c r="L371" s="2"/>
      <c r="M371" s="2"/>
    </row>
    <row r="372" spans="2:13">
      <c r="B372" s="2"/>
      <c r="C372" s="1">
        <v>30.593074179999999</v>
      </c>
      <c r="D372" s="1">
        <v>1.207036652</v>
      </c>
      <c r="E372" s="1"/>
      <c r="H372" s="2">
        <v>13.2344334</v>
      </c>
      <c r="I372" s="2">
        <v>11.5822685</v>
      </c>
      <c r="J372" s="2">
        <v>9.1423514899999994</v>
      </c>
      <c r="L372" s="2"/>
      <c r="M372" s="2"/>
    </row>
    <row r="373" spans="2:13">
      <c r="B373" s="2"/>
      <c r="C373" s="1">
        <v>4.4920558899999996</v>
      </c>
      <c r="D373" s="1">
        <v>0.237449833</v>
      </c>
      <c r="E373" s="1"/>
      <c r="H373" s="2">
        <v>8.4997776999999992</v>
      </c>
      <c r="I373" s="2">
        <v>7.0270944200000001</v>
      </c>
      <c r="J373" s="2">
        <v>5.3185542899999998</v>
      </c>
      <c r="L373" s="2"/>
      <c r="M373" s="2"/>
    </row>
    <row r="374" spans="2:13">
      <c r="B374" s="2"/>
      <c r="C374" s="1">
        <v>52.546186030000001</v>
      </c>
      <c r="D374" s="1">
        <v>2.5789690209999998</v>
      </c>
      <c r="E374" s="1"/>
      <c r="H374" s="2">
        <v>24.8509946</v>
      </c>
      <c r="I374" s="2">
        <v>23.568750300000001</v>
      </c>
      <c r="J374" s="2">
        <v>23.568495500000001</v>
      </c>
      <c r="L374" s="2"/>
      <c r="M374" s="2"/>
    </row>
    <row r="375" spans="2:13">
      <c r="B375" s="2"/>
      <c r="C375" s="1">
        <v>34.040606330000003</v>
      </c>
      <c r="D375" s="1">
        <v>1.754490434</v>
      </c>
      <c r="E375" s="1"/>
      <c r="H375" s="2">
        <v>47.536895299999998</v>
      </c>
      <c r="I375" s="2">
        <v>34.0316586</v>
      </c>
      <c r="J375" s="2">
        <v>45.016521599999997</v>
      </c>
      <c r="L375" s="2"/>
      <c r="M375" s="2"/>
    </row>
    <row r="376" spans="2:13">
      <c r="B376" s="2"/>
      <c r="C376" s="1">
        <v>25.213474990000002</v>
      </c>
      <c r="D376" s="1">
        <v>1.932577808</v>
      </c>
      <c r="E376" s="1"/>
      <c r="H376" s="2">
        <v>19.230077900000001</v>
      </c>
      <c r="I376" s="2">
        <v>18.9202963</v>
      </c>
      <c r="J376" s="2">
        <v>8.7252099800000007</v>
      </c>
      <c r="L376" s="2"/>
      <c r="M376" s="2"/>
    </row>
    <row r="377" spans="2:13">
      <c r="B377" s="2"/>
      <c r="C377" s="1">
        <v>5.3494106429999997</v>
      </c>
      <c r="D377" s="1">
        <v>0.36936640700000001</v>
      </c>
      <c r="E377" s="1"/>
      <c r="H377" s="2">
        <v>13.264173700000001</v>
      </c>
      <c r="I377" s="2">
        <v>10.525095</v>
      </c>
      <c r="J377" s="2">
        <v>9.3856840399999992</v>
      </c>
      <c r="L377" s="2"/>
      <c r="M377" s="2"/>
    </row>
    <row r="378" spans="2:13">
      <c r="B378" s="2"/>
      <c r="C378" s="1">
        <v>44.836030960000002</v>
      </c>
      <c r="D378" s="1">
        <v>1.6225738599999999</v>
      </c>
      <c r="E378" s="1"/>
      <c r="H378" s="2">
        <v>28.175960100000001</v>
      </c>
      <c r="I378" s="2">
        <v>34.420325300000002</v>
      </c>
      <c r="J378" s="2">
        <v>21.065646399999999</v>
      </c>
      <c r="L378" s="2"/>
      <c r="M378" s="2"/>
    </row>
    <row r="379" spans="2:13">
      <c r="B379" s="2"/>
      <c r="C379" s="1">
        <v>20.50406156</v>
      </c>
      <c r="D379" s="1">
        <v>0.73873281400000002</v>
      </c>
      <c r="E379" s="1"/>
      <c r="H379" s="2">
        <v>10.890897799999999</v>
      </c>
      <c r="I379" s="2">
        <v>13.012562000000001</v>
      </c>
      <c r="J379" s="2">
        <v>9.6290165900000009</v>
      </c>
      <c r="L379" s="2"/>
      <c r="M379" s="2"/>
    </row>
    <row r="380" spans="2:13">
      <c r="B380" s="2"/>
      <c r="C380" s="1">
        <v>14.03767466</v>
      </c>
      <c r="D380" s="1">
        <v>1.457678142</v>
      </c>
      <c r="E380" s="1"/>
      <c r="H380" s="2">
        <v>31.423600799999999</v>
      </c>
      <c r="I380" s="2">
        <v>26.895737499999999</v>
      </c>
      <c r="J380" s="2">
        <v>26.384200700000001</v>
      </c>
      <c r="L380" s="2"/>
      <c r="M380" s="2"/>
    </row>
    <row r="381" spans="2:13">
      <c r="B381" s="2"/>
      <c r="C381" s="1">
        <v>5.9169553390000003</v>
      </c>
      <c r="D381" s="1">
        <v>0.244045662</v>
      </c>
      <c r="E381" s="1"/>
      <c r="H381" s="2">
        <v>4.2885512400000003</v>
      </c>
      <c r="I381" s="2">
        <v>2.9694137899999999</v>
      </c>
      <c r="J381" s="2">
        <v>3.68475003</v>
      </c>
      <c r="L381" s="2"/>
      <c r="M381" s="2"/>
    </row>
    <row r="382" spans="2:13">
      <c r="B382" s="2"/>
      <c r="C382" s="1">
        <v>3.6165880079999999</v>
      </c>
      <c r="D382" s="1">
        <v>8.5745772999999997E-2</v>
      </c>
      <c r="E382" s="1"/>
      <c r="H382" s="2">
        <v>3.7353816599999998</v>
      </c>
      <c r="I382" s="2">
        <v>2.3941870399999998</v>
      </c>
      <c r="J382" s="2">
        <v>2.1552311500000001</v>
      </c>
      <c r="L382" s="2"/>
      <c r="M382" s="2"/>
    </row>
    <row r="383" spans="2:13">
      <c r="B383" s="2"/>
      <c r="C383" s="1">
        <v>8.8029804939999998</v>
      </c>
      <c r="D383" s="1">
        <v>0.44192052300000001</v>
      </c>
      <c r="E383" s="1"/>
      <c r="H383" s="2">
        <v>7.2031006199999998</v>
      </c>
      <c r="I383" s="2">
        <v>5.2547741500000003</v>
      </c>
      <c r="J383" s="2">
        <v>4.9709363599999996</v>
      </c>
      <c r="L383" s="2"/>
      <c r="M383" s="2"/>
    </row>
    <row r="384" spans="2:13">
      <c r="B384" s="2"/>
      <c r="C384" s="1">
        <v>4.7033757229999997</v>
      </c>
      <c r="D384" s="1">
        <v>0.15170406</v>
      </c>
      <c r="E384" s="1"/>
      <c r="H384" s="2">
        <v>3.7175374799999998</v>
      </c>
      <c r="I384" s="2">
        <v>2.17653367</v>
      </c>
      <c r="J384" s="2">
        <v>2.1552311500000001</v>
      </c>
      <c r="L384" s="2"/>
      <c r="M384" s="2"/>
    </row>
    <row r="385" spans="2:13">
      <c r="B385" s="2"/>
      <c r="C385" s="1">
        <v>8.7546788170000003</v>
      </c>
      <c r="D385" s="1">
        <v>0.76511612900000003</v>
      </c>
      <c r="E385" s="1"/>
      <c r="H385" s="2">
        <v>11.152612400000001</v>
      </c>
      <c r="I385" s="2">
        <v>12.483975300000001</v>
      </c>
      <c r="J385" s="2">
        <v>8.6904481800000006</v>
      </c>
      <c r="L385" s="2"/>
      <c r="M385" s="2"/>
    </row>
    <row r="386" spans="2:13">
      <c r="B386" s="2"/>
      <c r="C386" s="1">
        <v>35.145507170000002</v>
      </c>
      <c r="D386" s="1">
        <v>1.8732153499999999</v>
      </c>
      <c r="E386" s="1"/>
      <c r="H386" s="2">
        <v>43.206707600000001</v>
      </c>
      <c r="I386" s="2">
        <v>64.658596700000004</v>
      </c>
      <c r="J386" s="2">
        <v>62.8493213</v>
      </c>
      <c r="L386" s="2"/>
      <c r="M386" s="2"/>
    </row>
    <row r="387" spans="2:13">
      <c r="B387" s="2"/>
      <c r="C387" s="1">
        <v>6.0377095289999998</v>
      </c>
      <c r="D387" s="1">
        <v>0.43532469400000001</v>
      </c>
      <c r="E387" s="1"/>
      <c r="H387" s="2">
        <v>9.6120649100000009</v>
      </c>
      <c r="I387" s="2">
        <v>7.7111478599999996</v>
      </c>
      <c r="J387" s="2">
        <v>8.9685425199999997</v>
      </c>
      <c r="L387" s="2"/>
      <c r="M387" s="2"/>
    </row>
    <row r="388" spans="2:13">
      <c r="B388" s="2"/>
      <c r="C388" s="1">
        <v>90.970169479999996</v>
      </c>
      <c r="D388" s="1">
        <v>17.736183369999999</v>
      </c>
      <c r="E388" s="1"/>
      <c r="H388" s="2">
        <v>80.019250799999995</v>
      </c>
      <c r="I388" s="2">
        <v>34.482512</v>
      </c>
      <c r="J388" s="2">
        <v>45.433663099999997</v>
      </c>
      <c r="L388" s="2"/>
      <c r="M388" s="2"/>
    </row>
    <row r="389" spans="2:13">
      <c r="B389" s="2"/>
      <c r="C389" s="1">
        <v>67.284234990000002</v>
      </c>
      <c r="D389" s="1">
        <v>3.720047385</v>
      </c>
      <c r="E389" s="1"/>
      <c r="H389" s="2">
        <v>62.044213499999998</v>
      </c>
      <c r="I389" s="2">
        <v>37.716219199999998</v>
      </c>
      <c r="J389" s="2">
        <v>40.8451065</v>
      </c>
      <c r="L389" s="2"/>
      <c r="M389" s="2"/>
    </row>
    <row r="390" spans="2:13">
      <c r="B390" s="2"/>
      <c r="C390" s="1">
        <v>119.2809895</v>
      </c>
      <c r="D390" s="1">
        <v>4.3994177409999997</v>
      </c>
      <c r="E390" s="1"/>
      <c r="H390" s="2">
        <v>116.932911</v>
      </c>
      <c r="I390" s="2">
        <v>55.392781900000003</v>
      </c>
      <c r="J390" s="2">
        <v>62.188847199999998</v>
      </c>
      <c r="L390" s="2"/>
      <c r="M390" s="2"/>
    </row>
    <row r="391" spans="2:13">
      <c r="B391" s="2"/>
      <c r="C391" s="1">
        <v>22.71990096</v>
      </c>
      <c r="D391" s="1">
        <v>1.371932369</v>
      </c>
      <c r="E391" s="1"/>
      <c r="H391" s="2">
        <v>26.022762400000001</v>
      </c>
      <c r="I391" s="2">
        <v>52.112434800000003</v>
      </c>
      <c r="J391" s="2">
        <v>24.646111000000001</v>
      </c>
      <c r="L391" s="2"/>
      <c r="M391" s="2"/>
    </row>
    <row r="392" spans="2:13">
      <c r="B392" s="2"/>
      <c r="C392" s="1">
        <v>13.08371655</v>
      </c>
      <c r="D392" s="1">
        <v>0.32319560600000002</v>
      </c>
      <c r="E392" s="1"/>
      <c r="H392" s="2">
        <v>8.0298809599999998</v>
      </c>
      <c r="I392" s="2">
        <v>7.6645078599999996</v>
      </c>
      <c r="J392" s="2">
        <v>3.8933207900000002</v>
      </c>
      <c r="L392" s="2"/>
      <c r="M392" s="2"/>
    </row>
    <row r="393" spans="2:13">
      <c r="B393" s="2"/>
      <c r="C393" s="1">
        <v>10.5780671</v>
      </c>
      <c r="D393" s="1">
        <v>3.4100434370000001</v>
      </c>
      <c r="E393" s="1"/>
      <c r="H393" s="2">
        <v>14.037421500000001</v>
      </c>
      <c r="I393" s="2">
        <v>25.8230173</v>
      </c>
      <c r="J393" s="2">
        <v>10.532823199999999</v>
      </c>
      <c r="L393" s="2"/>
      <c r="M393" s="2"/>
    </row>
    <row r="394" spans="2:13">
      <c r="B394" s="2"/>
      <c r="C394" s="1">
        <v>24.247441469999998</v>
      </c>
      <c r="D394" s="1">
        <v>332.00763330000001</v>
      </c>
      <c r="E394" s="1"/>
      <c r="H394" s="2">
        <v>20.562443300000002</v>
      </c>
      <c r="I394" s="2">
        <v>19.7753631</v>
      </c>
      <c r="J394" s="2">
        <v>16.650898699999999</v>
      </c>
      <c r="L394" s="2"/>
      <c r="M394" s="2"/>
    </row>
    <row r="395" spans="2:13">
      <c r="B395" s="2"/>
      <c r="C395" s="1">
        <v>42.408871730000001</v>
      </c>
      <c r="D395" s="1">
        <v>1.893002836</v>
      </c>
      <c r="E395" s="1"/>
      <c r="H395" s="2">
        <v>46.686322699999998</v>
      </c>
      <c r="I395" s="2">
        <v>49.205207600000001</v>
      </c>
      <c r="J395" s="2">
        <v>32.015611100000001</v>
      </c>
      <c r="L395" s="2"/>
      <c r="M395" s="2"/>
    </row>
    <row r="396" spans="2:13">
      <c r="B396" s="2"/>
      <c r="C396" s="1">
        <v>47.848848019999998</v>
      </c>
      <c r="D396" s="1">
        <v>1.6555530030000001</v>
      </c>
      <c r="E396" s="1"/>
      <c r="H396" s="2">
        <v>24.274032699999999</v>
      </c>
      <c r="I396" s="2">
        <v>18.080776100000001</v>
      </c>
      <c r="J396" s="2">
        <v>23.7075426</v>
      </c>
      <c r="L396" s="2"/>
      <c r="M396" s="2"/>
    </row>
    <row r="397" spans="2:13">
      <c r="B397" s="2"/>
      <c r="C397" s="1">
        <v>25.84139678</v>
      </c>
      <c r="D397" s="1">
        <v>0.93001184599999998</v>
      </c>
      <c r="E397" s="1"/>
      <c r="H397" s="2">
        <v>23.536473300000001</v>
      </c>
      <c r="I397" s="2">
        <v>22.0451768</v>
      </c>
      <c r="J397" s="2">
        <v>19.7446983</v>
      </c>
      <c r="L397" s="2"/>
      <c r="M397" s="2"/>
    </row>
    <row r="398" spans="2:13">
      <c r="B398" s="2"/>
      <c r="C398" s="1">
        <v>64.295568779999996</v>
      </c>
      <c r="D398" s="1">
        <v>447.49399799999998</v>
      </c>
      <c r="E398" s="1"/>
      <c r="H398" s="2">
        <v>85.0869979</v>
      </c>
      <c r="I398" s="2">
        <v>95.145614800000004</v>
      </c>
      <c r="J398" s="2">
        <v>57.252672599999997</v>
      </c>
      <c r="L398" s="2"/>
      <c r="M398" s="2"/>
    </row>
    <row r="399" spans="2:13">
      <c r="B399" s="2"/>
      <c r="C399" s="1">
        <v>18.38482552</v>
      </c>
      <c r="D399" s="1">
        <v>1.1146950499999999</v>
      </c>
      <c r="E399" s="1"/>
      <c r="H399" s="2">
        <v>29.1098055</v>
      </c>
      <c r="I399" s="2">
        <v>27.331044200000001</v>
      </c>
      <c r="J399" s="2">
        <v>18.388988399999999</v>
      </c>
      <c r="L399" s="2"/>
      <c r="M399" s="2"/>
    </row>
    <row r="400" spans="2:13">
      <c r="B400" s="2"/>
      <c r="C400" s="1">
        <v>86.556603809999999</v>
      </c>
      <c r="D400" s="1">
        <v>957.72751860000005</v>
      </c>
      <c r="E400" s="1"/>
      <c r="H400" s="2">
        <v>122.678737</v>
      </c>
      <c r="I400" s="2">
        <v>145.439089</v>
      </c>
      <c r="J400" s="2">
        <v>92.605415800000003</v>
      </c>
      <c r="L400" s="2"/>
      <c r="M400" s="2"/>
    </row>
    <row r="401" spans="2:13">
      <c r="B401" s="2"/>
      <c r="C401" s="1">
        <v>127.7458582</v>
      </c>
      <c r="D401" s="1">
        <v>4.986446495</v>
      </c>
      <c r="E401" s="1"/>
      <c r="H401" s="2">
        <v>64.482918100000006</v>
      </c>
      <c r="I401" s="2">
        <v>53.5427283</v>
      </c>
      <c r="J401" s="2">
        <v>51.656024000000002</v>
      </c>
      <c r="L401" s="2"/>
      <c r="M401" s="2"/>
    </row>
    <row r="402" spans="2:13">
      <c r="B402" s="2"/>
      <c r="C402" s="1">
        <v>326.8453677</v>
      </c>
      <c r="D402" s="1">
        <v>825.65924050000001</v>
      </c>
      <c r="E402" s="1"/>
      <c r="H402" s="2">
        <v>225.42552499999999</v>
      </c>
      <c r="I402" s="2">
        <v>253.59726599999999</v>
      </c>
      <c r="J402" s="2">
        <v>174.19134299999999</v>
      </c>
      <c r="L402" s="2"/>
      <c r="M402" s="2"/>
    </row>
    <row r="403" spans="2:13">
      <c r="B403" s="2"/>
      <c r="C403" s="1">
        <v>9.4550531230000008</v>
      </c>
      <c r="D403" s="1">
        <v>0.58702875399999999</v>
      </c>
      <c r="E403" s="1"/>
      <c r="H403" s="2">
        <v>11.848535500000001</v>
      </c>
      <c r="I403" s="2">
        <v>10.9604017</v>
      </c>
      <c r="J403" s="2">
        <v>8.6209246000000004</v>
      </c>
      <c r="L403" s="2"/>
      <c r="M403" s="2"/>
    </row>
    <row r="404" spans="2:13">
      <c r="B404" s="2"/>
      <c r="C404" s="1">
        <v>55.504663700000002</v>
      </c>
      <c r="D404" s="1">
        <v>2.625139822</v>
      </c>
      <c r="E404" s="1"/>
      <c r="H404" s="2">
        <v>104.031569</v>
      </c>
      <c r="I404" s="2">
        <v>72.292011200000005</v>
      </c>
      <c r="J404" s="2">
        <v>78.457366199999996</v>
      </c>
      <c r="L404" s="2"/>
      <c r="M404" s="2"/>
    </row>
    <row r="405" spans="2:13">
      <c r="B405" s="2"/>
      <c r="C405" s="1">
        <v>32.887403810000002</v>
      </c>
      <c r="D405" s="1">
        <v>2.2359859289999999</v>
      </c>
      <c r="E405" s="1"/>
      <c r="H405" s="2">
        <v>35.087605799999999</v>
      </c>
      <c r="I405" s="2">
        <v>18.422802900000001</v>
      </c>
      <c r="J405" s="2">
        <v>28.2613375</v>
      </c>
      <c r="L405" s="2"/>
      <c r="M405" s="2"/>
    </row>
    <row r="406" spans="2:13">
      <c r="B406" s="2"/>
      <c r="C406" s="1">
        <v>63.673684690000002</v>
      </c>
      <c r="D406" s="1">
        <v>630.51505269999996</v>
      </c>
      <c r="E406" s="1"/>
      <c r="H406" s="2">
        <v>97.750417499999998</v>
      </c>
      <c r="I406" s="2">
        <v>131.74247399999999</v>
      </c>
      <c r="J406" s="2">
        <v>108.734888</v>
      </c>
      <c r="L406" s="2"/>
      <c r="M406" s="2"/>
    </row>
    <row r="407" spans="2:13">
      <c r="B407" s="2"/>
      <c r="C407" s="1">
        <v>43.75528096</v>
      </c>
      <c r="D407" s="1">
        <v>2.3019442149999998</v>
      </c>
      <c r="E407" s="1"/>
      <c r="H407" s="2">
        <v>10.0760136</v>
      </c>
      <c r="I407" s="2">
        <v>9.5612014799999994</v>
      </c>
      <c r="J407" s="2">
        <v>9.6290165900000009</v>
      </c>
      <c r="L407" s="2"/>
      <c r="M407" s="2"/>
    </row>
    <row r="408" spans="2:13">
      <c r="B408" s="2"/>
      <c r="C408" s="1">
        <v>30.635338149999999</v>
      </c>
      <c r="D408" s="1">
        <v>1.893002836</v>
      </c>
      <c r="E408" s="1"/>
      <c r="H408" s="2">
        <v>38.519636400000003</v>
      </c>
      <c r="I408" s="2">
        <v>37.622939199999998</v>
      </c>
      <c r="J408" s="2">
        <v>35.317981400000001</v>
      </c>
      <c r="L408" s="2"/>
      <c r="M408" s="2"/>
    </row>
    <row r="409" spans="2:13">
      <c r="B409" s="2"/>
      <c r="C409" s="1">
        <v>83.743031169999995</v>
      </c>
      <c r="D409" s="1">
        <v>35.333854330000001</v>
      </c>
      <c r="E409" s="1"/>
      <c r="H409" s="2">
        <v>43.9680593</v>
      </c>
      <c r="I409" s="2">
        <v>35.353125499999997</v>
      </c>
      <c r="J409" s="2">
        <v>31.181328100000002</v>
      </c>
      <c r="L409" s="2"/>
      <c r="M409" s="2"/>
    </row>
    <row r="410" spans="2:13">
      <c r="B410" s="2"/>
      <c r="C410" s="1">
        <v>28.232329759999999</v>
      </c>
      <c r="D410" s="1">
        <v>1.945769466</v>
      </c>
      <c r="E410" s="1"/>
      <c r="H410" s="2">
        <v>12.621783300000001</v>
      </c>
      <c r="I410" s="2">
        <v>12.390695300000001</v>
      </c>
      <c r="J410" s="2">
        <v>7.8561651599999998</v>
      </c>
      <c r="L410" s="2"/>
      <c r="M410" s="2"/>
    </row>
    <row r="411" spans="2:13">
      <c r="B411" s="2"/>
      <c r="C411" s="1">
        <v>23.00367331</v>
      </c>
      <c r="D411" s="1">
        <v>4.491759343</v>
      </c>
      <c r="E411" s="1"/>
      <c r="H411" s="2">
        <v>62.9959031</v>
      </c>
      <c r="I411" s="2">
        <v>64.130009999999999</v>
      </c>
      <c r="J411" s="2">
        <v>52.177450899999997</v>
      </c>
      <c r="L411" s="2"/>
      <c r="M411" s="2"/>
    </row>
    <row r="412" spans="2:13">
      <c r="B412" s="2"/>
      <c r="C412" s="1">
        <v>7.5471369109999999</v>
      </c>
      <c r="D412" s="1">
        <v>167.9495861</v>
      </c>
      <c r="E412" s="1"/>
      <c r="H412" s="2">
        <v>10.611338999999999</v>
      </c>
      <c r="I412" s="2">
        <v>9.1569880900000005</v>
      </c>
      <c r="J412" s="2">
        <v>7.8214033599999997</v>
      </c>
      <c r="L412" s="2"/>
      <c r="M412" s="2"/>
    </row>
    <row r="413" spans="2:13">
      <c r="B413" s="2"/>
      <c r="C413" s="1">
        <v>15.40219701</v>
      </c>
      <c r="D413" s="1">
        <v>50.636176910000003</v>
      </c>
      <c r="E413" s="1"/>
      <c r="H413" s="2">
        <v>11.396482900000001</v>
      </c>
      <c r="I413" s="2">
        <v>9.8876815300000001</v>
      </c>
      <c r="J413" s="2">
        <v>9.8375873400000007</v>
      </c>
      <c r="L413" s="2"/>
      <c r="M413" s="2"/>
    </row>
    <row r="414" spans="2:13">
      <c r="B414" s="2"/>
      <c r="C414" s="1">
        <v>187.36220209999999</v>
      </c>
      <c r="D414" s="1">
        <v>8.1260609559999999</v>
      </c>
      <c r="E414" s="1"/>
      <c r="H414" s="2">
        <v>80.715173800000002</v>
      </c>
      <c r="I414" s="2">
        <v>48.738807600000001</v>
      </c>
      <c r="J414" s="2">
        <v>58.260764600000002</v>
      </c>
      <c r="L414" s="2"/>
      <c r="M414" s="2"/>
    </row>
    <row r="415" spans="2:13">
      <c r="B415" s="2"/>
      <c r="C415" s="1">
        <v>18.638409320000001</v>
      </c>
      <c r="D415" s="1">
        <v>0.54085795299999995</v>
      </c>
      <c r="E415" s="1"/>
      <c r="H415" s="2">
        <v>22.5966798</v>
      </c>
      <c r="I415" s="2">
        <v>19.899736399999998</v>
      </c>
      <c r="J415" s="2">
        <v>21.413264300000002</v>
      </c>
      <c r="L415" s="2"/>
      <c r="M415" s="2"/>
    </row>
    <row r="416" spans="2:13">
      <c r="B416" s="2"/>
      <c r="C416" s="1">
        <v>36.196068629999999</v>
      </c>
      <c r="D416" s="1">
        <v>1.2532074529999999</v>
      </c>
      <c r="E416" s="1"/>
      <c r="H416" s="2">
        <v>29.555910000000001</v>
      </c>
      <c r="I416" s="2">
        <v>17.863122799999999</v>
      </c>
      <c r="J416" s="2">
        <v>22.247547300000001</v>
      </c>
      <c r="L416" s="2"/>
      <c r="M416" s="2"/>
    </row>
    <row r="417" spans="2:13">
      <c r="B417" s="2"/>
      <c r="C417" s="1">
        <v>9.3403366420000005</v>
      </c>
      <c r="D417" s="1">
        <v>0.54745378200000006</v>
      </c>
      <c r="E417" s="1"/>
      <c r="H417" s="2">
        <v>15.447111700000001</v>
      </c>
      <c r="I417" s="2">
        <v>12.079761899999999</v>
      </c>
      <c r="J417" s="2">
        <v>11.575677000000001</v>
      </c>
      <c r="L417" s="2"/>
      <c r="M417" s="2"/>
    </row>
    <row r="418" spans="2:13">
      <c r="B418" s="2"/>
      <c r="C418" s="1">
        <v>10.03467324</v>
      </c>
      <c r="D418" s="1">
        <v>0.75192447200000001</v>
      </c>
      <c r="E418" s="1"/>
      <c r="H418" s="2">
        <v>7.37559436</v>
      </c>
      <c r="I418" s="2">
        <v>5.2081341400000003</v>
      </c>
      <c r="J418" s="2">
        <v>7.4737854400000003</v>
      </c>
      <c r="L418" s="2"/>
      <c r="M418" s="2"/>
    </row>
    <row r="419" spans="2:13">
      <c r="B419" s="2"/>
      <c r="C419" s="1">
        <v>11.387120169999999</v>
      </c>
      <c r="D419" s="1">
        <v>0.32979143500000002</v>
      </c>
      <c r="E419" s="1"/>
      <c r="H419" s="2">
        <v>8.9934666700000001</v>
      </c>
      <c r="I419" s="2">
        <v>8.6905880199999999</v>
      </c>
      <c r="J419" s="2">
        <v>7.7171179900000002</v>
      </c>
      <c r="L419" s="2"/>
      <c r="M419" s="2"/>
    </row>
    <row r="420" spans="2:13">
      <c r="B420" s="2"/>
      <c r="C420" s="1">
        <v>35.924371700000002</v>
      </c>
      <c r="D420" s="1">
        <v>2.8559938260000002</v>
      </c>
      <c r="E420" s="1"/>
      <c r="H420" s="2">
        <v>17.713322600000001</v>
      </c>
      <c r="I420" s="2">
        <v>20.785896600000001</v>
      </c>
      <c r="J420" s="2">
        <v>18.806129899999998</v>
      </c>
      <c r="L420" s="2"/>
      <c r="M420" s="2"/>
    </row>
    <row r="421" spans="2:13">
      <c r="B421" s="2"/>
      <c r="C421" s="1">
        <v>23.202917719999999</v>
      </c>
      <c r="D421" s="1">
        <v>1.6027863739999999</v>
      </c>
      <c r="E421" s="1"/>
      <c r="H421" s="2">
        <v>19.0813764</v>
      </c>
      <c r="I421" s="2">
        <v>25.698644000000002</v>
      </c>
      <c r="J421" s="2">
        <v>19.2580332</v>
      </c>
      <c r="L421" s="2"/>
      <c r="M421" s="2"/>
    </row>
    <row r="422" spans="2:13">
      <c r="B422" s="2"/>
      <c r="C422" s="1">
        <v>17.62407412</v>
      </c>
      <c r="D422" s="1">
        <v>1.3917198550000001</v>
      </c>
      <c r="E422" s="1"/>
      <c r="H422" s="2">
        <v>17.879868299999998</v>
      </c>
      <c r="I422" s="2">
        <v>11.8932018</v>
      </c>
      <c r="J422" s="2">
        <v>17.102802000000001</v>
      </c>
      <c r="L422" s="2"/>
      <c r="M422" s="2"/>
    </row>
    <row r="423" spans="2:13">
      <c r="B423" s="2"/>
      <c r="C423" s="1">
        <v>34.819470850000002</v>
      </c>
      <c r="D423" s="1">
        <v>30.657411790000001</v>
      </c>
      <c r="E423" s="1"/>
      <c r="H423" s="2">
        <v>99.820342400000001</v>
      </c>
      <c r="I423" s="2">
        <v>94.119534599999994</v>
      </c>
      <c r="J423" s="2">
        <v>103.173001</v>
      </c>
      <c r="L423" s="2"/>
      <c r="M423" s="2"/>
    </row>
    <row r="424" spans="2:13">
      <c r="B424" s="2"/>
      <c r="C424" s="1">
        <v>105.4908609</v>
      </c>
      <c r="D424" s="1">
        <v>5.3030462729999996</v>
      </c>
      <c r="E424" s="1"/>
      <c r="H424" s="2">
        <v>104.239751</v>
      </c>
      <c r="I424" s="2">
        <v>54.568808500000003</v>
      </c>
      <c r="J424" s="2">
        <v>102.92966800000001</v>
      </c>
      <c r="L424" s="2"/>
      <c r="M424" s="2"/>
    </row>
    <row r="425" spans="2:13">
      <c r="B425" s="2"/>
      <c r="C425" s="1">
        <v>9.8475042419999994</v>
      </c>
      <c r="D425" s="1">
        <v>0.36936640700000001</v>
      </c>
      <c r="E425" s="1"/>
      <c r="H425" s="2">
        <v>14.2337075</v>
      </c>
      <c r="I425" s="2">
        <v>13.8054421</v>
      </c>
      <c r="J425" s="2">
        <v>11.2975826</v>
      </c>
      <c r="L425" s="2"/>
      <c r="M425" s="2"/>
    </row>
    <row r="426" spans="2:13">
      <c r="B426" s="2"/>
      <c r="C426" s="1">
        <v>35.205884259999998</v>
      </c>
      <c r="D426" s="1">
        <v>379.48440829999998</v>
      </c>
      <c r="E426" s="1"/>
      <c r="H426" s="2">
        <v>43.563591199999998</v>
      </c>
      <c r="I426" s="2">
        <v>29.880697999999999</v>
      </c>
      <c r="J426" s="2">
        <v>31.7722786</v>
      </c>
      <c r="L426" s="2"/>
      <c r="M426" s="2"/>
    </row>
    <row r="427" spans="2:13">
      <c r="B427" s="2"/>
      <c r="C427" s="1">
        <v>58.112954219999999</v>
      </c>
      <c r="D427" s="1">
        <v>2.598756507</v>
      </c>
      <c r="E427" s="1"/>
      <c r="H427" s="2">
        <v>42.124160699999997</v>
      </c>
      <c r="I427" s="2">
        <v>21.578776699999999</v>
      </c>
      <c r="J427" s="2">
        <v>31.946087500000001</v>
      </c>
      <c r="L427" s="2"/>
      <c r="M427" s="2"/>
    </row>
    <row r="428" spans="2:13">
      <c r="B428" s="2"/>
      <c r="C428" s="1">
        <v>16.00596796</v>
      </c>
      <c r="D428" s="1">
        <v>1.0223534480000001</v>
      </c>
      <c r="E428" s="1"/>
      <c r="H428" s="2">
        <v>20.5981317</v>
      </c>
      <c r="I428" s="2">
        <v>12.670535299999999</v>
      </c>
      <c r="J428" s="2">
        <v>15.8166157</v>
      </c>
      <c r="L428" s="2"/>
      <c r="M428" s="2"/>
    </row>
    <row r="429" spans="2:13">
      <c r="B429" s="2"/>
      <c r="C429" s="1">
        <v>3.0067793460000001</v>
      </c>
      <c r="D429" s="1">
        <v>0.18468320399999999</v>
      </c>
      <c r="E429" s="1"/>
      <c r="H429" s="2">
        <v>9.4038828100000007</v>
      </c>
      <c r="I429" s="2">
        <v>6.8405343900000002</v>
      </c>
      <c r="J429" s="2">
        <v>9.5594929999999998</v>
      </c>
      <c r="L429" s="2"/>
      <c r="M429" s="2"/>
    </row>
    <row r="430" spans="2:13">
      <c r="B430" s="2"/>
      <c r="C430" s="1">
        <v>17.666338079999999</v>
      </c>
      <c r="D430" s="1">
        <v>38.42729799</v>
      </c>
      <c r="E430" s="1"/>
      <c r="H430" s="2">
        <v>11.342950399999999</v>
      </c>
      <c r="I430" s="2">
        <v>9.2813614399999995</v>
      </c>
      <c r="J430" s="2">
        <v>7.8561651599999998</v>
      </c>
      <c r="L430" s="2"/>
      <c r="M430" s="2"/>
    </row>
    <row r="431" spans="2:13">
      <c r="B431" s="2"/>
      <c r="C431" s="1">
        <v>11.88221235</v>
      </c>
      <c r="D431" s="1">
        <v>0.29681229100000001</v>
      </c>
      <c r="E431" s="1"/>
      <c r="H431" s="2">
        <v>4.7287076800000003</v>
      </c>
      <c r="I431" s="2">
        <v>4.19760065</v>
      </c>
      <c r="J431" s="2">
        <v>3.3023703100000001</v>
      </c>
      <c r="L431" s="2"/>
      <c r="M431" s="2"/>
    </row>
    <row r="432" spans="2:13">
      <c r="B432" s="2"/>
      <c r="C432" s="1">
        <v>4.3471508610000003</v>
      </c>
      <c r="D432" s="1">
        <v>24.12754138</v>
      </c>
      <c r="E432" s="1"/>
      <c r="H432" s="2">
        <v>5.7279817499999996</v>
      </c>
      <c r="I432" s="2">
        <v>8.0376279099999994</v>
      </c>
      <c r="J432" s="2">
        <v>3.40665569</v>
      </c>
      <c r="L432" s="2"/>
      <c r="M432" s="2"/>
    </row>
    <row r="433" spans="2:13">
      <c r="B433" s="2"/>
      <c r="C433" s="1">
        <v>1.6422569920000001</v>
      </c>
      <c r="D433" s="1">
        <v>5.9362458E-2</v>
      </c>
      <c r="E433" s="1"/>
      <c r="H433" s="2">
        <v>1.7011451500000001</v>
      </c>
      <c r="I433" s="2">
        <v>1.5080268999999999</v>
      </c>
      <c r="J433" s="2">
        <v>0.93856839999999997</v>
      </c>
      <c r="L433" s="2"/>
      <c r="M433" s="2"/>
    </row>
    <row r="434" spans="2:13">
      <c r="B434" s="2"/>
      <c r="C434" s="1">
        <v>15.06408528</v>
      </c>
      <c r="D434" s="1">
        <v>0.95639516099999999</v>
      </c>
      <c r="E434" s="1"/>
      <c r="H434" s="2">
        <v>29.306091500000001</v>
      </c>
      <c r="I434" s="2">
        <v>23.351096999999999</v>
      </c>
      <c r="J434" s="2">
        <v>24.298493100000002</v>
      </c>
      <c r="L434" s="2"/>
      <c r="M434" s="2"/>
    </row>
    <row r="435" spans="2:13">
      <c r="B435" s="2"/>
      <c r="C435" s="1">
        <v>3.0128170550000002</v>
      </c>
      <c r="D435" s="1">
        <v>18.725557670000001</v>
      </c>
      <c r="E435" s="1"/>
      <c r="H435" s="2">
        <v>5.1569679900000001</v>
      </c>
      <c r="I435" s="2">
        <v>8.0220812499999994</v>
      </c>
      <c r="J435" s="2">
        <v>4.1366533299999997</v>
      </c>
      <c r="L435" s="2"/>
      <c r="M435" s="2"/>
    </row>
    <row r="436" spans="2:13">
      <c r="B436" s="2"/>
      <c r="C436" s="1">
        <v>20.618778039999999</v>
      </c>
      <c r="D436" s="1">
        <v>0.78490361500000005</v>
      </c>
      <c r="E436" s="1"/>
      <c r="H436" s="2">
        <v>16.8984384</v>
      </c>
      <c r="I436" s="2">
        <v>10.8671217</v>
      </c>
      <c r="J436" s="2">
        <v>11.3671062</v>
      </c>
      <c r="L436" s="2"/>
      <c r="M436" s="2"/>
    </row>
    <row r="437" spans="2:13">
      <c r="B437" s="2"/>
      <c r="C437" s="1">
        <v>77.753623320000003</v>
      </c>
      <c r="D437" s="1">
        <v>2.3349233589999998</v>
      </c>
      <c r="E437" s="1"/>
      <c r="H437" s="2">
        <v>93.497554699999995</v>
      </c>
      <c r="I437" s="2">
        <v>62.093396300000002</v>
      </c>
      <c r="J437" s="2">
        <v>94.204458299999999</v>
      </c>
      <c r="L437" s="2"/>
      <c r="M437" s="2"/>
    </row>
    <row r="438" spans="2:13">
      <c r="B438" s="2"/>
      <c r="C438" s="1">
        <v>7.3116662400000001</v>
      </c>
      <c r="D438" s="1">
        <v>100.3885128</v>
      </c>
      <c r="E438" s="1"/>
      <c r="H438" s="2">
        <v>9.1600123500000006</v>
      </c>
      <c r="I438" s="2">
        <v>15.764322399999999</v>
      </c>
      <c r="J438" s="2">
        <v>7.5085472299999996</v>
      </c>
      <c r="L438" s="2"/>
      <c r="M438" s="2"/>
    </row>
    <row r="439" spans="2:13">
      <c r="B439" s="2"/>
      <c r="C439" s="1">
        <v>61.228412339999998</v>
      </c>
      <c r="D439" s="1">
        <v>2.0908776969999998</v>
      </c>
      <c r="E439" s="1"/>
      <c r="H439" s="2">
        <v>64.560242900000006</v>
      </c>
      <c r="I439" s="2">
        <v>35.819525599999999</v>
      </c>
      <c r="J439" s="2">
        <v>35.109410699999998</v>
      </c>
      <c r="L439" s="2"/>
      <c r="M439" s="2"/>
    </row>
    <row r="440" spans="2:13">
      <c r="B440" s="2"/>
      <c r="C440" s="1">
        <v>41.70245972</v>
      </c>
      <c r="D440" s="1">
        <v>2.7438647380000001</v>
      </c>
      <c r="E440" s="1"/>
      <c r="H440" s="2">
        <v>28.021310499999998</v>
      </c>
      <c r="I440" s="2">
        <v>21.190110000000001</v>
      </c>
      <c r="J440" s="2">
        <v>28.7480026</v>
      </c>
      <c r="L440" s="2"/>
      <c r="M440" s="2"/>
    </row>
    <row r="441" spans="2:13">
      <c r="B441" s="2"/>
      <c r="C441" s="1">
        <v>69.608753160000006</v>
      </c>
      <c r="D441" s="1">
        <v>3.4232350939999998</v>
      </c>
      <c r="E441" s="1"/>
      <c r="H441" s="2">
        <v>64.197411299999999</v>
      </c>
      <c r="I441" s="2">
        <v>64.8917967</v>
      </c>
      <c r="J441" s="2">
        <v>74.911663300000001</v>
      </c>
      <c r="L441" s="2"/>
      <c r="M441" s="2"/>
    </row>
    <row r="442" spans="2:13">
      <c r="B442" s="2"/>
      <c r="C442" s="1">
        <v>10.5780671</v>
      </c>
      <c r="D442" s="1">
        <v>0.59362458299999998</v>
      </c>
      <c r="E442" s="1"/>
      <c r="H442" s="2">
        <v>13.989837</v>
      </c>
      <c r="I442" s="2">
        <v>11.9242952</v>
      </c>
      <c r="J442" s="2">
        <v>11.540915200000001</v>
      </c>
      <c r="L442" s="2"/>
      <c r="M442" s="2"/>
    </row>
    <row r="443" spans="2:13">
      <c r="B443" s="2"/>
      <c r="C443" s="1">
        <v>6.1403505909999998</v>
      </c>
      <c r="D443" s="1">
        <v>0.21106651800000001</v>
      </c>
      <c r="E443" s="1"/>
      <c r="H443" s="2">
        <v>4.5205255800000002</v>
      </c>
      <c r="I443" s="2">
        <v>4.9127474299999996</v>
      </c>
      <c r="J443" s="2">
        <v>4.6580802300000004</v>
      </c>
      <c r="L443" s="2"/>
      <c r="M443" s="2"/>
    </row>
    <row r="444" spans="2:13">
      <c r="B444" s="2"/>
      <c r="C444" s="1">
        <v>41.925854970000003</v>
      </c>
      <c r="D444" s="1">
        <v>3.5947266400000002</v>
      </c>
      <c r="E444" s="1"/>
      <c r="H444" s="2">
        <v>49.422430300000002</v>
      </c>
      <c r="I444" s="2">
        <v>44.8365936</v>
      </c>
      <c r="J444" s="2">
        <v>38.133686599999997</v>
      </c>
      <c r="L444" s="2"/>
      <c r="M444" s="2"/>
    </row>
    <row r="445" spans="2:13">
      <c r="B445" s="2"/>
      <c r="C445" s="1">
        <v>18.970483340000001</v>
      </c>
      <c r="D445" s="1">
        <v>1.72151129</v>
      </c>
      <c r="E445" s="1"/>
      <c r="H445" s="2">
        <v>26.6235164</v>
      </c>
      <c r="I445" s="2">
        <v>26.818004200000001</v>
      </c>
      <c r="J445" s="2">
        <v>22.595165300000001</v>
      </c>
      <c r="L445" s="2"/>
      <c r="M445" s="2"/>
    </row>
    <row r="446" spans="2:13">
      <c r="B446" s="2"/>
      <c r="C446" s="1">
        <v>25.521398179999998</v>
      </c>
      <c r="D446" s="1">
        <v>1.2663991100000001</v>
      </c>
      <c r="E446" s="1"/>
      <c r="H446" s="2">
        <v>31.613938699999999</v>
      </c>
      <c r="I446" s="2">
        <v>26.336057400000001</v>
      </c>
      <c r="J446" s="2">
        <v>20.161839799999999</v>
      </c>
      <c r="L446" s="2"/>
      <c r="M446" s="2"/>
    </row>
    <row r="447" spans="2:13">
      <c r="B447" s="2"/>
      <c r="C447" s="1">
        <v>63.100102290000002</v>
      </c>
      <c r="D447" s="1">
        <v>2.420669132</v>
      </c>
      <c r="E447" s="1"/>
      <c r="H447" s="2">
        <v>67.284454400000001</v>
      </c>
      <c r="I447" s="2">
        <v>83.221319600000001</v>
      </c>
      <c r="J447" s="2">
        <v>69.558347299999994</v>
      </c>
      <c r="L447" s="2"/>
      <c r="M447" s="2"/>
    </row>
    <row r="448" spans="2:13">
      <c r="B448" s="2"/>
      <c r="C448" s="1">
        <v>12.69126543</v>
      </c>
      <c r="D448" s="1">
        <v>105.9751797</v>
      </c>
      <c r="E448" s="1"/>
      <c r="H448" s="2">
        <v>20.6576123</v>
      </c>
      <c r="I448" s="2">
        <v>23.102350300000001</v>
      </c>
      <c r="J448" s="2">
        <v>24.9589672</v>
      </c>
      <c r="L448" s="2"/>
      <c r="M448" s="2"/>
    </row>
    <row r="449" spans="2:13">
      <c r="B449" s="2"/>
      <c r="C449" s="1">
        <v>9.2799595460000006</v>
      </c>
      <c r="D449" s="1">
        <v>0.71894532799999999</v>
      </c>
      <c r="E449" s="1"/>
      <c r="H449" s="2">
        <v>17.0055035</v>
      </c>
      <c r="I449" s="2">
        <v>10.089788199999999</v>
      </c>
      <c r="J449" s="2">
        <v>11.2975826</v>
      </c>
      <c r="L449" s="2"/>
      <c r="M449" s="2"/>
    </row>
    <row r="450" spans="2:13">
      <c r="B450" s="2"/>
      <c r="C450" s="1">
        <v>40.482842390000002</v>
      </c>
      <c r="D450" s="1">
        <v>2.420669132</v>
      </c>
      <c r="E450" s="1"/>
      <c r="H450" s="2">
        <v>32.2027967</v>
      </c>
      <c r="I450" s="2">
        <v>24.221710399999999</v>
      </c>
      <c r="J450" s="2">
        <v>30.555615800000002</v>
      </c>
      <c r="L450" s="2"/>
      <c r="M450" s="2"/>
    </row>
    <row r="451" spans="2:13">
      <c r="B451" s="2"/>
      <c r="C451" s="1">
        <v>32.259482009999999</v>
      </c>
      <c r="D451" s="1">
        <v>3.0208895440000001</v>
      </c>
      <c r="E451" s="1"/>
      <c r="H451" s="2">
        <v>56.078309400000002</v>
      </c>
      <c r="I451" s="2">
        <v>55.019661900000003</v>
      </c>
      <c r="J451" s="2">
        <v>46.997943800000002</v>
      </c>
      <c r="L451" s="2"/>
      <c r="M451" s="2"/>
    </row>
    <row r="452" spans="2:13">
      <c r="B452" s="2"/>
      <c r="C452" s="1">
        <v>4.8724315899999997</v>
      </c>
      <c r="D452" s="1">
        <v>0.12532074500000001</v>
      </c>
      <c r="E452" s="1"/>
      <c r="H452" s="2">
        <v>3.7889141999999998</v>
      </c>
      <c r="I452" s="2">
        <v>2.14544033</v>
      </c>
      <c r="J452" s="2">
        <v>2.4333254900000001</v>
      </c>
      <c r="L452" s="2"/>
      <c r="M452" s="2"/>
    </row>
    <row r="453" spans="2:13">
      <c r="B453" s="2"/>
      <c r="C453" s="1">
        <v>24.126687279999999</v>
      </c>
      <c r="D453" s="1">
        <v>1.3455490539999999</v>
      </c>
      <c r="E453" s="1"/>
      <c r="H453" s="2">
        <v>27.200478199999999</v>
      </c>
      <c r="I453" s="2">
        <v>23.0868036</v>
      </c>
      <c r="J453" s="2">
        <v>25.4456323</v>
      </c>
      <c r="L453" s="2"/>
      <c r="M453" s="2"/>
    </row>
    <row r="454" spans="2:13">
      <c r="B454" s="2"/>
      <c r="C454" s="1">
        <v>20.07538418</v>
      </c>
      <c r="D454" s="1">
        <v>62.41632697</v>
      </c>
      <c r="E454" s="1"/>
      <c r="H454" s="2">
        <v>12.3600686</v>
      </c>
      <c r="I454" s="2">
        <v>10.494001600000001</v>
      </c>
      <c r="J454" s="2">
        <v>9.8028255499999997</v>
      </c>
      <c r="L454" s="2"/>
      <c r="M454" s="2"/>
    </row>
    <row r="455" spans="2:13">
      <c r="B455" s="2"/>
      <c r="C455" s="1">
        <v>14.967481920000001</v>
      </c>
      <c r="D455" s="1">
        <v>0.81128692999999996</v>
      </c>
      <c r="E455" s="1"/>
      <c r="H455" s="2">
        <v>16.9281787</v>
      </c>
      <c r="I455" s="2">
        <v>13.214668700000001</v>
      </c>
      <c r="J455" s="2">
        <v>19.014700600000001</v>
      </c>
      <c r="L455" s="2"/>
      <c r="M455" s="2"/>
    </row>
    <row r="456" spans="2:13">
      <c r="B456" s="2"/>
      <c r="C456" s="1">
        <v>20.576514079999999</v>
      </c>
      <c r="D456" s="1">
        <v>0.50787881000000001</v>
      </c>
      <c r="E456" s="1"/>
      <c r="H456" s="2">
        <v>16.743788800000001</v>
      </c>
      <c r="I456" s="2">
        <v>12.235228599999999</v>
      </c>
      <c r="J456" s="2">
        <v>16.025186399999999</v>
      </c>
      <c r="L456" s="2"/>
      <c r="M456" s="2"/>
    </row>
    <row r="457" spans="2:13">
      <c r="B457" s="2"/>
      <c r="C457" s="1">
        <v>58.20351986</v>
      </c>
      <c r="D457" s="1">
        <v>1.965556952</v>
      </c>
      <c r="E457" s="1"/>
      <c r="H457" s="2">
        <v>40.684730199999997</v>
      </c>
      <c r="I457" s="2">
        <v>30.8912315</v>
      </c>
      <c r="J457" s="2">
        <v>42.722243300000002</v>
      </c>
      <c r="L457" s="2"/>
      <c r="M457" s="2"/>
    </row>
    <row r="458" spans="2:13">
      <c r="B458" s="2"/>
      <c r="C458" s="1">
        <v>140.24391689999999</v>
      </c>
      <c r="D458" s="1">
        <v>5.7977334249999997</v>
      </c>
      <c r="E458" s="1"/>
      <c r="H458" s="2">
        <v>63.198137199999998</v>
      </c>
      <c r="I458" s="2">
        <v>55.999102000000001</v>
      </c>
      <c r="J458" s="2">
        <v>69.905965199999997</v>
      </c>
      <c r="L458" s="2"/>
      <c r="M458" s="2"/>
    </row>
    <row r="459" spans="2:13">
      <c r="B459" s="2"/>
      <c r="C459" s="1">
        <v>16.585588080000001</v>
      </c>
      <c r="D459" s="1">
        <v>1.101503393</v>
      </c>
      <c r="E459" s="1"/>
      <c r="H459" s="2">
        <v>21.305950800000002</v>
      </c>
      <c r="I459" s="2">
        <v>23.382190300000001</v>
      </c>
      <c r="J459" s="2">
        <v>17.5199435</v>
      </c>
      <c r="L459" s="2"/>
      <c r="M459" s="2"/>
    </row>
    <row r="460" spans="2:13">
      <c r="B460" s="2"/>
      <c r="C460" s="1">
        <v>52.835996090000002</v>
      </c>
      <c r="D460" s="1">
        <v>6.6024245260000001</v>
      </c>
      <c r="E460" s="1"/>
      <c r="H460" s="2">
        <v>90.214225600000006</v>
      </c>
      <c r="I460" s="2">
        <v>63.135023099999998</v>
      </c>
      <c r="J460" s="2">
        <v>72.547861400000002</v>
      </c>
      <c r="L460" s="2"/>
      <c r="M460" s="2"/>
    </row>
    <row r="461" spans="2:13">
      <c r="B461" s="2"/>
      <c r="C461" s="1">
        <v>17.91992188</v>
      </c>
      <c r="D461" s="1">
        <v>1.048736763</v>
      </c>
      <c r="E461" s="1"/>
      <c r="H461" s="2">
        <v>24.2502405</v>
      </c>
      <c r="I461" s="2">
        <v>28.4814978</v>
      </c>
      <c r="J461" s="2">
        <v>16.511851499999999</v>
      </c>
      <c r="L461" s="2"/>
      <c r="M461" s="2"/>
    </row>
    <row r="462" spans="2:13">
      <c r="B462" s="2"/>
      <c r="C462" s="1">
        <v>11.302592239999999</v>
      </c>
      <c r="D462" s="1">
        <v>0.92341601799999995</v>
      </c>
      <c r="E462" s="1"/>
      <c r="H462" s="2">
        <v>44.610449799999998</v>
      </c>
      <c r="I462" s="2">
        <v>23.677576999999999</v>
      </c>
      <c r="J462" s="2">
        <v>35.248457799999997</v>
      </c>
      <c r="L462" s="2"/>
      <c r="M462" s="2"/>
    </row>
    <row r="463" spans="2:13">
      <c r="B463" s="2"/>
      <c r="C463" s="1">
        <v>42.535663630000002</v>
      </c>
      <c r="D463" s="1">
        <v>1.893002836</v>
      </c>
      <c r="E463" s="1"/>
      <c r="H463" s="2">
        <v>26.18336</v>
      </c>
      <c r="I463" s="2">
        <v>18.951389599999999</v>
      </c>
      <c r="J463" s="2">
        <v>19.918507200000001</v>
      </c>
      <c r="L463" s="2"/>
      <c r="M463" s="2"/>
    </row>
    <row r="464" spans="2:13">
      <c r="B464" s="2"/>
      <c r="C464" s="1">
        <v>10.614293350000001</v>
      </c>
      <c r="D464" s="1">
        <v>57.838821850000002</v>
      </c>
      <c r="E464" s="1"/>
      <c r="H464" s="2">
        <v>7.9287639399999996</v>
      </c>
      <c r="I464" s="2">
        <v>6.99600109</v>
      </c>
      <c r="J464" s="2">
        <v>4.7623655999999999</v>
      </c>
      <c r="L464" s="2"/>
      <c r="M464" s="2"/>
    </row>
    <row r="465" spans="2:13">
      <c r="B465" s="2"/>
      <c r="C465" s="1">
        <v>7.4988352349999996</v>
      </c>
      <c r="D465" s="1">
        <v>0.40234555100000002</v>
      </c>
      <c r="E465" s="1"/>
      <c r="H465" s="2">
        <v>11.527340199999999</v>
      </c>
      <c r="I465" s="2">
        <v>12.670535299999999</v>
      </c>
      <c r="J465" s="2">
        <v>7.5780708199999998</v>
      </c>
      <c r="L465" s="2"/>
      <c r="M465" s="2"/>
    </row>
    <row r="466" spans="2:13">
      <c r="B466" s="2"/>
      <c r="C466" s="1">
        <v>49.207332659999999</v>
      </c>
      <c r="D466" s="1">
        <v>2.915356284</v>
      </c>
      <c r="E466" s="1"/>
      <c r="H466" s="2">
        <v>80.7508622</v>
      </c>
      <c r="I466" s="2">
        <v>61.875742899999999</v>
      </c>
      <c r="J466" s="2">
        <v>81.968307300000006</v>
      </c>
      <c r="L466" s="2"/>
      <c r="M466" s="2"/>
    </row>
    <row r="467" spans="2:13">
      <c r="B467" s="2"/>
      <c r="C467" s="1">
        <v>14.49654058</v>
      </c>
      <c r="D467" s="1">
        <v>0.57383709699999996</v>
      </c>
      <c r="E467" s="1"/>
      <c r="H467" s="2">
        <v>17.0411918</v>
      </c>
      <c r="I467" s="2">
        <v>14.6294156</v>
      </c>
      <c r="J467" s="2">
        <v>14.460905800000001</v>
      </c>
      <c r="L467" s="2"/>
      <c r="M467" s="2"/>
    </row>
    <row r="468" spans="2:13">
      <c r="B468" s="2"/>
      <c r="C468" s="1">
        <v>10.481463740000001</v>
      </c>
      <c r="D468" s="1">
        <v>1.4444864850000001</v>
      </c>
      <c r="E468" s="1"/>
      <c r="H468" s="2">
        <v>46.751751400000003</v>
      </c>
      <c r="I468" s="2">
        <v>41.431873099999997</v>
      </c>
      <c r="J468" s="2">
        <v>37.890354100000003</v>
      </c>
      <c r="L468" s="2"/>
      <c r="M468" s="2"/>
    </row>
    <row r="469" spans="2:13">
      <c r="B469" s="2"/>
      <c r="C469" s="1">
        <v>19.061048979999999</v>
      </c>
      <c r="D469" s="1">
        <v>2.7306730809999999</v>
      </c>
      <c r="E469" s="1"/>
      <c r="H469" s="2">
        <v>44.479592500000003</v>
      </c>
      <c r="I469" s="2">
        <v>48.940914300000003</v>
      </c>
      <c r="J469" s="2">
        <v>34.205604000000001</v>
      </c>
      <c r="L469" s="2"/>
      <c r="M469" s="2"/>
    </row>
    <row r="470" spans="2:13">
      <c r="B470" s="2"/>
      <c r="C470" s="1">
        <v>96.748257499999994</v>
      </c>
      <c r="D470" s="1">
        <v>7.360944827</v>
      </c>
      <c r="E470" s="1"/>
      <c r="H470" s="2">
        <v>114.601271</v>
      </c>
      <c r="I470" s="2">
        <v>61.6114496</v>
      </c>
      <c r="J470" s="2">
        <v>93.022557300000003</v>
      </c>
      <c r="L470" s="2"/>
      <c r="M470" s="2"/>
    </row>
    <row r="471" spans="2:13">
      <c r="B471" s="2"/>
      <c r="C471" s="1">
        <v>15.77049729</v>
      </c>
      <c r="D471" s="1">
        <v>2.5855648489999998</v>
      </c>
      <c r="E471" s="1"/>
      <c r="H471" s="2">
        <v>42.772499199999999</v>
      </c>
      <c r="I471" s="2">
        <v>38.198165899999999</v>
      </c>
      <c r="J471" s="2">
        <v>29.617047400000001</v>
      </c>
      <c r="L471" s="2"/>
      <c r="M471" s="2"/>
    </row>
    <row r="472" spans="2:13">
      <c r="B472" s="2"/>
      <c r="C472" s="1">
        <v>7.7463813259999998</v>
      </c>
      <c r="D472" s="1">
        <v>0.54085795299999995</v>
      </c>
      <c r="E472" s="1"/>
      <c r="H472" s="2">
        <v>21.068028399999999</v>
      </c>
      <c r="I472" s="2">
        <v>30.051711300000001</v>
      </c>
      <c r="J472" s="2">
        <v>18.528035500000001</v>
      </c>
      <c r="L472" s="2"/>
      <c r="M472" s="2"/>
    </row>
    <row r="473" spans="2:13">
      <c r="B473" s="2"/>
      <c r="C473" s="1">
        <v>9.8293911139999999</v>
      </c>
      <c r="D473" s="1">
        <v>0.613412069</v>
      </c>
      <c r="E473" s="1"/>
      <c r="H473" s="2">
        <v>24.541695399999998</v>
      </c>
      <c r="I473" s="2">
        <v>31.202164799999998</v>
      </c>
      <c r="J473" s="2">
        <v>22.317070900000001</v>
      </c>
      <c r="L473" s="2"/>
      <c r="M473" s="2"/>
    </row>
    <row r="474" spans="2:13">
      <c r="B474" s="2"/>
      <c r="C474" s="1">
        <v>18.855766859999999</v>
      </c>
      <c r="D474" s="1">
        <v>1.6027863739999999</v>
      </c>
      <c r="E474" s="1"/>
      <c r="H474" s="2">
        <v>30.751470000000001</v>
      </c>
      <c r="I474" s="2">
        <v>15.919789099999999</v>
      </c>
      <c r="J474" s="2">
        <v>24.437540299999998</v>
      </c>
      <c r="L474" s="2"/>
      <c r="M474" s="2"/>
    </row>
    <row r="475" spans="2:13">
      <c r="B475" s="2"/>
      <c r="C475" s="1">
        <v>69.306867690000004</v>
      </c>
      <c r="D475" s="1">
        <v>3.6013224689999999</v>
      </c>
      <c r="E475" s="1"/>
      <c r="H475" s="2">
        <v>59.7363663</v>
      </c>
      <c r="I475" s="2">
        <v>61.269422800000001</v>
      </c>
      <c r="J475" s="2">
        <v>42.374625299999998</v>
      </c>
      <c r="L475" s="2"/>
      <c r="M475" s="2"/>
    </row>
    <row r="476" spans="2:13">
      <c r="B476" s="2"/>
      <c r="C476" s="1">
        <v>40.663973679999998</v>
      </c>
      <c r="D476" s="1">
        <v>1.4510823129999999</v>
      </c>
      <c r="E476" s="1"/>
      <c r="H476" s="2">
        <v>27.123153500000001</v>
      </c>
      <c r="I476" s="2">
        <v>37.420832500000003</v>
      </c>
      <c r="J476" s="2">
        <v>28.018004900000001</v>
      </c>
      <c r="L476" s="2"/>
      <c r="M476" s="2"/>
    </row>
    <row r="477" spans="2:13">
      <c r="B477" s="2"/>
      <c r="C477" s="1">
        <v>38.74398205</v>
      </c>
      <c r="D477" s="1">
        <v>1.41810317</v>
      </c>
      <c r="E477" s="1"/>
      <c r="H477" s="2">
        <v>60.961666600000001</v>
      </c>
      <c r="I477" s="2">
        <v>45.023153700000002</v>
      </c>
      <c r="J477" s="2">
        <v>53.706969800000003</v>
      </c>
      <c r="L477" s="2"/>
      <c r="M477" s="2"/>
    </row>
    <row r="478" spans="2:13">
      <c r="B478" s="2"/>
      <c r="C478" s="1">
        <v>11.01278218</v>
      </c>
      <c r="D478" s="1">
        <v>1.3191657400000001</v>
      </c>
      <c r="E478" s="1"/>
      <c r="H478" s="2">
        <v>21.288106599999999</v>
      </c>
      <c r="I478" s="2">
        <v>16.0597092</v>
      </c>
      <c r="J478" s="2">
        <v>13.800431700000001</v>
      </c>
      <c r="L478" s="2"/>
      <c r="M478" s="2"/>
    </row>
    <row r="479" spans="2:13">
      <c r="B479" s="2"/>
      <c r="C479" s="1">
        <v>82.559640099999996</v>
      </c>
      <c r="D479" s="1">
        <v>6.1934831470000002</v>
      </c>
      <c r="E479" s="1"/>
      <c r="H479" s="2">
        <v>104.781024</v>
      </c>
      <c r="I479" s="2">
        <v>73.737851399999997</v>
      </c>
      <c r="J479" s="2">
        <v>109.708218</v>
      </c>
      <c r="L479" s="2"/>
      <c r="M479" s="2"/>
    </row>
    <row r="480" spans="2:13">
      <c r="B480" s="2"/>
      <c r="C480" s="1">
        <v>8.6037360790000008</v>
      </c>
      <c r="D480" s="1">
        <v>0.46830383799999997</v>
      </c>
      <c r="E480" s="1"/>
      <c r="H480" s="2">
        <v>14.4002532</v>
      </c>
      <c r="I480" s="2">
        <v>17.676562700000002</v>
      </c>
      <c r="J480" s="2">
        <v>11.8190095</v>
      </c>
      <c r="L480" s="2"/>
      <c r="M480" s="2"/>
    </row>
    <row r="481" spans="2:13">
      <c r="B481" s="2"/>
      <c r="C481" s="1">
        <v>13.989372980000001</v>
      </c>
      <c r="D481" s="1">
        <v>52.159813339999999</v>
      </c>
      <c r="E481" s="1"/>
      <c r="H481" s="2">
        <v>13.008407200000001</v>
      </c>
      <c r="I481" s="2">
        <v>9.4368281300000003</v>
      </c>
      <c r="J481" s="2">
        <v>11.575677000000001</v>
      </c>
      <c r="L481" s="2"/>
      <c r="M481" s="2"/>
    </row>
    <row r="482" spans="2:13">
      <c r="B482" s="2"/>
      <c r="C482" s="1">
        <v>31.661748769999999</v>
      </c>
      <c r="D482" s="1">
        <v>1.5302322580000001</v>
      </c>
      <c r="E482" s="1"/>
      <c r="H482" s="2">
        <v>30.35295</v>
      </c>
      <c r="I482" s="2">
        <v>17.474456</v>
      </c>
      <c r="J482" s="2">
        <v>19.8489836</v>
      </c>
      <c r="L482" s="2"/>
      <c r="M482" s="2"/>
    </row>
    <row r="483" spans="2:13">
      <c r="B483" s="2"/>
      <c r="C483" s="1">
        <v>2.9765907980000001</v>
      </c>
      <c r="D483" s="1">
        <v>0.30340812</v>
      </c>
      <c r="E483" s="1"/>
      <c r="H483" s="2">
        <v>10.8433133</v>
      </c>
      <c r="I483" s="2">
        <v>9.1880814300000004</v>
      </c>
      <c r="J483" s="2">
        <v>9.3509222399999992</v>
      </c>
      <c r="L483" s="2"/>
      <c r="M483" s="2"/>
    </row>
    <row r="484" spans="2:13">
      <c r="B484" s="2"/>
      <c r="C484" s="1">
        <v>8.6460000459999993</v>
      </c>
      <c r="D484" s="1">
        <v>0.71894532799999999</v>
      </c>
      <c r="E484" s="1"/>
      <c r="H484" s="2">
        <v>16.3750091</v>
      </c>
      <c r="I484" s="2">
        <v>13.6655221</v>
      </c>
      <c r="J484" s="2">
        <v>16.025186399999999</v>
      </c>
      <c r="L484" s="2"/>
      <c r="M484" s="2"/>
    </row>
    <row r="485" spans="2:13">
      <c r="B485" s="2"/>
      <c r="C485" s="1">
        <v>6.2671424910000004</v>
      </c>
      <c r="D485" s="1">
        <v>0.474899666</v>
      </c>
      <c r="E485" s="1"/>
      <c r="H485" s="2">
        <v>10.438845199999999</v>
      </c>
      <c r="I485" s="2">
        <v>8.3485613000000001</v>
      </c>
      <c r="J485" s="2">
        <v>6.0485519300000004</v>
      </c>
      <c r="L485" s="2"/>
      <c r="M485" s="2"/>
    </row>
    <row r="486" spans="2:13">
      <c r="B486" s="2"/>
      <c r="C486" s="1">
        <v>138.62581080000001</v>
      </c>
      <c r="D486" s="1">
        <v>8.0601026690000008</v>
      </c>
      <c r="E486" s="1"/>
      <c r="H486" s="2">
        <v>145.66798900000001</v>
      </c>
      <c r="I486" s="2">
        <v>165.509839</v>
      </c>
      <c r="J486" s="2">
        <v>151.14427499999999</v>
      </c>
      <c r="L486" s="2"/>
      <c r="M486" s="2"/>
    </row>
    <row r="487" spans="2:13">
      <c r="B487" s="2"/>
      <c r="C487" s="1">
        <v>15.692007070000001</v>
      </c>
      <c r="D487" s="1">
        <v>0.43532469400000001</v>
      </c>
      <c r="E487" s="1"/>
      <c r="H487" s="2">
        <v>15.512540400000001</v>
      </c>
      <c r="I487" s="2">
        <v>11.5667218</v>
      </c>
      <c r="J487" s="2">
        <v>13.974240699999999</v>
      </c>
      <c r="L487" s="2"/>
      <c r="M487" s="2"/>
    </row>
    <row r="488" spans="2:13">
      <c r="B488" s="2"/>
      <c r="C488" s="1">
        <v>9.7086369230000003</v>
      </c>
      <c r="D488" s="1">
        <v>0.29681229100000001</v>
      </c>
      <c r="E488" s="1"/>
      <c r="H488" s="2">
        <v>5.9242677300000004</v>
      </c>
      <c r="I488" s="2">
        <v>3.1093338199999998</v>
      </c>
      <c r="J488" s="2">
        <v>4.3452240900000003</v>
      </c>
      <c r="L488" s="2"/>
      <c r="M488" s="2"/>
    </row>
    <row r="489" spans="2:13">
      <c r="B489" s="2"/>
      <c r="C489" s="1">
        <v>11.85806152</v>
      </c>
      <c r="D489" s="1">
        <v>242.84522100000001</v>
      </c>
      <c r="E489" s="1"/>
      <c r="H489" s="2">
        <v>30.1328718</v>
      </c>
      <c r="I489" s="2">
        <v>19.448882999999999</v>
      </c>
      <c r="J489" s="2">
        <v>23.7770662</v>
      </c>
      <c r="L489" s="2"/>
      <c r="M489" s="2"/>
    </row>
    <row r="490" spans="2:13">
      <c r="B490" s="2"/>
      <c r="C490" s="1">
        <v>51.869962569999998</v>
      </c>
      <c r="D490" s="1">
        <v>2.2359859289999999</v>
      </c>
      <c r="E490" s="1"/>
      <c r="H490" s="2">
        <v>53.484955300000003</v>
      </c>
      <c r="I490" s="2">
        <v>33.829551899999998</v>
      </c>
      <c r="J490" s="2">
        <v>46.3374697</v>
      </c>
      <c r="L490" s="2"/>
      <c r="M490" s="2"/>
    </row>
    <row r="491" spans="2:13">
      <c r="B491" s="2"/>
      <c r="C491" s="1">
        <v>42.179438769999997</v>
      </c>
      <c r="D491" s="1">
        <v>1.5500197440000001</v>
      </c>
      <c r="E491" s="1"/>
      <c r="H491" s="2">
        <v>38.620753399999998</v>
      </c>
      <c r="I491" s="2">
        <v>49.158567599999998</v>
      </c>
      <c r="J491" s="2">
        <v>28.1918139</v>
      </c>
      <c r="L491" s="2"/>
      <c r="M491" s="2"/>
    </row>
    <row r="492" spans="2:13">
      <c r="B492" s="2"/>
      <c r="C492" s="1">
        <v>121.7624881</v>
      </c>
      <c r="D492" s="1">
        <v>4.979850667</v>
      </c>
      <c r="E492" s="1"/>
      <c r="H492" s="2">
        <v>92.420955800000002</v>
      </c>
      <c r="I492" s="2">
        <v>73.893318100000002</v>
      </c>
      <c r="J492" s="2">
        <v>59.720759899999997</v>
      </c>
      <c r="L492" s="2"/>
      <c r="M492" s="2"/>
    </row>
    <row r="493" spans="2:13">
      <c r="B493" s="2"/>
      <c r="C493" s="1">
        <v>9.2920349649999991</v>
      </c>
      <c r="D493" s="1">
        <v>0.38255806399999998</v>
      </c>
      <c r="E493" s="1"/>
      <c r="H493" s="2">
        <v>8.6008947199999994</v>
      </c>
      <c r="I493" s="2">
        <v>3.9644006200000002</v>
      </c>
      <c r="J493" s="2">
        <v>5.7356958000000002</v>
      </c>
      <c r="L493" s="2"/>
      <c r="M493" s="2"/>
    </row>
    <row r="494" spans="2:13">
      <c r="B494" s="2"/>
      <c r="C494" s="1">
        <v>130.31792250000001</v>
      </c>
      <c r="D494" s="1">
        <v>5.0326172959999997</v>
      </c>
      <c r="E494" s="1"/>
      <c r="H494" s="2">
        <v>78.490599399999994</v>
      </c>
      <c r="I494" s="2">
        <v>69.431424100000001</v>
      </c>
      <c r="J494" s="2">
        <v>65.977882600000001</v>
      </c>
      <c r="L494" s="2"/>
      <c r="M494" s="2"/>
    </row>
    <row r="495" spans="2:13">
      <c r="B495" s="2"/>
      <c r="C495" s="1">
        <v>55.540889960000001</v>
      </c>
      <c r="D495" s="1">
        <v>2.6910981089999999</v>
      </c>
      <c r="E495" s="1"/>
      <c r="H495" s="2">
        <v>31.3700683</v>
      </c>
      <c r="I495" s="2">
        <v>23.024616900000002</v>
      </c>
      <c r="J495" s="2">
        <v>28.643717200000001</v>
      </c>
      <c r="L495" s="2"/>
      <c r="M495" s="2"/>
    </row>
    <row r="496" spans="2:13">
      <c r="B496" s="2"/>
      <c r="C496" s="1">
        <v>11.34485621</v>
      </c>
      <c r="D496" s="1">
        <v>0.97618264700000001</v>
      </c>
      <c r="E496" s="1"/>
      <c r="H496" s="2">
        <v>14.525162399999999</v>
      </c>
      <c r="I496" s="2">
        <v>17.490002700000002</v>
      </c>
      <c r="J496" s="2">
        <v>8.1342595000000006</v>
      </c>
      <c r="L496" s="2"/>
      <c r="M496" s="2"/>
    </row>
    <row r="497" spans="2:13">
      <c r="B497" s="2"/>
      <c r="C497" s="1">
        <v>8.7124148510000001</v>
      </c>
      <c r="D497" s="1">
        <v>0.19127903199999999</v>
      </c>
      <c r="E497" s="1"/>
      <c r="H497" s="2">
        <v>3.5926282199999999</v>
      </c>
      <c r="I497" s="2">
        <v>2.5807470700000001</v>
      </c>
      <c r="J497" s="2">
        <v>1.7380896400000001</v>
      </c>
      <c r="L497" s="2"/>
      <c r="M497" s="2"/>
    </row>
    <row r="498" spans="2:13">
      <c r="B498" s="2"/>
      <c r="C498" s="1">
        <v>31.553070000000002</v>
      </c>
      <c r="D498" s="1">
        <v>1.121290879</v>
      </c>
      <c r="E498" s="1"/>
      <c r="H498" s="2">
        <v>22.102990800000001</v>
      </c>
      <c r="I498" s="2">
        <v>18.624909599999999</v>
      </c>
      <c r="J498" s="2">
        <v>22.0042148</v>
      </c>
      <c r="L498" s="2"/>
      <c r="M498" s="2"/>
    </row>
    <row r="499" spans="2:13">
      <c r="B499" s="2"/>
      <c r="C499" s="1">
        <v>16.875398130000001</v>
      </c>
      <c r="D499" s="1">
        <v>0.67277452699999996</v>
      </c>
      <c r="E499" s="1"/>
      <c r="H499" s="2">
        <v>15.4946962</v>
      </c>
      <c r="I499" s="2">
        <v>11.9242952</v>
      </c>
      <c r="J499" s="2">
        <v>13.765669900000001</v>
      </c>
      <c r="L499" s="2"/>
      <c r="M499" s="2"/>
    </row>
    <row r="500" spans="2:13">
      <c r="B500" s="2"/>
      <c r="C500" s="1">
        <v>31.408164970000001</v>
      </c>
      <c r="D500" s="1">
        <v>1.827044549</v>
      </c>
      <c r="E500" s="1"/>
      <c r="H500" s="2">
        <v>24.232396300000001</v>
      </c>
      <c r="I500" s="2">
        <v>20.521603200000001</v>
      </c>
      <c r="J500" s="2">
        <v>15.260427</v>
      </c>
      <c r="L500" s="2"/>
      <c r="M500" s="2"/>
    </row>
    <row r="501" spans="2:13">
      <c r="B501" s="2"/>
      <c r="C501" s="1">
        <v>45.445839630000002</v>
      </c>
      <c r="D501" s="1">
        <v>3.9838805329999998</v>
      </c>
      <c r="E501" s="1"/>
      <c r="H501" s="2">
        <v>39.786573099999998</v>
      </c>
      <c r="I501" s="2">
        <v>47.261873999999999</v>
      </c>
      <c r="J501" s="2">
        <v>29.095620499999999</v>
      </c>
      <c r="L501" s="2"/>
      <c r="M501" s="2"/>
    </row>
    <row r="502" spans="2:13">
      <c r="B502" s="2"/>
      <c r="C502" s="1">
        <v>116.76930230000001</v>
      </c>
      <c r="D502" s="1">
        <v>3.713451557</v>
      </c>
      <c r="E502" s="1"/>
      <c r="H502" s="2">
        <v>69.562561299999999</v>
      </c>
      <c r="I502" s="2">
        <v>53.4494483</v>
      </c>
      <c r="J502" s="2">
        <v>48.423177299999999</v>
      </c>
      <c r="L502" s="2"/>
      <c r="M502" s="2"/>
    </row>
    <row r="503" spans="2:13">
      <c r="B503" s="2"/>
      <c r="C503" s="1">
        <v>18.541805960000001</v>
      </c>
      <c r="D503" s="1">
        <v>2.6976939369999999</v>
      </c>
      <c r="E503" s="1"/>
      <c r="H503" s="2">
        <v>52.146641799999998</v>
      </c>
      <c r="I503" s="2">
        <v>59.388275899999996</v>
      </c>
      <c r="J503" s="2">
        <v>37.056071000000003</v>
      </c>
      <c r="L503" s="2"/>
      <c r="M503" s="2"/>
    </row>
    <row r="504" spans="2:13">
      <c r="B504" s="2"/>
      <c r="C504" s="1">
        <v>13.602959569999999</v>
      </c>
      <c r="D504" s="1">
        <v>2.6383314790000001</v>
      </c>
      <c r="E504" s="1"/>
      <c r="H504" s="2">
        <v>7.4350749599999997</v>
      </c>
      <c r="I504" s="2">
        <v>9.9654148800000009</v>
      </c>
      <c r="J504" s="2">
        <v>5.2837924899999997</v>
      </c>
      <c r="L504" s="2"/>
      <c r="M504" s="2"/>
    </row>
    <row r="505" spans="2:13">
      <c r="B505" s="2"/>
      <c r="C505" s="1">
        <v>10.348634130000001</v>
      </c>
      <c r="D505" s="1">
        <v>0.481495495</v>
      </c>
      <c r="E505" s="1"/>
      <c r="H505" s="2">
        <v>17.635997799999998</v>
      </c>
      <c r="I505" s="2">
        <v>13.416775400000001</v>
      </c>
      <c r="J505" s="2">
        <v>14.6694765</v>
      </c>
      <c r="L505" s="2"/>
      <c r="M505" s="2"/>
    </row>
    <row r="506" spans="2:13">
      <c r="B506" s="2"/>
      <c r="C506" s="1">
        <v>27.531955450000002</v>
      </c>
      <c r="D506" s="1">
        <v>1.8138528920000001</v>
      </c>
      <c r="E506" s="1"/>
      <c r="H506" s="2">
        <v>40.161300900000001</v>
      </c>
      <c r="I506" s="2">
        <v>17.940856100000001</v>
      </c>
      <c r="J506" s="2">
        <v>37.507974400000002</v>
      </c>
      <c r="L506" s="2"/>
      <c r="M506" s="2"/>
    </row>
    <row r="507" spans="2:13">
      <c r="B507" s="2"/>
      <c r="C507" s="1">
        <v>33.545514140000002</v>
      </c>
      <c r="D507" s="1">
        <v>4.0234555060000003</v>
      </c>
      <c r="E507" s="1"/>
      <c r="H507" s="2">
        <v>91.772617299999993</v>
      </c>
      <c r="I507" s="2">
        <v>83.703266299999996</v>
      </c>
      <c r="J507" s="2">
        <v>88.8163804</v>
      </c>
      <c r="L507" s="2"/>
      <c r="M507" s="2"/>
    </row>
    <row r="508" spans="2:13">
      <c r="B508" s="2"/>
      <c r="C508" s="1">
        <v>87.661504649999998</v>
      </c>
      <c r="D508" s="1">
        <v>2.7504605670000002</v>
      </c>
      <c r="E508" s="1"/>
      <c r="H508" s="2">
        <v>57.095427700000002</v>
      </c>
      <c r="I508" s="2">
        <v>43.064273399999998</v>
      </c>
      <c r="J508" s="2">
        <v>42.200816400000001</v>
      </c>
      <c r="L508" s="2"/>
      <c r="M508" s="2"/>
    </row>
    <row r="509" spans="2:13">
      <c r="B509" s="2"/>
      <c r="C509" s="1">
        <v>11.634666259999999</v>
      </c>
      <c r="D509" s="1">
        <v>0.70575367099999997</v>
      </c>
      <c r="E509" s="1"/>
      <c r="H509" s="2">
        <v>17.4278157</v>
      </c>
      <c r="I509" s="2">
        <v>17.5521894</v>
      </c>
      <c r="J509" s="2">
        <v>16.129471800000001</v>
      </c>
      <c r="L509" s="2"/>
      <c r="M509" s="2"/>
    </row>
    <row r="510" spans="2:13">
      <c r="B510" s="2"/>
      <c r="C510" s="1">
        <v>5.669409248</v>
      </c>
      <c r="D510" s="1">
        <v>0.34298309199999999</v>
      </c>
      <c r="E510" s="1"/>
      <c r="H510" s="2">
        <v>8.3451281399999999</v>
      </c>
      <c r="I510" s="2">
        <v>4.5240806999999998</v>
      </c>
      <c r="J510" s="2">
        <v>7.6823561900000001</v>
      </c>
      <c r="L510" s="2"/>
      <c r="M510" s="2"/>
    </row>
    <row r="511" spans="2:13">
      <c r="B511" s="2"/>
      <c r="C511" s="1">
        <v>15.8429498</v>
      </c>
      <c r="D511" s="1">
        <v>0.34957892099999999</v>
      </c>
      <c r="E511" s="1"/>
      <c r="H511" s="2">
        <v>8.0893615600000004</v>
      </c>
      <c r="I511" s="2">
        <v>4.6173607199999998</v>
      </c>
      <c r="J511" s="2">
        <v>5.4576014600000002</v>
      </c>
      <c r="L511" s="2"/>
      <c r="M511" s="2"/>
    </row>
    <row r="512" spans="2:13">
      <c r="B512" s="2"/>
      <c r="C512" s="1">
        <v>18.916143949999999</v>
      </c>
      <c r="D512" s="1">
        <v>0.56724126799999997</v>
      </c>
      <c r="E512" s="1"/>
      <c r="H512" s="2">
        <v>10.6351312</v>
      </c>
      <c r="I512" s="2">
        <v>8.4418413099999992</v>
      </c>
      <c r="J512" s="2">
        <v>7.7866415699999996</v>
      </c>
      <c r="L512" s="2"/>
      <c r="M512" s="2"/>
    </row>
    <row r="513" spans="2:13">
      <c r="B513" s="2"/>
      <c r="C513" s="1">
        <v>30.70175296</v>
      </c>
      <c r="D513" s="1">
        <v>0.87064938800000002</v>
      </c>
      <c r="E513" s="1"/>
      <c r="H513" s="2">
        <v>12.003185</v>
      </c>
      <c r="I513" s="2">
        <v>5.3480541600000002</v>
      </c>
      <c r="J513" s="2">
        <v>9.5247312100000006</v>
      </c>
      <c r="L513" s="2"/>
      <c r="M513" s="2"/>
    </row>
    <row r="514" spans="2:13">
      <c r="B514" s="2"/>
      <c r="C514" s="1">
        <v>155.14498409999999</v>
      </c>
      <c r="D514" s="1">
        <v>10.474175969999999</v>
      </c>
      <c r="E514" s="1"/>
      <c r="H514" s="2">
        <v>237.26216400000001</v>
      </c>
      <c r="I514" s="2">
        <v>329.26290399999999</v>
      </c>
      <c r="J514" s="2">
        <v>269.960082</v>
      </c>
      <c r="L514" s="2"/>
      <c r="M514" s="2"/>
    </row>
    <row r="515" spans="2:13">
      <c r="B515" s="2"/>
      <c r="C515" s="1">
        <v>21.07764397</v>
      </c>
      <c r="D515" s="1">
        <v>2.2623692430000002</v>
      </c>
      <c r="E515" s="1"/>
      <c r="H515" s="2">
        <v>28.889727300000001</v>
      </c>
      <c r="I515" s="2">
        <v>16.852589300000002</v>
      </c>
      <c r="J515" s="2">
        <v>23.7770662</v>
      </c>
      <c r="L515" s="2"/>
      <c r="M515" s="2"/>
    </row>
    <row r="516" spans="2:13">
      <c r="B516" s="2"/>
      <c r="C516" s="1">
        <v>50.469213949999997</v>
      </c>
      <c r="D516" s="1">
        <v>2.1634318129999999</v>
      </c>
      <c r="E516" s="1"/>
      <c r="H516" s="2">
        <v>62.6033312</v>
      </c>
      <c r="I516" s="2">
        <v>51.630488</v>
      </c>
      <c r="J516" s="2">
        <v>61.528373100000003</v>
      </c>
      <c r="L516" s="2"/>
      <c r="M516" s="2"/>
    </row>
    <row r="517" spans="2:13">
      <c r="B517" s="2"/>
      <c r="C517" s="1">
        <v>4.2867737659999996</v>
      </c>
      <c r="D517" s="1">
        <v>0.20447069000000001</v>
      </c>
      <c r="E517" s="1"/>
      <c r="H517" s="2">
        <v>3.26548492</v>
      </c>
      <c r="I517" s="2">
        <v>3.9488539500000002</v>
      </c>
      <c r="J517" s="2">
        <v>1.9118986</v>
      </c>
      <c r="L517" s="2"/>
      <c r="M517" s="2"/>
    </row>
    <row r="518" spans="2:13">
      <c r="B518" s="2"/>
      <c r="C518" s="1">
        <v>39.716053279999997</v>
      </c>
      <c r="D518" s="1">
        <v>2.0447068960000001</v>
      </c>
      <c r="E518" s="1"/>
      <c r="H518" s="2">
        <v>36.562724600000003</v>
      </c>
      <c r="I518" s="2">
        <v>35.539685499999997</v>
      </c>
      <c r="J518" s="2">
        <v>26.245153500000001</v>
      </c>
      <c r="L518" s="2"/>
      <c r="M518" s="2"/>
    </row>
    <row r="519" spans="2:13">
      <c r="B519" s="2"/>
      <c r="C519" s="1">
        <v>43.254151069999999</v>
      </c>
      <c r="D519" s="1">
        <v>2.0644943819999999</v>
      </c>
      <c r="E519" s="1"/>
      <c r="H519" s="2">
        <v>37.651219599999997</v>
      </c>
      <c r="I519" s="2">
        <v>46.126967200000003</v>
      </c>
      <c r="J519" s="2">
        <v>37.9598777</v>
      </c>
      <c r="L519" s="2"/>
      <c r="M519" s="2"/>
    </row>
    <row r="520" spans="2:13">
      <c r="B520" s="2"/>
      <c r="C520" s="1">
        <v>67.181593930000005</v>
      </c>
      <c r="D520" s="1">
        <v>8.7922396539999994</v>
      </c>
      <c r="E520" s="1"/>
      <c r="H520" s="2">
        <v>131.6841</v>
      </c>
      <c r="I520" s="2">
        <v>84.869266499999995</v>
      </c>
      <c r="J520" s="2">
        <v>97.124448900000004</v>
      </c>
      <c r="L520" s="2"/>
      <c r="M520" s="2"/>
    </row>
    <row r="521" spans="2:13">
      <c r="B521" s="2"/>
      <c r="C521" s="1">
        <v>16.21125009</v>
      </c>
      <c r="D521" s="1">
        <v>1.0091617909999999</v>
      </c>
      <c r="E521" s="1"/>
      <c r="H521" s="2">
        <v>24.946163500000001</v>
      </c>
      <c r="I521" s="2">
        <v>19.9152831</v>
      </c>
      <c r="J521" s="2">
        <v>22.734212400000001</v>
      </c>
      <c r="L521" s="2"/>
      <c r="M521" s="2"/>
    </row>
    <row r="522" spans="2:13">
      <c r="B522" s="2"/>
      <c r="C522" s="1">
        <v>33.865512750000001</v>
      </c>
      <c r="D522" s="1">
        <v>1.490657286</v>
      </c>
      <c r="E522" s="1"/>
      <c r="H522" s="2">
        <v>38.519636400000003</v>
      </c>
      <c r="I522" s="2">
        <v>40.949926400000003</v>
      </c>
      <c r="J522" s="2">
        <v>31.320375200000001</v>
      </c>
      <c r="L522" s="2"/>
      <c r="M522" s="2"/>
    </row>
    <row r="523" spans="2:13">
      <c r="B523" s="2"/>
      <c r="C523" s="1">
        <v>28.908553229999999</v>
      </c>
      <c r="D523" s="1">
        <v>1.3191657400000001</v>
      </c>
      <c r="E523" s="1"/>
      <c r="H523" s="2">
        <v>70.448822300000003</v>
      </c>
      <c r="I523" s="2">
        <v>75.976571800000002</v>
      </c>
      <c r="J523" s="2">
        <v>70.288344899999998</v>
      </c>
      <c r="L523" s="2"/>
      <c r="M523" s="2"/>
    </row>
    <row r="524" spans="2:13">
      <c r="B524" s="2"/>
      <c r="C524" s="1">
        <v>157.01063629999999</v>
      </c>
      <c r="D524" s="1">
        <v>6.5364662390000001</v>
      </c>
      <c r="E524" s="1"/>
      <c r="H524" s="2">
        <v>142.10510099999999</v>
      </c>
      <c r="I524" s="2">
        <v>142.70287500000001</v>
      </c>
      <c r="J524" s="2">
        <v>148.710949</v>
      </c>
      <c r="L524" s="2"/>
      <c r="M524" s="2"/>
    </row>
    <row r="525" spans="2:13">
      <c r="B525" s="2"/>
      <c r="C525" s="1">
        <v>19.441424680000001</v>
      </c>
      <c r="D525" s="1">
        <v>0.75192447200000001</v>
      </c>
      <c r="E525" s="1"/>
      <c r="H525" s="2">
        <v>13.0262513</v>
      </c>
      <c r="I525" s="2">
        <v>20.4127765</v>
      </c>
      <c r="J525" s="2">
        <v>13.5570992</v>
      </c>
      <c r="L525" s="2"/>
      <c r="M525" s="2"/>
    </row>
    <row r="526" spans="2:13">
      <c r="B526" s="2"/>
      <c r="C526" s="1">
        <v>2.8679120259999999</v>
      </c>
      <c r="D526" s="1">
        <v>0.19787486100000001</v>
      </c>
      <c r="E526" s="1"/>
      <c r="H526" s="2">
        <v>6.9294898700000003</v>
      </c>
      <c r="I526" s="2">
        <v>6.5296010100000004</v>
      </c>
      <c r="J526" s="2">
        <v>5.66617221</v>
      </c>
      <c r="L526" s="2"/>
      <c r="M526" s="2"/>
    </row>
    <row r="527" spans="2:13">
      <c r="B527" s="2"/>
      <c r="C527" s="1">
        <v>24.827061579999999</v>
      </c>
      <c r="D527" s="1">
        <v>1.2004408230000001</v>
      </c>
      <c r="E527" s="1"/>
      <c r="H527" s="2">
        <v>18.397349500000001</v>
      </c>
      <c r="I527" s="2">
        <v>24.423817100000001</v>
      </c>
      <c r="J527" s="2">
        <v>16.094709999999999</v>
      </c>
      <c r="L527" s="2"/>
      <c r="M527" s="2"/>
    </row>
    <row r="528" spans="2:13">
      <c r="B528" s="2"/>
      <c r="C528" s="1">
        <v>16.452758469999999</v>
      </c>
      <c r="D528" s="1">
        <v>0.60681624000000001</v>
      </c>
      <c r="E528" s="1"/>
      <c r="H528" s="2">
        <v>16.083554199999998</v>
      </c>
      <c r="I528" s="2">
        <v>16.541655899999999</v>
      </c>
      <c r="J528" s="2">
        <v>13.730908100000001</v>
      </c>
      <c r="L528" s="2"/>
      <c r="M528" s="2"/>
    </row>
    <row r="529" spans="2:13">
      <c r="B529" s="2"/>
      <c r="C529" s="1">
        <v>44.81791784</v>
      </c>
      <c r="D529" s="1">
        <v>2.460244104</v>
      </c>
      <c r="E529" s="1"/>
      <c r="H529" s="2">
        <v>57.2203369</v>
      </c>
      <c r="I529" s="2">
        <v>50.402301199999997</v>
      </c>
      <c r="J529" s="2">
        <v>48.875080599999997</v>
      </c>
      <c r="L529" s="2"/>
      <c r="M529" s="2"/>
    </row>
    <row r="530" spans="2:13">
      <c r="B530" s="2"/>
      <c r="C530" s="1">
        <v>10.215804520000001</v>
      </c>
      <c r="D530" s="1">
        <v>1.385124027</v>
      </c>
      <c r="E530" s="1"/>
      <c r="H530" s="2">
        <v>37.520362300000002</v>
      </c>
      <c r="I530" s="2">
        <v>45.6450204</v>
      </c>
      <c r="J530" s="2">
        <v>40.358441399999997</v>
      </c>
      <c r="L530" s="2"/>
      <c r="M530" s="2"/>
    </row>
    <row r="531" spans="2:13">
      <c r="B531" s="2"/>
      <c r="C531" s="1">
        <v>28.22025434</v>
      </c>
      <c r="D531" s="1">
        <v>6.378166351</v>
      </c>
      <c r="E531" s="1"/>
      <c r="H531" s="2">
        <v>40.744210799999998</v>
      </c>
      <c r="I531" s="2">
        <v>35.881712200000003</v>
      </c>
      <c r="J531" s="2">
        <v>46.128898999999997</v>
      </c>
      <c r="L531" s="2"/>
      <c r="M531" s="2"/>
    </row>
    <row r="532" spans="2:13">
      <c r="B532" s="2"/>
      <c r="C532" s="1">
        <v>7.6799665209999999</v>
      </c>
      <c r="D532" s="1">
        <v>0.13851240300000001</v>
      </c>
      <c r="E532" s="1"/>
      <c r="H532" s="2">
        <v>4.1755380999999998</v>
      </c>
      <c r="I532" s="2">
        <v>3.2803471800000001</v>
      </c>
      <c r="J532" s="2">
        <v>3.4761792699999998</v>
      </c>
      <c r="L532" s="2"/>
      <c r="M532" s="2"/>
    </row>
    <row r="533" spans="2:13">
      <c r="B533" s="2"/>
      <c r="C533" s="1">
        <v>31.498730609999999</v>
      </c>
      <c r="D533" s="1">
        <v>1.193844994</v>
      </c>
      <c r="E533" s="1"/>
      <c r="H533" s="2">
        <v>15.4649559</v>
      </c>
      <c r="I533" s="2">
        <v>15.950882500000001</v>
      </c>
      <c r="J533" s="2">
        <v>14.8432855</v>
      </c>
      <c r="L533" s="2"/>
      <c r="M533" s="2"/>
    </row>
    <row r="534" spans="2:13">
      <c r="B534" s="2"/>
      <c r="C534" s="1">
        <v>6.5750656770000004</v>
      </c>
      <c r="D534" s="1">
        <v>0.44192052300000001</v>
      </c>
      <c r="E534" s="1"/>
      <c r="H534" s="2">
        <v>28.788610299999998</v>
      </c>
      <c r="I534" s="2">
        <v>17.769842799999999</v>
      </c>
      <c r="J534" s="2">
        <v>19.292795000000002</v>
      </c>
      <c r="L534" s="2"/>
      <c r="M534" s="2"/>
    </row>
    <row r="535" spans="2:13">
      <c r="B535" s="2"/>
      <c r="C535" s="1">
        <v>12.649001459999999</v>
      </c>
      <c r="D535" s="1">
        <v>1.6555530030000001</v>
      </c>
      <c r="E535" s="1"/>
      <c r="H535" s="2">
        <v>40.815587499999999</v>
      </c>
      <c r="I535" s="2">
        <v>21.407763299999999</v>
      </c>
      <c r="J535" s="2">
        <v>35.526552199999998</v>
      </c>
      <c r="L535" s="2"/>
      <c r="M535" s="2"/>
    </row>
    <row r="536" spans="2:13">
      <c r="B536" s="2"/>
      <c r="C536" s="1">
        <v>101.6991793</v>
      </c>
      <c r="D536" s="1">
        <v>2.8164188540000001</v>
      </c>
      <c r="E536" s="1"/>
      <c r="H536" s="2">
        <v>57.1430121</v>
      </c>
      <c r="I536" s="2">
        <v>41.851633200000002</v>
      </c>
      <c r="J536" s="2">
        <v>41.818436699999999</v>
      </c>
      <c r="L536" s="2"/>
      <c r="M536" s="2"/>
    </row>
    <row r="537" spans="2:13">
      <c r="B537" s="2"/>
      <c r="C537" s="1">
        <v>14.99163276</v>
      </c>
      <c r="D537" s="1">
        <v>0.32979143500000002</v>
      </c>
      <c r="E537" s="1"/>
      <c r="H537" s="2">
        <v>12.592043</v>
      </c>
      <c r="I537" s="2">
        <v>10.944855</v>
      </c>
      <c r="J537" s="2">
        <v>9.0033043199999998</v>
      </c>
      <c r="L537" s="2"/>
      <c r="M537" s="2"/>
    </row>
    <row r="538" spans="2:13">
      <c r="B538" s="2"/>
      <c r="C538" s="1">
        <v>4.4497919230000003</v>
      </c>
      <c r="D538" s="1">
        <v>0.44192052300000001</v>
      </c>
      <c r="E538" s="1"/>
      <c r="H538" s="2">
        <v>14.7214484</v>
      </c>
      <c r="I538" s="2">
        <v>10.245254900000001</v>
      </c>
      <c r="J538" s="2">
        <v>12.201389199999999</v>
      </c>
      <c r="L538" s="2"/>
      <c r="M538" s="2"/>
    </row>
    <row r="539" spans="2:13">
      <c r="B539" s="2"/>
      <c r="C539" s="1">
        <v>101.6508776</v>
      </c>
      <c r="D539" s="1">
        <v>592.69457090000003</v>
      </c>
      <c r="E539" s="1"/>
      <c r="H539" s="2">
        <v>62.6033312</v>
      </c>
      <c r="I539" s="2">
        <v>53.9935817</v>
      </c>
      <c r="J539" s="2">
        <v>73.555953400000007</v>
      </c>
      <c r="L539" s="2"/>
      <c r="M539" s="2"/>
    </row>
    <row r="540" spans="2:13">
      <c r="B540" s="2"/>
      <c r="C540" s="1">
        <v>37.482100760000002</v>
      </c>
      <c r="D540" s="1">
        <v>6.378166351</v>
      </c>
      <c r="E540" s="1"/>
      <c r="H540" s="2">
        <v>15.3162544</v>
      </c>
      <c r="I540" s="2">
        <v>10.027601600000001</v>
      </c>
      <c r="J540" s="2">
        <v>13.1399577</v>
      </c>
      <c r="L540" s="2"/>
      <c r="M540" s="2"/>
    </row>
    <row r="541" spans="2:13">
      <c r="B541" s="2"/>
      <c r="C541" s="1">
        <v>95.558828719999994</v>
      </c>
      <c r="D541" s="1">
        <v>5.8834791979999999</v>
      </c>
      <c r="E541" s="1"/>
      <c r="H541" s="2">
        <v>34.927008100000002</v>
      </c>
      <c r="I541" s="2">
        <v>25.6675507</v>
      </c>
      <c r="J541" s="2">
        <v>27.983243099999999</v>
      </c>
      <c r="L541" s="2"/>
      <c r="M541" s="2"/>
    </row>
    <row r="542" spans="2:13">
      <c r="B542" s="2"/>
      <c r="C542" s="1">
        <v>18.463315739999999</v>
      </c>
      <c r="D542" s="1">
        <v>1.523636429</v>
      </c>
      <c r="E542" s="1"/>
      <c r="H542" s="2">
        <v>18.7244928</v>
      </c>
      <c r="I542" s="2">
        <v>13.4478688</v>
      </c>
      <c r="J542" s="2">
        <v>11.610438800000001</v>
      </c>
      <c r="L542" s="2"/>
      <c r="M542" s="2"/>
    </row>
    <row r="543" spans="2:13">
      <c r="B543" s="2"/>
      <c r="C543" s="1">
        <v>17.726715179999999</v>
      </c>
      <c r="D543" s="1">
        <v>1.187249166</v>
      </c>
      <c r="E543" s="1"/>
      <c r="H543" s="2">
        <v>18.153479000000001</v>
      </c>
      <c r="I543" s="2">
        <v>13.6499755</v>
      </c>
      <c r="J543" s="2">
        <v>14.2870968</v>
      </c>
      <c r="L543" s="2"/>
      <c r="M543" s="2"/>
    </row>
    <row r="544" spans="2:13">
      <c r="B544" s="2"/>
      <c r="C544" s="1">
        <v>27.169692879999999</v>
      </c>
      <c r="D544" s="1">
        <v>3.8651556170000001</v>
      </c>
      <c r="E544" s="1"/>
      <c r="H544" s="2">
        <v>47.804558</v>
      </c>
      <c r="I544" s="2">
        <v>27.424324299999999</v>
      </c>
      <c r="J544" s="2">
        <v>45.086045200000001</v>
      </c>
      <c r="L544" s="2"/>
      <c r="M544" s="2"/>
    </row>
    <row r="545" spans="2:13">
      <c r="B545" s="2"/>
      <c r="C545" s="1">
        <v>29.584776690000002</v>
      </c>
      <c r="D545" s="1">
        <v>1.6687446610000001</v>
      </c>
      <c r="E545" s="1"/>
      <c r="H545" s="2">
        <v>30.561132099999998</v>
      </c>
      <c r="I545" s="2">
        <v>23.3200036</v>
      </c>
      <c r="J545" s="2">
        <v>24.159445900000001</v>
      </c>
      <c r="L545" s="2"/>
      <c r="M545" s="2"/>
    </row>
    <row r="546" spans="2:13">
      <c r="B546" s="2"/>
      <c r="C546" s="1">
        <v>22.158393969999999</v>
      </c>
      <c r="D546" s="1">
        <v>1.0223534480000001</v>
      </c>
      <c r="E546" s="1"/>
      <c r="H546" s="2">
        <v>21.073976500000001</v>
      </c>
      <c r="I546" s="2">
        <v>19.8375497</v>
      </c>
      <c r="J546" s="2">
        <v>16.859469499999999</v>
      </c>
      <c r="L546" s="2"/>
      <c r="M546" s="2"/>
    </row>
    <row r="547" spans="2:13">
      <c r="B547" s="2"/>
      <c r="C547" s="1">
        <v>4.3592262799999997</v>
      </c>
      <c r="D547" s="1">
        <v>0.17149154599999999</v>
      </c>
      <c r="E547" s="1"/>
      <c r="H547" s="2">
        <v>5.5673841299999998</v>
      </c>
      <c r="I547" s="2">
        <v>6.0476542699999998</v>
      </c>
      <c r="J547" s="2">
        <v>3.7542736099999998</v>
      </c>
      <c r="L547" s="2"/>
      <c r="M547" s="2"/>
    </row>
    <row r="548" spans="2:13">
      <c r="B548" s="2"/>
      <c r="C548" s="1">
        <v>6.6112919339999996</v>
      </c>
      <c r="D548" s="1">
        <v>110.94183870000001</v>
      </c>
      <c r="E548" s="1"/>
      <c r="H548" s="2">
        <v>12.163782599999999</v>
      </c>
      <c r="I548" s="2">
        <v>9.3901881199999995</v>
      </c>
      <c r="J548" s="2">
        <v>12.131865700000001</v>
      </c>
      <c r="L548" s="2"/>
      <c r="M548" s="2"/>
    </row>
    <row r="549" spans="2:13">
      <c r="B549" s="2"/>
      <c r="C549" s="1">
        <v>97.424480959999997</v>
      </c>
      <c r="D549" s="1">
        <v>4.419205227</v>
      </c>
      <c r="E549" s="1"/>
      <c r="H549" s="2">
        <v>63.608553299999997</v>
      </c>
      <c r="I549" s="2">
        <v>42.784433300000003</v>
      </c>
      <c r="J549" s="2">
        <v>59.929330700000001</v>
      </c>
      <c r="L549" s="2"/>
      <c r="M549" s="2"/>
    </row>
    <row r="550" spans="2:13">
      <c r="B550" s="2"/>
      <c r="C550" s="1">
        <v>10.1373143</v>
      </c>
      <c r="D550" s="1">
        <v>0.39574972200000003</v>
      </c>
      <c r="E550" s="1"/>
      <c r="H550" s="2">
        <v>6.1027095300000003</v>
      </c>
      <c r="I550" s="2">
        <v>6.4829610100000004</v>
      </c>
      <c r="J550" s="2">
        <v>4.7971273999999999</v>
      </c>
      <c r="L550" s="2"/>
      <c r="M550" s="2"/>
    </row>
    <row r="551" spans="2:13">
      <c r="B551" s="2"/>
      <c r="C551" s="1">
        <v>29.645153789999998</v>
      </c>
      <c r="D551" s="1">
        <v>1.141078365</v>
      </c>
      <c r="E551" s="1"/>
      <c r="H551" s="2">
        <v>13.8768239</v>
      </c>
      <c r="I551" s="2">
        <v>12.1574952</v>
      </c>
      <c r="J551" s="2">
        <v>11.4366298</v>
      </c>
      <c r="L551" s="2"/>
      <c r="M551" s="2"/>
    </row>
    <row r="552" spans="2:13">
      <c r="B552" s="2"/>
      <c r="C552" s="1">
        <v>29.43383395</v>
      </c>
      <c r="D552" s="1">
        <v>48.123166179999998</v>
      </c>
      <c r="E552" s="1"/>
      <c r="H552" s="2">
        <v>13.264173700000001</v>
      </c>
      <c r="I552" s="2">
        <v>14.5361356</v>
      </c>
      <c r="J552" s="2">
        <v>11.7842477</v>
      </c>
      <c r="L552" s="2"/>
      <c r="M552" s="2"/>
    </row>
    <row r="553" spans="2:13">
      <c r="B553" s="2"/>
      <c r="C553" s="1">
        <v>2.493574036</v>
      </c>
      <c r="D553" s="1">
        <v>7.9149944E-2</v>
      </c>
      <c r="E553" s="1"/>
      <c r="H553" s="2">
        <v>4.5562139400000001</v>
      </c>
      <c r="I553" s="2">
        <v>4.0576806300000001</v>
      </c>
      <c r="J553" s="2">
        <v>3.8237972</v>
      </c>
      <c r="L553" s="2"/>
      <c r="M553" s="2"/>
    </row>
    <row r="554" spans="2:13">
      <c r="B554" s="2"/>
      <c r="C554" s="1">
        <v>35.495694319999998</v>
      </c>
      <c r="D554" s="1">
        <v>1.226824138</v>
      </c>
      <c r="E554" s="1"/>
      <c r="H554" s="2">
        <v>22.019718000000001</v>
      </c>
      <c r="I554" s="2">
        <v>27.750804299999999</v>
      </c>
      <c r="J554" s="2">
        <v>22.734212400000001</v>
      </c>
      <c r="L554" s="2"/>
      <c r="M554" s="2"/>
    </row>
    <row r="555" spans="2:13">
      <c r="B555" s="2"/>
      <c r="C555" s="1">
        <v>13.506356220000001</v>
      </c>
      <c r="D555" s="1">
        <v>0.57383709699999996</v>
      </c>
      <c r="E555" s="1"/>
      <c r="H555" s="2">
        <v>16.8686981</v>
      </c>
      <c r="I555" s="2">
        <v>14.2562955</v>
      </c>
      <c r="J555" s="2">
        <v>15.608044899999999</v>
      </c>
      <c r="L555" s="2"/>
      <c r="M555" s="2"/>
    </row>
    <row r="556" spans="2:13">
      <c r="B556" s="2"/>
      <c r="C556" s="1">
        <v>21.77801827</v>
      </c>
      <c r="D556" s="1">
        <v>0.62660372600000003</v>
      </c>
      <c r="E556" s="1"/>
      <c r="H556" s="2">
        <v>14.412149299999999</v>
      </c>
      <c r="I556" s="2">
        <v>19.402242999999999</v>
      </c>
      <c r="J556" s="2">
        <v>13.5223374</v>
      </c>
      <c r="L556" s="2"/>
      <c r="M556" s="2"/>
    </row>
    <row r="557" spans="2:13">
      <c r="B557" s="2"/>
      <c r="C557" s="1">
        <v>29.10175993</v>
      </c>
      <c r="D557" s="1">
        <v>0.64639121200000005</v>
      </c>
      <c r="E557" s="1"/>
      <c r="H557" s="2">
        <v>22.995199800000002</v>
      </c>
      <c r="I557" s="2">
        <v>28.015097699999998</v>
      </c>
      <c r="J557" s="2">
        <v>18.736606299999998</v>
      </c>
      <c r="L557" s="2"/>
      <c r="M557" s="2"/>
    </row>
    <row r="558" spans="2:13">
      <c r="B558" s="2"/>
      <c r="C558" s="1">
        <v>6.0014832719999998</v>
      </c>
      <c r="D558" s="1">
        <v>0.46830383799999997</v>
      </c>
      <c r="E558" s="1"/>
      <c r="H558" s="2">
        <v>16.7913733</v>
      </c>
      <c r="I558" s="2">
        <v>17.629922700000002</v>
      </c>
      <c r="J558" s="2">
        <v>13.1399577</v>
      </c>
      <c r="L558" s="2"/>
      <c r="M558" s="2"/>
    </row>
    <row r="559" spans="2:13">
      <c r="B559" s="2"/>
      <c r="C559" s="1">
        <v>12.77579336</v>
      </c>
      <c r="D559" s="1">
        <v>0.32319560600000002</v>
      </c>
      <c r="E559" s="1"/>
      <c r="H559" s="2">
        <v>14.5430066</v>
      </c>
      <c r="I559" s="2">
        <v>8.7994146999999998</v>
      </c>
      <c r="J559" s="2">
        <v>11.610438800000001</v>
      </c>
      <c r="L559" s="2"/>
      <c r="M559" s="2"/>
    </row>
    <row r="560" spans="2:13">
      <c r="B560" s="2"/>
      <c r="C560" s="1">
        <v>55.051835490000002</v>
      </c>
      <c r="D560" s="1">
        <v>2.2293900999999998</v>
      </c>
      <c r="E560" s="1"/>
      <c r="H560" s="2">
        <v>59.641197300000002</v>
      </c>
      <c r="I560" s="2">
        <v>87.216813500000001</v>
      </c>
      <c r="J560" s="2">
        <v>43.278431900000001</v>
      </c>
      <c r="L560" s="2"/>
      <c r="M560" s="2"/>
    </row>
    <row r="561" spans="2:13">
      <c r="B561" s="2"/>
      <c r="C561" s="1">
        <v>33.140987610000003</v>
      </c>
      <c r="D561" s="1">
        <v>4.4323968850000002</v>
      </c>
      <c r="E561" s="1"/>
      <c r="H561" s="2">
        <v>28.639908800000001</v>
      </c>
      <c r="I561" s="2">
        <v>28.0772844</v>
      </c>
      <c r="J561" s="2">
        <v>25.862773799999999</v>
      </c>
      <c r="L561" s="2"/>
      <c r="M561" s="2"/>
    </row>
    <row r="562" spans="2:13">
      <c r="B562" s="2"/>
      <c r="C562" s="1">
        <v>43.972638500000002</v>
      </c>
      <c r="D562" s="1">
        <v>3.7464306999999999</v>
      </c>
      <c r="E562" s="1"/>
      <c r="H562" s="2">
        <v>59.974288700000002</v>
      </c>
      <c r="I562" s="2">
        <v>54.304515100000003</v>
      </c>
      <c r="J562" s="2">
        <v>60.311710400000003</v>
      </c>
      <c r="L562" s="2"/>
      <c r="M562" s="2"/>
    </row>
    <row r="563" spans="2:13">
      <c r="B563" s="2"/>
      <c r="C563" s="1">
        <v>49.780915069999999</v>
      </c>
      <c r="D563" s="1">
        <v>2.1634318129999999</v>
      </c>
      <c r="E563" s="1"/>
      <c r="H563" s="2">
        <v>100.77798</v>
      </c>
      <c r="I563" s="2">
        <v>100.618042</v>
      </c>
      <c r="J563" s="2">
        <v>93.578745999999995</v>
      </c>
      <c r="L563" s="2"/>
      <c r="M563" s="2"/>
    </row>
    <row r="564" spans="2:13">
      <c r="B564" s="2"/>
      <c r="C564" s="1">
        <v>22.424053189999999</v>
      </c>
      <c r="D564" s="1">
        <v>3.6606849270000001</v>
      </c>
      <c r="E564" s="1"/>
      <c r="H564" s="2">
        <v>18.165375099999999</v>
      </c>
      <c r="I564" s="2">
        <v>12.577255299999999</v>
      </c>
      <c r="J564" s="2">
        <v>12.757577899999999</v>
      </c>
      <c r="L564" s="2"/>
      <c r="M564" s="2"/>
    </row>
    <row r="565" spans="2:13">
      <c r="B565" s="2"/>
      <c r="C565" s="1">
        <v>23.86706577</v>
      </c>
      <c r="D565" s="1">
        <v>1.048736763</v>
      </c>
      <c r="E565" s="1"/>
      <c r="H565" s="2">
        <v>22.929771200000001</v>
      </c>
      <c r="I565" s="2">
        <v>13.0436554</v>
      </c>
      <c r="J565" s="2">
        <v>17.554705299999998</v>
      </c>
      <c r="L565" s="2"/>
      <c r="M565" s="2"/>
    </row>
    <row r="566" spans="2:13">
      <c r="B566" s="2"/>
      <c r="C566" s="1">
        <v>9.5154302180000006</v>
      </c>
      <c r="D566" s="1">
        <v>0.41553720799999999</v>
      </c>
      <c r="E566" s="1"/>
      <c r="H566" s="2">
        <v>7.00681464</v>
      </c>
      <c r="I566" s="2">
        <v>8.2863746200000001</v>
      </c>
      <c r="J566" s="2">
        <v>5.5966486299999998</v>
      </c>
      <c r="L566" s="2"/>
      <c r="M566" s="2"/>
    </row>
    <row r="567" spans="2:13">
      <c r="B567" s="2"/>
      <c r="C567" s="1">
        <v>4.781865947</v>
      </c>
      <c r="D567" s="1">
        <v>0.15170406</v>
      </c>
      <c r="E567" s="1"/>
      <c r="H567" s="2">
        <v>4.3599279600000003</v>
      </c>
      <c r="I567" s="2">
        <v>6.0010142599999998</v>
      </c>
      <c r="J567" s="2">
        <v>3.0242759700000001</v>
      </c>
      <c r="L567" s="2"/>
      <c r="M567" s="2"/>
    </row>
    <row r="568" spans="2:13">
      <c r="B568" s="2"/>
      <c r="C568" s="1">
        <v>2.5177248739999998</v>
      </c>
      <c r="D568" s="1">
        <v>0.12532074500000001</v>
      </c>
      <c r="E568" s="1"/>
      <c r="H568" s="2">
        <v>4.0803691400000002</v>
      </c>
      <c r="I568" s="2">
        <v>2.3475470299999999</v>
      </c>
      <c r="J568" s="2">
        <v>4.3452240900000003</v>
      </c>
      <c r="L568" s="2"/>
      <c r="M568" s="2"/>
    </row>
    <row r="569" spans="2:13">
      <c r="B569" s="2"/>
      <c r="C569" s="1">
        <v>4.1418687370000002</v>
      </c>
      <c r="D569" s="1">
        <v>92.5790516</v>
      </c>
      <c r="E569" s="1"/>
      <c r="H569" s="2">
        <v>8.1250499200000004</v>
      </c>
      <c r="I569" s="2">
        <v>5.5190675200000001</v>
      </c>
      <c r="J569" s="2">
        <v>6.1875991099999998</v>
      </c>
      <c r="L569" s="2"/>
      <c r="M569" s="2"/>
    </row>
    <row r="570" spans="2:13">
      <c r="B570" s="2"/>
      <c r="C570" s="1">
        <v>28.993081159999999</v>
      </c>
      <c r="D570" s="1">
        <v>1.2004408230000001</v>
      </c>
      <c r="E570" s="1"/>
      <c r="H570" s="2">
        <v>36.586516899999999</v>
      </c>
      <c r="I570" s="2">
        <v>21.765336699999999</v>
      </c>
      <c r="J570" s="2">
        <v>22.0737384</v>
      </c>
      <c r="L570" s="2"/>
      <c r="M570" s="2"/>
    </row>
    <row r="571" spans="2:13">
      <c r="B571" s="2"/>
      <c r="C571" s="1">
        <v>111.890833</v>
      </c>
      <c r="D571" s="1">
        <v>5.7317751379999997</v>
      </c>
      <c r="E571" s="1"/>
      <c r="H571" s="2">
        <v>79.555302100000006</v>
      </c>
      <c r="I571" s="2">
        <v>41.758353100000001</v>
      </c>
      <c r="J571" s="2">
        <v>72.513099600000004</v>
      </c>
      <c r="L571" s="2"/>
      <c r="M571" s="2"/>
    </row>
    <row r="572" spans="2:13">
      <c r="B572" s="2"/>
      <c r="C572" s="1">
        <v>14.91918025</v>
      </c>
      <c r="D572" s="1">
        <v>1.3059740820000001</v>
      </c>
      <c r="E572" s="1"/>
      <c r="H572" s="2">
        <v>34.778306600000001</v>
      </c>
      <c r="I572" s="2">
        <v>28.6214178</v>
      </c>
      <c r="J572" s="2">
        <v>26.1061063</v>
      </c>
      <c r="L572" s="2"/>
      <c r="M572" s="2"/>
    </row>
    <row r="573" spans="2:13">
      <c r="B573" s="2"/>
      <c r="C573" s="1">
        <v>14.23088136</v>
      </c>
      <c r="D573" s="1">
        <v>0.75852030000000004</v>
      </c>
      <c r="E573" s="1"/>
      <c r="H573" s="2">
        <v>16.030021600000001</v>
      </c>
      <c r="I573" s="2">
        <v>14.2562955</v>
      </c>
      <c r="J573" s="2">
        <v>11.158535499999999</v>
      </c>
      <c r="L573" s="2"/>
      <c r="M573" s="2"/>
    </row>
    <row r="574" spans="2:13">
      <c r="B574" s="2"/>
      <c r="C574" s="1">
        <v>5.6512961190000004</v>
      </c>
      <c r="D574" s="1">
        <v>0.64639121200000005</v>
      </c>
      <c r="E574" s="1"/>
      <c r="H574" s="2">
        <v>24.500059</v>
      </c>
      <c r="I574" s="2">
        <v>16.3395492</v>
      </c>
      <c r="J574" s="2">
        <v>15.1561416</v>
      </c>
      <c r="L574" s="2"/>
      <c r="M574" s="2"/>
    </row>
    <row r="575" spans="2:13">
      <c r="B575" s="2"/>
      <c r="C575" s="1">
        <v>2.2822542019999998</v>
      </c>
      <c r="D575" s="1">
        <v>0.26383314800000002</v>
      </c>
      <c r="E575" s="1"/>
      <c r="H575" s="2">
        <v>13.3652908</v>
      </c>
      <c r="I575" s="2">
        <v>8.48848132</v>
      </c>
      <c r="J575" s="2">
        <v>10.498061399999999</v>
      </c>
      <c r="L575" s="2"/>
      <c r="M575" s="2"/>
    </row>
    <row r="576" spans="2:13">
      <c r="B576" s="2"/>
      <c r="C576" s="1">
        <v>5.4943156719999999</v>
      </c>
      <c r="D576" s="1">
        <v>0.20447069000000001</v>
      </c>
      <c r="E576" s="1"/>
      <c r="H576" s="2">
        <v>6.1859823699999996</v>
      </c>
      <c r="I576" s="2">
        <v>4.3841606799999999</v>
      </c>
      <c r="J576" s="2">
        <v>5.0752217399999999</v>
      </c>
      <c r="L576" s="2"/>
      <c r="M576" s="2"/>
    </row>
    <row r="577" spans="2:13">
      <c r="B577" s="2"/>
      <c r="C577" s="1">
        <v>14.248994489999999</v>
      </c>
      <c r="D577" s="1">
        <v>162.85760640000001</v>
      </c>
      <c r="E577" s="1"/>
      <c r="H577" s="2">
        <v>11.0990799</v>
      </c>
      <c r="I577" s="2">
        <v>10.556188300000001</v>
      </c>
      <c r="J577" s="2">
        <v>7.09140572</v>
      </c>
      <c r="L577" s="2"/>
      <c r="M577" s="2"/>
    </row>
    <row r="578" spans="2:13">
      <c r="B578" s="2"/>
      <c r="C578" s="1">
        <v>7.8973240640000002</v>
      </c>
      <c r="D578" s="1">
        <v>0.48809132399999999</v>
      </c>
      <c r="E578" s="1"/>
      <c r="H578" s="2">
        <v>11.533288300000001</v>
      </c>
      <c r="I578" s="2">
        <v>22.340563499999998</v>
      </c>
      <c r="J578" s="2">
        <v>8.1690212899999999</v>
      </c>
      <c r="L578" s="2"/>
      <c r="M578" s="2"/>
    </row>
    <row r="579" spans="2:13">
      <c r="B579" s="2"/>
      <c r="C579" s="1">
        <v>63.637458440000003</v>
      </c>
      <c r="D579" s="1">
        <v>3.6606849270000001</v>
      </c>
      <c r="E579" s="1"/>
      <c r="H579" s="2">
        <v>55.858231199999999</v>
      </c>
      <c r="I579" s="2">
        <v>69.446970800000003</v>
      </c>
      <c r="J579" s="2">
        <v>43.000337600000002</v>
      </c>
      <c r="L579" s="2"/>
      <c r="M579" s="2"/>
    </row>
    <row r="580" spans="2:13">
      <c r="B580" s="2"/>
      <c r="C580" s="1">
        <v>17.992374399999999</v>
      </c>
      <c r="D580" s="1">
        <v>0.74532864300000001</v>
      </c>
      <c r="E580" s="1"/>
      <c r="H580" s="2">
        <v>13.579420900000001</v>
      </c>
      <c r="I580" s="2">
        <v>8.8771480399999998</v>
      </c>
      <c r="J580" s="2">
        <v>8.5861628000000003</v>
      </c>
      <c r="L580" s="2"/>
      <c r="M580" s="2"/>
    </row>
    <row r="581" spans="2:13">
      <c r="B581" s="2"/>
      <c r="C581" s="1">
        <v>41.153028149999997</v>
      </c>
      <c r="D581" s="1">
        <v>1.615978031</v>
      </c>
      <c r="E581" s="1"/>
      <c r="H581" s="2">
        <v>19.271714299999999</v>
      </c>
      <c r="I581" s="2">
        <v>12.639442000000001</v>
      </c>
      <c r="J581" s="2">
        <v>14.8780473</v>
      </c>
      <c r="L581" s="2"/>
      <c r="M581" s="2"/>
    </row>
    <row r="582" spans="2:13">
      <c r="B582" s="2"/>
      <c r="C582" s="1">
        <v>10.789386929999999</v>
      </c>
      <c r="D582" s="1">
        <v>0.73873281400000002</v>
      </c>
      <c r="E582" s="1"/>
      <c r="H582" s="2">
        <v>8.8269210000000005</v>
      </c>
      <c r="I582" s="2">
        <v>6.4829610100000004</v>
      </c>
      <c r="J582" s="2">
        <v>6.5352170300000001</v>
      </c>
      <c r="L582" s="2"/>
      <c r="M582" s="2"/>
    </row>
    <row r="583" spans="2:13">
      <c r="B583" s="2"/>
      <c r="C583" s="1">
        <v>62.55670843</v>
      </c>
      <c r="D583" s="1">
        <v>3.2847226909999998</v>
      </c>
      <c r="E583" s="1"/>
      <c r="H583" s="2">
        <v>57.618856899999997</v>
      </c>
      <c r="I583" s="2">
        <v>100.415936</v>
      </c>
      <c r="J583" s="2">
        <v>48.1103211</v>
      </c>
      <c r="L583" s="2"/>
      <c r="M583" s="2"/>
    </row>
    <row r="584" spans="2:13">
      <c r="B584" s="2"/>
      <c r="C584" s="1">
        <v>13.65729896</v>
      </c>
      <c r="D584" s="1">
        <v>0.72554115699999999</v>
      </c>
      <c r="E584" s="1"/>
      <c r="H584" s="2">
        <v>10.760040500000001</v>
      </c>
      <c r="I584" s="2">
        <v>7.5090411699999997</v>
      </c>
      <c r="J584" s="2">
        <v>5.1447453200000002</v>
      </c>
      <c r="L584" s="2"/>
      <c r="M584" s="2"/>
    </row>
    <row r="585" spans="2:13">
      <c r="B585" s="2"/>
      <c r="C585" s="1">
        <v>34.179473639999998</v>
      </c>
      <c r="D585" s="1">
        <v>3.4496184090000002</v>
      </c>
      <c r="E585" s="1"/>
      <c r="H585" s="2">
        <v>65.571413100000001</v>
      </c>
      <c r="I585" s="2">
        <v>63.756889899999997</v>
      </c>
      <c r="J585" s="2">
        <v>48.909842400000002</v>
      </c>
      <c r="L585" s="2"/>
      <c r="M585" s="2"/>
    </row>
    <row r="586" spans="2:13">
      <c r="B586" s="2"/>
      <c r="C586" s="1">
        <v>8.9418478130000008</v>
      </c>
      <c r="D586" s="1">
        <v>0.474899666</v>
      </c>
      <c r="E586" s="1"/>
      <c r="H586" s="2">
        <v>13.246329599999999</v>
      </c>
      <c r="I586" s="2">
        <v>9.7788548500000001</v>
      </c>
      <c r="J586" s="2">
        <v>9.1075897000000001</v>
      </c>
      <c r="L586" s="2"/>
      <c r="M586" s="2"/>
    </row>
    <row r="587" spans="2:13">
      <c r="B587" s="2"/>
      <c r="C587" s="1">
        <v>53.0352405</v>
      </c>
      <c r="D587" s="1">
        <v>2.4404566179999998</v>
      </c>
      <c r="E587" s="1"/>
      <c r="H587" s="2">
        <v>30.251833000000001</v>
      </c>
      <c r="I587" s="2">
        <v>23.615390300000001</v>
      </c>
      <c r="J587" s="2">
        <v>28.1222903</v>
      </c>
      <c r="L587" s="2"/>
      <c r="M587" s="2"/>
    </row>
    <row r="588" spans="2:13">
      <c r="B588" s="2"/>
      <c r="C588" s="1">
        <v>62.816329940000003</v>
      </c>
      <c r="D588" s="1">
        <v>623.5168784</v>
      </c>
      <c r="E588" s="1"/>
      <c r="H588" s="2">
        <v>123.493621</v>
      </c>
      <c r="I588" s="2">
        <v>110.00823</v>
      </c>
      <c r="J588" s="2">
        <v>115.722008</v>
      </c>
      <c r="L588" s="2"/>
      <c r="M588" s="2"/>
    </row>
    <row r="589" spans="2:13">
      <c r="B589" s="2"/>
      <c r="C589" s="1">
        <v>25.104796220000001</v>
      </c>
      <c r="D589" s="1">
        <v>2.4800315899999998</v>
      </c>
      <c r="E589" s="1"/>
      <c r="H589" s="2">
        <v>58.451585299999998</v>
      </c>
      <c r="I589" s="2">
        <v>52.236808099999998</v>
      </c>
      <c r="J589" s="2">
        <v>56.036009900000003</v>
      </c>
      <c r="L589" s="2"/>
      <c r="M589" s="2"/>
    </row>
    <row r="590" spans="2:13">
      <c r="B590" s="2"/>
      <c r="C590" s="1">
        <v>64.138588330000005</v>
      </c>
      <c r="D590" s="1">
        <v>125.59777010000001</v>
      </c>
      <c r="E590" s="1"/>
      <c r="H590" s="2">
        <v>56.179426399999997</v>
      </c>
      <c r="I590" s="2">
        <v>51.739314700000001</v>
      </c>
      <c r="J590" s="2">
        <v>57.565528800000003</v>
      </c>
      <c r="L590" s="2"/>
      <c r="M590" s="2"/>
    </row>
    <row r="591" spans="2:13">
      <c r="B591" s="2"/>
      <c r="C591" s="1">
        <v>36.956820030000003</v>
      </c>
      <c r="D591" s="1">
        <v>3.6804724129999999</v>
      </c>
      <c r="E591" s="1"/>
      <c r="H591" s="2">
        <v>34.177552599999999</v>
      </c>
      <c r="I591" s="2">
        <v>30.051711300000001</v>
      </c>
      <c r="J591" s="2">
        <v>35.630837499999998</v>
      </c>
      <c r="L591" s="2"/>
      <c r="M591" s="2"/>
    </row>
    <row r="592" spans="2:13">
      <c r="B592" s="2"/>
      <c r="C592" s="1">
        <v>20.878399550000001</v>
      </c>
      <c r="D592" s="1">
        <v>2.0842818680000001</v>
      </c>
      <c r="E592" s="1"/>
      <c r="H592" s="2">
        <v>42.718966700000003</v>
      </c>
      <c r="I592" s="2">
        <v>66.695210399999993</v>
      </c>
      <c r="J592" s="2">
        <v>38.759398900000001</v>
      </c>
      <c r="L592" s="2"/>
      <c r="M592" s="2"/>
    </row>
    <row r="593" spans="2:13">
      <c r="B593" s="2"/>
      <c r="C593" s="1">
        <v>3.3569664979999998</v>
      </c>
      <c r="D593" s="1">
        <v>3.2979143000000002E-2</v>
      </c>
      <c r="E593" s="1"/>
      <c r="H593" s="2">
        <v>1.16581975</v>
      </c>
      <c r="I593" s="2">
        <v>1.2903735300000001</v>
      </c>
      <c r="J593" s="2">
        <v>0.76475943999999996</v>
      </c>
      <c r="L593" s="2"/>
      <c r="M593" s="2"/>
    </row>
    <row r="594" spans="2:13">
      <c r="B594" s="2"/>
      <c r="C594" s="1">
        <v>22.599146770000001</v>
      </c>
      <c r="D594" s="1">
        <v>2.0513027250000002</v>
      </c>
      <c r="E594" s="1"/>
      <c r="H594" s="2">
        <v>58.308831900000001</v>
      </c>
      <c r="I594" s="2">
        <v>23.615390300000001</v>
      </c>
      <c r="J594" s="2">
        <v>36.951785700000002</v>
      </c>
      <c r="L594" s="2"/>
      <c r="M594" s="2"/>
    </row>
    <row r="595" spans="2:13">
      <c r="B595" s="2"/>
      <c r="C595" s="1">
        <v>50.004310320000002</v>
      </c>
      <c r="D595" s="1">
        <v>3.0406770299999999</v>
      </c>
      <c r="E595" s="1"/>
      <c r="H595" s="2">
        <v>36.473503700000002</v>
      </c>
      <c r="I595" s="2">
        <v>24.159523700000001</v>
      </c>
      <c r="J595" s="2">
        <v>26.453724300000001</v>
      </c>
      <c r="L595" s="2"/>
      <c r="M595" s="2"/>
    </row>
    <row r="596" spans="2:13">
      <c r="B596" s="2"/>
      <c r="C596" s="1">
        <v>62.067653960000001</v>
      </c>
      <c r="D596" s="1">
        <v>2.0644943819999999</v>
      </c>
      <c r="E596" s="1"/>
      <c r="H596" s="2">
        <v>49.029858300000001</v>
      </c>
      <c r="I596" s="2">
        <v>50.0913678</v>
      </c>
      <c r="J596" s="2">
        <v>45.955089999999998</v>
      </c>
      <c r="L596" s="2"/>
      <c r="M596" s="2"/>
    </row>
    <row r="597" spans="2:13">
      <c r="B597" s="2"/>
      <c r="C597" s="1">
        <v>24.60970404</v>
      </c>
      <c r="D597" s="1">
        <v>1.985344438</v>
      </c>
      <c r="E597" s="1"/>
      <c r="H597" s="2">
        <v>28.5804282</v>
      </c>
      <c r="I597" s="2">
        <v>27.735257600000001</v>
      </c>
      <c r="J597" s="2">
        <v>25.480394100000002</v>
      </c>
      <c r="L597" s="2"/>
      <c r="M597" s="2"/>
    </row>
    <row r="598" spans="2:13">
      <c r="B598" s="2"/>
      <c r="C598" s="1">
        <v>99.018436280000003</v>
      </c>
      <c r="D598" s="1">
        <v>8.6207481080000008</v>
      </c>
      <c r="E598" s="1"/>
      <c r="H598" s="2">
        <v>72.483058799999995</v>
      </c>
      <c r="I598" s="2">
        <v>53.418354999999998</v>
      </c>
      <c r="J598" s="2">
        <v>70.2535831</v>
      </c>
      <c r="L598" s="2"/>
      <c r="M598" s="2"/>
    </row>
    <row r="599" spans="2:13">
      <c r="B599" s="2"/>
      <c r="C599" s="1">
        <v>4.9992234900000003</v>
      </c>
      <c r="D599" s="1">
        <v>0.32979143500000002</v>
      </c>
      <c r="E599" s="1"/>
      <c r="H599" s="2">
        <v>15.5184885</v>
      </c>
      <c r="I599" s="2">
        <v>13.354588700000001</v>
      </c>
      <c r="J599" s="2">
        <v>13.835193500000001</v>
      </c>
      <c r="L599" s="2"/>
      <c r="M599" s="2"/>
    </row>
    <row r="600" spans="2:13">
      <c r="B600" s="2"/>
      <c r="C600" s="1">
        <v>15.559177460000001</v>
      </c>
      <c r="D600" s="1">
        <v>0.36277057800000001</v>
      </c>
      <c r="E600" s="1"/>
      <c r="H600" s="2">
        <v>9.8618834300000007</v>
      </c>
      <c r="I600" s="2">
        <v>11.5978151</v>
      </c>
      <c r="J600" s="2">
        <v>7.1261675100000001</v>
      </c>
      <c r="L600" s="2"/>
      <c r="M600" s="2"/>
    </row>
    <row r="601" spans="2:13">
      <c r="B601" s="2"/>
      <c r="C601" s="1">
        <v>41.394536530000003</v>
      </c>
      <c r="D601" s="1">
        <v>1.187249166</v>
      </c>
      <c r="E601" s="1"/>
      <c r="H601" s="2">
        <v>40.500340299999998</v>
      </c>
      <c r="I601" s="2">
        <v>27.688617600000001</v>
      </c>
      <c r="J601" s="2">
        <v>29.3737149</v>
      </c>
      <c r="L601" s="2"/>
      <c r="M601" s="2"/>
    </row>
    <row r="602" spans="2:13">
      <c r="B602" s="2"/>
      <c r="C602" s="1">
        <v>98.438816160000002</v>
      </c>
      <c r="D602" s="1">
        <v>3.5617474969999998</v>
      </c>
      <c r="E602" s="1"/>
      <c r="H602" s="2">
        <v>52.265602999999999</v>
      </c>
      <c r="I602" s="2">
        <v>44.136993500000003</v>
      </c>
      <c r="J602" s="2">
        <v>44.7036655</v>
      </c>
      <c r="L602" s="2"/>
      <c r="M602" s="2"/>
    </row>
    <row r="603" spans="2:13">
      <c r="B603" s="2"/>
      <c r="C603" s="1">
        <v>28.1961035</v>
      </c>
      <c r="D603" s="1">
        <v>4.1883512229999997</v>
      </c>
      <c r="E603" s="1"/>
      <c r="H603" s="2">
        <v>42.302602499999999</v>
      </c>
      <c r="I603" s="2">
        <v>41.727259799999999</v>
      </c>
      <c r="J603" s="2">
        <v>35.769884699999999</v>
      </c>
      <c r="L603" s="2"/>
      <c r="M603" s="2"/>
    </row>
    <row r="604" spans="2:13">
      <c r="B604" s="2"/>
      <c r="C604" s="1">
        <v>27.821765509999999</v>
      </c>
      <c r="D604" s="1">
        <v>1.6027863739999999</v>
      </c>
      <c r="E604" s="1"/>
      <c r="H604" s="2">
        <v>26.195256100000002</v>
      </c>
      <c r="I604" s="2">
        <v>25.9473907</v>
      </c>
      <c r="J604" s="2">
        <v>19.918507200000001</v>
      </c>
      <c r="L604" s="2"/>
      <c r="M604" s="2"/>
    </row>
    <row r="605" spans="2:13">
      <c r="B605" s="2"/>
      <c r="C605" s="1">
        <v>24.965928900000002</v>
      </c>
      <c r="D605" s="1">
        <v>0.60681624000000001</v>
      </c>
      <c r="E605" s="1"/>
      <c r="H605" s="2">
        <v>19.694026600000001</v>
      </c>
      <c r="I605" s="2">
        <v>16.308455899999998</v>
      </c>
      <c r="J605" s="2">
        <v>14.7390001</v>
      </c>
      <c r="L605" s="2"/>
      <c r="M605" s="2"/>
    </row>
    <row r="606" spans="2:13">
      <c r="B606" s="2"/>
      <c r="C606" s="1">
        <v>11.09127241</v>
      </c>
      <c r="D606" s="1">
        <v>0.54745378200000006</v>
      </c>
      <c r="E606" s="1"/>
      <c r="H606" s="2">
        <v>9.2551813099999993</v>
      </c>
      <c r="I606" s="2">
        <v>6.2031209599999997</v>
      </c>
      <c r="J606" s="2">
        <v>7.1261675100000001</v>
      </c>
      <c r="L606" s="2"/>
      <c r="M606" s="2"/>
    </row>
    <row r="607" spans="2:13">
      <c r="B607" s="2"/>
      <c r="C607" s="1">
        <v>14.62333248</v>
      </c>
      <c r="D607" s="1">
        <v>1.477465628</v>
      </c>
      <c r="E607" s="1"/>
      <c r="H607" s="2">
        <v>43.206707600000001</v>
      </c>
      <c r="I607" s="2">
        <v>43.686140100000003</v>
      </c>
      <c r="J607" s="2">
        <v>39.072254999999998</v>
      </c>
      <c r="L607" s="2"/>
      <c r="M607" s="2"/>
    </row>
    <row r="608" spans="2:13">
      <c r="B608" s="2"/>
      <c r="C608" s="1">
        <v>9.6905237940000006</v>
      </c>
      <c r="D608" s="1">
        <v>141.22988409999999</v>
      </c>
      <c r="E608" s="1"/>
      <c r="H608" s="2">
        <v>13.4783039</v>
      </c>
      <c r="I608" s="2">
        <v>18.904749599999999</v>
      </c>
      <c r="J608" s="2">
        <v>11.4366298</v>
      </c>
      <c r="L608" s="2"/>
      <c r="M608" s="2"/>
    </row>
    <row r="609" spans="2:13">
      <c r="B609" s="2"/>
      <c r="C609" s="1">
        <v>80.404177799999999</v>
      </c>
      <c r="D609" s="1">
        <v>4.3796302550000004</v>
      </c>
      <c r="E609" s="1"/>
      <c r="H609" s="2">
        <v>63.644241700000002</v>
      </c>
      <c r="I609" s="2">
        <v>42.147019899999997</v>
      </c>
      <c r="J609" s="2">
        <v>48.979365999999999</v>
      </c>
      <c r="L609" s="2"/>
      <c r="M609" s="2"/>
    </row>
    <row r="610" spans="2:13">
      <c r="B610" s="2"/>
      <c r="C610" s="1">
        <v>119.8485342</v>
      </c>
      <c r="D610" s="1">
        <v>6.2000789760000004</v>
      </c>
      <c r="E610" s="1"/>
      <c r="H610" s="2">
        <v>93.961503300000004</v>
      </c>
      <c r="I610" s="2">
        <v>79.552305700000005</v>
      </c>
      <c r="J610" s="2">
        <v>67.125021799999999</v>
      </c>
      <c r="L610" s="2"/>
      <c r="M610" s="2"/>
    </row>
    <row r="611" spans="2:13">
      <c r="B611" s="2"/>
      <c r="C611" s="1">
        <v>36.033050469999999</v>
      </c>
      <c r="D611" s="1">
        <v>2.6119481640000002</v>
      </c>
      <c r="E611" s="1"/>
      <c r="H611" s="2">
        <v>40.196989299999998</v>
      </c>
      <c r="I611" s="2">
        <v>40.296966300000001</v>
      </c>
      <c r="J611" s="2">
        <v>32.1894201</v>
      </c>
      <c r="L611" s="2"/>
      <c r="M611" s="2"/>
    </row>
    <row r="612" spans="2:13">
      <c r="B612" s="2"/>
      <c r="C612" s="1">
        <v>133.14960819999999</v>
      </c>
      <c r="D612" s="1">
        <v>590.27390179999998</v>
      </c>
      <c r="E612" s="1"/>
      <c r="H612" s="2">
        <v>79.709951700000005</v>
      </c>
      <c r="I612" s="2">
        <v>76.458518499999997</v>
      </c>
      <c r="J612" s="2">
        <v>78.909269499999994</v>
      </c>
      <c r="L612" s="2"/>
      <c r="M612" s="2"/>
    </row>
    <row r="613" spans="2:13">
      <c r="B613" s="2"/>
      <c r="C613" s="1">
        <v>14.79238835</v>
      </c>
      <c r="D613" s="1">
        <v>0.95639516099999999</v>
      </c>
      <c r="E613" s="1"/>
      <c r="H613" s="2">
        <v>16.053813900000002</v>
      </c>
      <c r="I613" s="2">
        <v>14.8781623</v>
      </c>
      <c r="J613" s="2">
        <v>13.5570992</v>
      </c>
      <c r="L613" s="2"/>
      <c r="M613" s="2"/>
    </row>
    <row r="614" spans="2:13">
      <c r="B614" s="2"/>
      <c r="C614" s="1">
        <v>5.3554483519999998</v>
      </c>
      <c r="D614" s="1">
        <v>3.0802520019999999</v>
      </c>
      <c r="E614" s="1"/>
      <c r="H614" s="2">
        <v>17.338594799999999</v>
      </c>
      <c r="I614" s="2">
        <v>14.4428556</v>
      </c>
      <c r="J614" s="2">
        <v>13.5223374</v>
      </c>
      <c r="L614" s="2"/>
      <c r="M614" s="2"/>
    </row>
    <row r="615" spans="2:13">
      <c r="B615" s="2"/>
      <c r="C615" s="1">
        <v>50.348459759999997</v>
      </c>
      <c r="D615" s="1">
        <v>620.89173860000005</v>
      </c>
      <c r="E615" s="1"/>
      <c r="H615" s="2">
        <v>43.676604400000002</v>
      </c>
      <c r="I615" s="2">
        <v>32.352618399999997</v>
      </c>
      <c r="J615" s="2">
        <v>37.716545099999998</v>
      </c>
      <c r="L615" s="2"/>
      <c r="M615" s="2"/>
    </row>
    <row r="616" spans="2:13">
      <c r="B616" s="2"/>
      <c r="C616" s="1">
        <v>22.436128610000001</v>
      </c>
      <c r="D616" s="1">
        <v>249.73786200000001</v>
      </c>
      <c r="E616" s="1"/>
      <c r="H616" s="2">
        <v>30.3232097</v>
      </c>
      <c r="I616" s="2">
        <v>35.974992200000003</v>
      </c>
      <c r="J616" s="2">
        <v>24.715634600000001</v>
      </c>
      <c r="L616" s="2"/>
      <c r="M616" s="2"/>
    </row>
    <row r="617" spans="2:13">
      <c r="B617" s="2"/>
      <c r="C617" s="1">
        <v>24.156875830000001</v>
      </c>
      <c r="D617" s="1">
        <v>0.65958287000000004</v>
      </c>
      <c r="E617" s="1"/>
      <c r="H617" s="2">
        <v>21.192937700000002</v>
      </c>
      <c r="I617" s="2">
        <v>15.826509100000001</v>
      </c>
      <c r="J617" s="2">
        <v>22.2127856</v>
      </c>
      <c r="L617" s="2"/>
      <c r="M617" s="2"/>
    </row>
    <row r="618" spans="2:13">
      <c r="B618" s="2"/>
      <c r="C618" s="1">
        <v>36.087389860000002</v>
      </c>
      <c r="D618" s="1">
        <v>3.3242976639999999</v>
      </c>
      <c r="E618" s="1"/>
      <c r="H618" s="2">
        <v>44.747255199999998</v>
      </c>
      <c r="I618" s="2">
        <v>53.4494483</v>
      </c>
      <c r="J618" s="2">
        <v>34.031795099999997</v>
      </c>
      <c r="L618" s="2"/>
      <c r="M618" s="2"/>
    </row>
    <row r="619" spans="2:13">
      <c r="B619" s="2"/>
      <c r="C619" s="1">
        <v>5.8324274049999998</v>
      </c>
      <c r="D619" s="1">
        <v>0.26383314800000002</v>
      </c>
      <c r="E619" s="1"/>
      <c r="H619" s="2">
        <v>6.7629441899999998</v>
      </c>
      <c r="I619" s="2">
        <v>5.5035208500000001</v>
      </c>
      <c r="J619" s="2">
        <v>3.40665569</v>
      </c>
      <c r="L619" s="2"/>
      <c r="M619" s="2"/>
    </row>
    <row r="620" spans="2:13">
      <c r="B620" s="2"/>
      <c r="C620" s="1">
        <v>76.044951519999998</v>
      </c>
      <c r="D620" s="1">
        <v>3.8783472739999998</v>
      </c>
      <c r="E620" s="1"/>
      <c r="H620" s="2">
        <v>78.098027400000007</v>
      </c>
      <c r="I620" s="2">
        <v>42.131473200000002</v>
      </c>
      <c r="J620" s="2">
        <v>65.873597200000006</v>
      </c>
      <c r="L620" s="2"/>
      <c r="M620" s="2"/>
    </row>
    <row r="621" spans="2:13">
      <c r="B621" s="2"/>
      <c r="C621" s="1">
        <v>16.718417689999999</v>
      </c>
      <c r="D621" s="1">
        <v>0.60681624000000001</v>
      </c>
      <c r="E621" s="1"/>
      <c r="H621" s="2">
        <v>22.3706535</v>
      </c>
      <c r="I621" s="2">
        <v>22.620403499999998</v>
      </c>
      <c r="J621" s="2">
        <v>21.343740700000001</v>
      </c>
      <c r="L621" s="2"/>
      <c r="M621" s="2"/>
    </row>
    <row r="622" spans="2:13">
      <c r="B622" s="2"/>
      <c r="C622" s="1">
        <v>24.470836720000001</v>
      </c>
      <c r="D622" s="1">
        <v>1.035545106</v>
      </c>
      <c r="E622" s="1"/>
      <c r="H622" s="2">
        <v>17.076880200000002</v>
      </c>
      <c r="I622" s="2">
        <v>22.4649368</v>
      </c>
      <c r="J622" s="2">
        <v>14.356620400000001</v>
      </c>
      <c r="L622" s="2"/>
      <c r="M622" s="2"/>
    </row>
    <row r="623" spans="2:13">
      <c r="B623" s="2"/>
      <c r="C623" s="1">
        <v>24.102536440000002</v>
      </c>
      <c r="D623" s="1">
        <v>0.64639121200000005</v>
      </c>
      <c r="E623" s="1"/>
      <c r="H623" s="2">
        <v>30.115027600000001</v>
      </c>
      <c r="I623" s="2">
        <v>23.941870399999999</v>
      </c>
      <c r="J623" s="2">
        <v>25.723726599999999</v>
      </c>
      <c r="L623" s="2"/>
      <c r="M623" s="2"/>
    </row>
    <row r="624" spans="2:13">
      <c r="B624" s="2"/>
      <c r="C624" s="1">
        <v>23.975744540000001</v>
      </c>
      <c r="D624" s="1">
        <v>1.840236207</v>
      </c>
      <c r="E624" s="1"/>
      <c r="H624" s="2">
        <v>20.996651700000001</v>
      </c>
      <c r="I624" s="2">
        <v>23.1334436</v>
      </c>
      <c r="J624" s="2">
        <v>15.051856300000001</v>
      </c>
      <c r="L624" s="2"/>
      <c r="M624" s="2"/>
    </row>
    <row r="625" spans="2:13">
      <c r="B625" s="2"/>
      <c r="C625" s="1">
        <v>71.299311829999994</v>
      </c>
      <c r="D625" s="1">
        <v>4.069626306</v>
      </c>
      <c r="E625" s="1"/>
      <c r="H625" s="2">
        <v>99.255276699999996</v>
      </c>
      <c r="I625" s="2">
        <v>88.926947100000007</v>
      </c>
      <c r="J625" s="2">
        <v>89.581139899999997</v>
      </c>
      <c r="L625" s="2"/>
      <c r="M625" s="2"/>
    </row>
    <row r="626" spans="2:13">
      <c r="B626" s="2"/>
      <c r="C626" s="1">
        <v>28.715346520000001</v>
      </c>
      <c r="D626" s="1">
        <v>452.52001949999999</v>
      </c>
      <c r="E626" s="1"/>
      <c r="H626" s="2">
        <v>53.425474700000002</v>
      </c>
      <c r="I626" s="2">
        <v>44.960966999999997</v>
      </c>
      <c r="J626" s="2">
        <v>49.883172600000002</v>
      </c>
      <c r="L626" s="2"/>
      <c r="M626" s="2"/>
    </row>
    <row r="627" spans="2:13">
      <c r="B627" s="2"/>
      <c r="C627" s="1">
        <v>10.197691389999999</v>
      </c>
      <c r="D627" s="1">
        <v>1.6027863739999999</v>
      </c>
      <c r="E627" s="1"/>
      <c r="H627" s="2">
        <v>37.454933599999997</v>
      </c>
      <c r="I627" s="2">
        <v>33.456431899999998</v>
      </c>
      <c r="J627" s="2">
        <v>33.232273800000002</v>
      </c>
      <c r="L627" s="2"/>
      <c r="M627" s="2"/>
    </row>
    <row r="628" spans="2:13">
      <c r="B628" s="2"/>
      <c r="C628" s="1">
        <v>25.986301810000001</v>
      </c>
      <c r="D628" s="1">
        <v>1.5698072300000001</v>
      </c>
      <c r="E628" s="1"/>
      <c r="H628" s="2">
        <v>34.254877399999998</v>
      </c>
      <c r="I628" s="2">
        <v>31.248804799999998</v>
      </c>
      <c r="J628" s="2">
        <v>30.068950699999998</v>
      </c>
      <c r="L628" s="2"/>
      <c r="M628" s="2"/>
    </row>
    <row r="629" spans="2:13">
      <c r="B629" s="2"/>
      <c r="C629" s="1">
        <v>33.551551850000003</v>
      </c>
      <c r="D629" s="1">
        <v>1.662148832</v>
      </c>
      <c r="E629" s="1"/>
      <c r="H629" s="2">
        <v>28.4138825</v>
      </c>
      <c r="I629" s="2">
        <v>36.192645599999999</v>
      </c>
      <c r="J629" s="2">
        <v>25.202299700000001</v>
      </c>
      <c r="L629" s="2"/>
      <c r="M629" s="2"/>
    </row>
    <row r="630" spans="2:13">
      <c r="B630" s="2"/>
      <c r="C630" s="1">
        <v>14.73804896</v>
      </c>
      <c r="D630" s="1">
        <v>0.81788275899999996</v>
      </c>
      <c r="E630" s="1"/>
      <c r="H630" s="2">
        <v>22.816758</v>
      </c>
      <c r="I630" s="2">
        <v>20.0085631</v>
      </c>
      <c r="J630" s="2">
        <v>23.325162899999999</v>
      </c>
      <c r="L630" s="2"/>
      <c r="M630" s="2"/>
    </row>
    <row r="631" spans="2:13">
      <c r="B631" s="2"/>
      <c r="C631" s="1">
        <v>5.6211075719999997</v>
      </c>
      <c r="D631" s="1">
        <v>0.40894137899999999</v>
      </c>
      <c r="E631" s="1"/>
      <c r="H631" s="2">
        <v>20.3542612</v>
      </c>
      <c r="I631" s="2">
        <v>13.8054421</v>
      </c>
      <c r="J631" s="2">
        <v>23.429448300000001</v>
      </c>
      <c r="L631" s="2"/>
      <c r="M631" s="2"/>
    </row>
    <row r="632" spans="2:13">
      <c r="B632" s="2"/>
      <c r="C632" s="1">
        <v>253.3422918</v>
      </c>
      <c r="D632" s="1">
        <v>18.290232979999999</v>
      </c>
      <c r="E632" s="1"/>
      <c r="H632" s="2">
        <v>236.369955</v>
      </c>
      <c r="I632" s="2">
        <v>198.282217</v>
      </c>
      <c r="J632" s="2">
        <v>196.056511</v>
      </c>
      <c r="L632" s="2"/>
      <c r="M632" s="2"/>
    </row>
    <row r="633" spans="2:13">
      <c r="B633" s="2"/>
      <c r="C633" s="1">
        <v>98.173156939999998</v>
      </c>
      <c r="D633" s="1">
        <v>4.0300513340000004</v>
      </c>
      <c r="E633" s="1"/>
      <c r="H633" s="2">
        <v>56.7206999</v>
      </c>
      <c r="I633" s="2">
        <v>46.468993900000001</v>
      </c>
      <c r="J633" s="2">
        <v>45.398901299999999</v>
      </c>
      <c r="L633" s="2"/>
      <c r="M633" s="2"/>
    </row>
    <row r="634" spans="2:13">
      <c r="B634" s="2"/>
      <c r="C634" s="1">
        <v>38.574926179999999</v>
      </c>
      <c r="D634" s="1">
        <v>1.7742779200000001</v>
      </c>
      <c r="E634" s="1"/>
      <c r="H634" s="2">
        <v>40.3159505</v>
      </c>
      <c r="I634" s="2">
        <v>64.907343400000002</v>
      </c>
      <c r="J634" s="2">
        <v>32.8498941</v>
      </c>
      <c r="L634" s="2"/>
      <c r="M634" s="2"/>
    </row>
    <row r="635" spans="2:13">
      <c r="B635" s="2"/>
      <c r="C635" s="1">
        <v>39.728128699999999</v>
      </c>
      <c r="D635" s="1">
        <v>1.556615573</v>
      </c>
      <c r="E635" s="1"/>
      <c r="H635" s="2">
        <v>24.678500799999998</v>
      </c>
      <c r="I635" s="2">
        <v>23.864136999999999</v>
      </c>
      <c r="J635" s="2">
        <v>26.488486099999999</v>
      </c>
      <c r="L635" s="2"/>
      <c r="M635" s="2"/>
    </row>
    <row r="636" spans="2:13">
      <c r="B636" s="2"/>
      <c r="C636" s="1">
        <v>38.067758580000003</v>
      </c>
      <c r="D636" s="1">
        <v>2.5459898769999998</v>
      </c>
      <c r="E636" s="1"/>
      <c r="H636" s="2">
        <v>63.923800499999999</v>
      </c>
      <c r="I636" s="2">
        <v>70.846170999999998</v>
      </c>
      <c r="J636" s="2">
        <v>61.7369439</v>
      </c>
      <c r="L636" s="2"/>
      <c r="M636" s="2"/>
    </row>
    <row r="637" spans="2:13">
      <c r="B637" s="2"/>
      <c r="C637" s="1">
        <v>46.436023990000002</v>
      </c>
      <c r="D637" s="1">
        <v>3.3968517789999999</v>
      </c>
      <c r="E637" s="1"/>
      <c r="H637" s="2">
        <v>64.3758531</v>
      </c>
      <c r="I637" s="2">
        <v>38.524645999999997</v>
      </c>
      <c r="J637" s="2">
        <v>51.169358899999999</v>
      </c>
      <c r="L637" s="2"/>
      <c r="M637" s="2"/>
    </row>
    <row r="638" spans="2:13">
      <c r="B638" s="2"/>
      <c r="C638" s="1">
        <v>70.701578589999997</v>
      </c>
      <c r="D638" s="1">
        <v>1.4312948270000001</v>
      </c>
      <c r="E638" s="1"/>
      <c r="H638" s="2">
        <v>31.239211000000001</v>
      </c>
      <c r="I638" s="2">
        <v>19.433336300000001</v>
      </c>
      <c r="J638" s="2">
        <v>23.1861158</v>
      </c>
      <c r="L638" s="2"/>
      <c r="M638" s="2"/>
    </row>
    <row r="639" spans="2:13">
      <c r="B639" s="2"/>
      <c r="C639" s="1">
        <v>6.2973310390000004</v>
      </c>
      <c r="D639" s="1">
        <v>0.34957892099999999</v>
      </c>
      <c r="E639" s="1"/>
      <c r="H639" s="2">
        <v>13.9184603</v>
      </c>
      <c r="I639" s="2">
        <v>8.6128546700000008</v>
      </c>
      <c r="J639" s="2">
        <v>12.5142454</v>
      </c>
      <c r="L639" s="2"/>
      <c r="M639" s="2"/>
    </row>
    <row r="640" spans="2:13">
      <c r="B640" s="2"/>
      <c r="C640" s="1">
        <v>72.591381670000004</v>
      </c>
      <c r="D640" s="1">
        <v>3.2715310340000001</v>
      </c>
      <c r="E640" s="1"/>
      <c r="H640" s="2">
        <v>44.830528000000001</v>
      </c>
      <c r="I640" s="2">
        <v>46.608913899999997</v>
      </c>
      <c r="J640" s="2">
        <v>39.489396499999998</v>
      </c>
      <c r="L640" s="2"/>
      <c r="M640" s="2"/>
    </row>
    <row r="641" spans="2:13">
      <c r="B641" s="2"/>
      <c r="C641" s="1">
        <v>21.34330319</v>
      </c>
      <c r="D641" s="1">
        <v>0.98937430500000001</v>
      </c>
      <c r="E641" s="1"/>
      <c r="H641" s="2">
        <v>38.513688299999998</v>
      </c>
      <c r="I641" s="2">
        <v>24.283897100000001</v>
      </c>
      <c r="J641" s="2">
        <v>25.3761087</v>
      </c>
      <c r="L641" s="2"/>
      <c r="M641" s="2"/>
    </row>
    <row r="642" spans="2:13">
      <c r="B642" s="2"/>
      <c r="C642" s="1">
        <v>16.802945619999999</v>
      </c>
      <c r="D642" s="1">
        <v>0.50128298100000002</v>
      </c>
      <c r="E642" s="1"/>
      <c r="H642" s="2">
        <v>8.0596212600000001</v>
      </c>
      <c r="I642" s="2">
        <v>5.62789421</v>
      </c>
      <c r="J642" s="2">
        <v>6.3961698599999997</v>
      </c>
      <c r="L642" s="2"/>
      <c r="M642" s="2"/>
    </row>
    <row r="643" spans="2:13">
      <c r="B643" s="2"/>
      <c r="C643" s="1">
        <v>17.787092269999999</v>
      </c>
      <c r="D643" s="1">
        <v>0.83767024499999998</v>
      </c>
      <c r="E643" s="1"/>
      <c r="H643" s="2">
        <v>22.632368199999998</v>
      </c>
      <c r="I643" s="2">
        <v>25.6830973</v>
      </c>
      <c r="J643" s="2">
        <v>16.581375099999999</v>
      </c>
      <c r="L643" s="2"/>
      <c r="M643" s="2"/>
    </row>
    <row r="644" spans="2:13">
      <c r="B644" s="2"/>
      <c r="C644" s="1">
        <v>75.900046489999994</v>
      </c>
      <c r="D644" s="1">
        <v>4.4983551720000001</v>
      </c>
      <c r="E644" s="1"/>
      <c r="H644" s="2">
        <v>65.119360599999993</v>
      </c>
      <c r="I644" s="2">
        <v>60.367716000000001</v>
      </c>
      <c r="J644" s="2">
        <v>39.976061600000001</v>
      </c>
      <c r="L644" s="2"/>
      <c r="M644" s="2"/>
    </row>
    <row r="645" spans="2:13">
      <c r="B645" s="2"/>
      <c r="C645" s="1">
        <v>11.550138329999999</v>
      </c>
      <c r="D645" s="1">
        <v>0.80469110099999996</v>
      </c>
      <c r="E645" s="1"/>
      <c r="H645" s="2">
        <v>21.4070678</v>
      </c>
      <c r="I645" s="2">
        <v>20.677069899999999</v>
      </c>
      <c r="J645" s="2">
        <v>18.597559100000002</v>
      </c>
      <c r="L645" s="2"/>
      <c r="M645" s="2"/>
    </row>
    <row r="646" spans="2:13">
      <c r="B646" s="2"/>
      <c r="C646" s="1">
        <v>22.073866039999999</v>
      </c>
      <c r="D646" s="1">
        <v>0.91682018899999995</v>
      </c>
      <c r="E646" s="1"/>
      <c r="H646" s="2">
        <v>14.1920711</v>
      </c>
      <c r="I646" s="2">
        <v>17.350082700000002</v>
      </c>
      <c r="J646" s="2">
        <v>11.8885331</v>
      </c>
      <c r="L646" s="2"/>
      <c r="M646" s="2"/>
    </row>
    <row r="647" spans="2:13">
      <c r="B647" s="2"/>
      <c r="C647" s="1">
        <v>34.094945709999998</v>
      </c>
      <c r="D647" s="1">
        <v>1.279590767</v>
      </c>
      <c r="E647" s="1"/>
      <c r="H647" s="2">
        <v>37.901038100000001</v>
      </c>
      <c r="I647" s="2">
        <v>29.538671300000001</v>
      </c>
      <c r="J647" s="2">
        <v>33.788462500000001</v>
      </c>
      <c r="L647" s="2"/>
      <c r="M647" s="2"/>
    </row>
    <row r="648" spans="2:13">
      <c r="B648" s="2"/>
      <c r="C648" s="1">
        <v>77.904566059999993</v>
      </c>
      <c r="D648" s="1">
        <v>3.2451477190000002</v>
      </c>
      <c r="E648" s="1"/>
      <c r="H648" s="2">
        <v>41.273588099999998</v>
      </c>
      <c r="I648" s="2">
        <v>42.675606600000002</v>
      </c>
      <c r="J648" s="2">
        <v>41.887960200000002</v>
      </c>
      <c r="L648" s="2"/>
      <c r="M648" s="2"/>
    </row>
    <row r="649" spans="2:13">
      <c r="B649" s="2"/>
      <c r="C649" s="1">
        <v>3.2422500169999999</v>
      </c>
      <c r="D649" s="1">
        <v>0.32319560600000002</v>
      </c>
      <c r="E649" s="1"/>
      <c r="H649" s="2">
        <v>11.2596775</v>
      </c>
      <c r="I649" s="2">
        <v>6.2497609699999996</v>
      </c>
      <c r="J649" s="2">
        <v>7.4390236400000003</v>
      </c>
      <c r="L649" s="2"/>
      <c r="M649" s="2"/>
    </row>
    <row r="650" spans="2:13">
      <c r="B650" s="2"/>
      <c r="C650" s="1">
        <v>25.086683090000001</v>
      </c>
      <c r="D650" s="1">
        <v>2.0183235810000002</v>
      </c>
      <c r="E650" s="1"/>
      <c r="H650" s="2">
        <v>28.5804282</v>
      </c>
      <c r="I650" s="2">
        <v>25.216697199999999</v>
      </c>
      <c r="J650" s="2">
        <v>21.6565969</v>
      </c>
      <c r="L650" s="2"/>
      <c r="M650" s="2"/>
    </row>
    <row r="651" spans="2:13">
      <c r="B651" s="2"/>
      <c r="C651" s="1">
        <v>13.18635761</v>
      </c>
      <c r="D651" s="1">
        <v>0.474899666</v>
      </c>
      <c r="E651" s="1"/>
      <c r="H651" s="2">
        <v>10.956326499999999</v>
      </c>
      <c r="I651" s="2">
        <v>17.723202799999999</v>
      </c>
      <c r="J651" s="2">
        <v>8.2733066700000002</v>
      </c>
      <c r="L651" s="2"/>
      <c r="M651" s="2"/>
    </row>
    <row r="652" spans="2:13">
      <c r="B652" s="2"/>
      <c r="C652" s="1">
        <v>38.593039310000002</v>
      </c>
      <c r="D652" s="1">
        <v>5.9824166290000003</v>
      </c>
      <c r="E652" s="1"/>
      <c r="H652" s="2">
        <v>96.721403199999997</v>
      </c>
      <c r="I652" s="2">
        <v>119.19631200000001</v>
      </c>
      <c r="J652" s="2">
        <v>102.234432</v>
      </c>
      <c r="L652" s="2"/>
      <c r="M652" s="2"/>
    </row>
    <row r="653" spans="2:13">
      <c r="B653" s="2"/>
      <c r="C653" s="1">
        <v>10.53580313</v>
      </c>
      <c r="D653" s="1">
        <v>0.89043687400000004</v>
      </c>
      <c r="E653" s="1"/>
      <c r="H653" s="2">
        <v>19.694026600000001</v>
      </c>
      <c r="I653" s="2">
        <v>14.0075488</v>
      </c>
      <c r="J653" s="2">
        <v>14.1480496</v>
      </c>
      <c r="L653" s="2"/>
      <c r="M653" s="2"/>
    </row>
    <row r="654" spans="2:13">
      <c r="B654" s="2"/>
      <c r="C654" s="1">
        <v>26.463280869999998</v>
      </c>
      <c r="D654" s="1">
        <v>3.9509013899999998</v>
      </c>
      <c r="E654" s="1"/>
      <c r="H654" s="2">
        <v>65.398919399999997</v>
      </c>
      <c r="I654" s="2">
        <v>70.690704299999993</v>
      </c>
      <c r="J654" s="2">
        <v>49.326983900000002</v>
      </c>
      <c r="L654" s="2"/>
      <c r="M654" s="2"/>
    </row>
    <row r="655" spans="2:13">
      <c r="B655" s="2"/>
      <c r="C655" s="1">
        <v>19.628593680000002</v>
      </c>
      <c r="D655" s="1">
        <v>0.58043292499999999</v>
      </c>
      <c r="E655" s="1"/>
      <c r="H655" s="2">
        <v>6.4833853699999997</v>
      </c>
      <c r="I655" s="2">
        <v>4.25978733</v>
      </c>
      <c r="J655" s="2">
        <v>3.7890354099999999</v>
      </c>
      <c r="L655" s="2"/>
      <c r="M655" s="2"/>
    </row>
    <row r="656" spans="2:13">
      <c r="B656" s="2"/>
      <c r="C656" s="1">
        <v>78.242677790000002</v>
      </c>
      <c r="D656" s="1">
        <v>7.5258405440000002</v>
      </c>
      <c r="E656" s="1"/>
      <c r="H656" s="2">
        <v>59.926704200000003</v>
      </c>
      <c r="I656" s="2">
        <v>57.087368900000001</v>
      </c>
      <c r="J656" s="2">
        <v>51.795071200000002</v>
      </c>
      <c r="L656" s="2"/>
      <c r="M656" s="2"/>
    </row>
    <row r="657" spans="2:13">
      <c r="B657" s="2"/>
      <c r="C657" s="1">
        <v>6.9795922160000003</v>
      </c>
      <c r="D657" s="1">
        <v>0.45511217999999998</v>
      </c>
      <c r="E657" s="1"/>
      <c r="H657" s="2">
        <v>10.9384823</v>
      </c>
      <c r="I657" s="2">
        <v>5.2703208200000002</v>
      </c>
      <c r="J657" s="2">
        <v>8.1690212899999999</v>
      </c>
      <c r="L657" s="2"/>
      <c r="M657" s="2"/>
    </row>
    <row r="658" spans="2:13">
      <c r="B658" s="2"/>
      <c r="C658" s="1">
        <v>8.4769441790000002</v>
      </c>
      <c r="D658" s="1">
        <v>0.59362458299999998</v>
      </c>
      <c r="E658" s="1"/>
      <c r="H658" s="2">
        <v>7.7146337799999998</v>
      </c>
      <c r="I658" s="2">
        <v>3.8711205999999998</v>
      </c>
      <c r="J658" s="2">
        <v>5.8052193900000004</v>
      </c>
      <c r="L658" s="2"/>
      <c r="M658" s="2"/>
    </row>
    <row r="659" spans="2:13">
      <c r="B659" s="2"/>
      <c r="C659" s="1">
        <v>13.4942808</v>
      </c>
      <c r="D659" s="1">
        <v>0.60022041100000001</v>
      </c>
      <c r="E659" s="1"/>
      <c r="H659" s="2">
        <v>9.6180129700000005</v>
      </c>
      <c r="I659" s="2">
        <v>14.5672289</v>
      </c>
      <c r="J659" s="2">
        <v>6.3266462800000003</v>
      </c>
      <c r="L659" s="2"/>
      <c r="M659" s="2"/>
    </row>
    <row r="660" spans="2:13">
      <c r="B660" s="2"/>
      <c r="C660" s="1">
        <v>38.273040709999997</v>
      </c>
      <c r="D660" s="1">
        <v>379.40525830000001</v>
      </c>
      <c r="E660" s="1"/>
      <c r="H660" s="2">
        <v>22.5074589</v>
      </c>
      <c r="I660" s="2">
        <v>18.547176199999999</v>
      </c>
      <c r="J660" s="2">
        <v>16.233757199999999</v>
      </c>
      <c r="L660" s="2"/>
      <c r="M660" s="2"/>
    </row>
    <row r="661" spans="2:13">
      <c r="B661" s="2"/>
      <c r="C661" s="1">
        <v>56.259377389999997</v>
      </c>
      <c r="D661" s="1">
        <v>4.6434634030000002</v>
      </c>
      <c r="E661" s="1"/>
      <c r="H661" s="2">
        <v>107.636093</v>
      </c>
      <c r="I661" s="2">
        <v>82.179692799999998</v>
      </c>
      <c r="J661" s="2">
        <v>103.624904</v>
      </c>
      <c r="L661" s="2"/>
      <c r="M661" s="2"/>
    </row>
    <row r="662" spans="2:13">
      <c r="B662" s="2"/>
      <c r="C662" s="1">
        <v>10.17957827</v>
      </c>
      <c r="D662" s="1">
        <v>85.224702600000001</v>
      </c>
      <c r="E662" s="1"/>
      <c r="H662" s="2">
        <v>17.338594799999999</v>
      </c>
      <c r="I662" s="2">
        <v>11.9242952</v>
      </c>
      <c r="J662" s="2">
        <v>13.452813799999999</v>
      </c>
      <c r="L662" s="2"/>
      <c r="M662" s="2"/>
    </row>
    <row r="663" spans="2:13">
      <c r="B663" s="2"/>
      <c r="C663" s="1">
        <v>45.699423430000003</v>
      </c>
      <c r="D663" s="1">
        <v>2.7240772519999998</v>
      </c>
      <c r="E663" s="1"/>
      <c r="H663" s="2">
        <v>16.000281300000001</v>
      </c>
      <c r="I663" s="2">
        <v>17.0702426</v>
      </c>
      <c r="J663" s="2">
        <v>7.2652146799999997</v>
      </c>
      <c r="L663" s="2"/>
      <c r="M663" s="2"/>
    </row>
    <row r="664" spans="2:13">
      <c r="B664" s="2"/>
      <c r="C664" s="1">
        <v>23.281407940000001</v>
      </c>
      <c r="D664" s="1">
        <v>0.97618264700000001</v>
      </c>
      <c r="E664" s="1"/>
      <c r="H664" s="2">
        <v>13.680537899999999</v>
      </c>
      <c r="I664" s="2">
        <v>15.531122399999999</v>
      </c>
      <c r="J664" s="2">
        <v>5.8052193900000004</v>
      </c>
      <c r="L664" s="2"/>
      <c r="M664" s="2"/>
    </row>
    <row r="665" spans="2:13">
      <c r="B665" s="2"/>
      <c r="C665" s="1">
        <v>18.8195406</v>
      </c>
      <c r="D665" s="1">
        <v>0.73213698500000002</v>
      </c>
      <c r="E665" s="1"/>
      <c r="H665" s="2">
        <v>8.9696744299999995</v>
      </c>
      <c r="I665" s="2">
        <v>4.9282940999999996</v>
      </c>
      <c r="J665" s="2">
        <v>5.9790283500000001</v>
      </c>
      <c r="L665" s="2"/>
      <c r="M665" s="2"/>
    </row>
    <row r="666" spans="2:13">
      <c r="B666" s="2"/>
      <c r="C666" s="1">
        <v>8.1750587029999995</v>
      </c>
      <c r="D666" s="1">
        <v>0.25064149099999999</v>
      </c>
      <c r="E666" s="1"/>
      <c r="H666" s="2">
        <v>12.2113671</v>
      </c>
      <c r="I666" s="2">
        <v>11.939841899999999</v>
      </c>
      <c r="J666" s="2">
        <v>12.5490072</v>
      </c>
      <c r="L666" s="2"/>
      <c r="M666" s="2"/>
    </row>
    <row r="667" spans="2:13">
      <c r="B667" s="2"/>
      <c r="C667" s="1">
        <v>62.870669329999998</v>
      </c>
      <c r="D667" s="1">
        <v>2.453648276</v>
      </c>
      <c r="E667" s="1"/>
      <c r="H667" s="2">
        <v>56.405452699999998</v>
      </c>
      <c r="I667" s="2">
        <v>39.939392900000001</v>
      </c>
      <c r="J667" s="2">
        <v>58.1564792</v>
      </c>
      <c r="L667" s="2"/>
      <c r="M667" s="2"/>
    </row>
    <row r="668" spans="2:13">
      <c r="B668" s="2"/>
      <c r="C668" s="1">
        <v>9.4912793799999999</v>
      </c>
      <c r="D668" s="1">
        <v>254.50664610000001</v>
      </c>
      <c r="E668" s="1"/>
      <c r="H668" s="2">
        <v>18.433037800000001</v>
      </c>
      <c r="I668" s="2">
        <v>9.3590947900000003</v>
      </c>
      <c r="J668" s="2">
        <v>12.0623421</v>
      </c>
      <c r="L668" s="2"/>
      <c r="M668" s="2"/>
    </row>
    <row r="669" spans="2:13">
      <c r="B669" s="2"/>
      <c r="C669" s="1">
        <v>19.344821329999998</v>
      </c>
      <c r="D669" s="1">
        <v>0.98937430500000001</v>
      </c>
      <c r="E669" s="1"/>
      <c r="H669" s="2">
        <v>34.1597084</v>
      </c>
      <c r="I669" s="2">
        <v>39.099872699999999</v>
      </c>
      <c r="J669" s="2">
        <v>28.8175262</v>
      </c>
      <c r="L669" s="2"/>
      <c r="M669" s="2"/>
    </row>
    <row r="670" spans="2:13">
      <c r="B670" s="2"/>
      <c r="C670" s="1">
        <v>34.203624480000002</v>
      </c>
      <c r="D670" s="1">
        <v>1.226824138</v>
      </c>
      <c r="E670" s="1"/>
      <c r="H670" s="2">
        <v>25.011592199999999</v>
      </c>
      <c r="I670" s="2">
        <v>27.035657499999999</v>
      </c>
      <c r="J670" s="2">
        <v>25.167537899999999</v>
      </c>
      <c r="L670" s="2"/>
      <c r="M670" s="2"/>
    </row>
    <row r="671" spans="2:13">
      <c r="B671" s="2"/>
      <c r="C671" s="1">
        <v>39.68586474</v>
      </c>
      <c r="D671" s="1">
        <v>177.6388585</v>
      </c>
      <c r="E671" s="1"/>
      <c r="H671" s="2">
        <v>21.656886400000001</v>
      </c>
      <c r="I671" s="2">
        <v>19.6043497</v>
      </c>
      <c r="J671" s="2">
        <v>16.338042600000001</v>
      </c>
      <c r="L671" s="2"/>
      <c r="M671" s="2"/>
    </row>
    <row r="672" spans="2:13">
      <c r="B672" s="2"/>
      <c r="C672" s="1">
        <v>62.067653960000001</v>
      </c>
      <c r="D672" s="1">
        <v>3.1857852609999999</v>
      </c>
      <c r="E672" s="1"/>
      <c r="H672" s="2">
        <v>50.927289500000001</v>
      </c>
      <c r="I672" s="2">
        <v>56.962995499999998</v>
      </c>
      <c r="J672" s="2">
        <v>54.089349499999997</v>
      </c>
      <c r="L672" s="2"/>
      <c r="M672" s="2"/>
    </row>
    <row r="673" spans="2:13">
      <c r="B673" s="2"/>
      <c r="C673" s="1">
        <v>9.4007137370000002</v>
      </c>
      <c r="D673" s="1">
        <v>0.55404961100000005</v>
      </c>
      <c r="E673" s="1"/>
      <c r="H673" s="2">
        <v>11.7950029</v>
      </c>
      <c r="I673" s="2">
        <v>10.198614900000001</v>
      </c>
      <c r="J673" s="2">
        <v>11.9232949</v>
      </c>
      <c r="L673" s="2"/>
      <c r="M673" s="2"/>
    </row>
    <row r="674" spans="2:13">
      <c r="B674" s="2"/>
      <c r="C674" s="1">
        <v>84.733215529999995</v>
      </c>
      <c r="D674" s="1">
        <v>5.4481545039999997</v>
      </c>
      <c r="E674" s="1"/>
      <c r="H674" s="2">
        <v>48.090064900000002</v>
      </c>
      <c r="I674" s="2">
        <v>44.618940299999998</v>
      </c>
      <c r="J674" s="2">
        <v>31.980849299999999</v>
      </c>
      <c r="L674" s="2"/>
      <c r="M674" s="2"/>
    </row>
    <row r="675" spans="2:13">
      <c r="B675" s="2"/>
      <c r="C675" s="1">
        <v>41.841327040000003</v>
      </c>
      <c r="D675" s="1">
        <v>4.9930423240000001</v>
      </c>
      <c r="E675" s="1"/>
      <c r="H675" s="2">
        <v>48.803832100000001</v>
      </c>
      <c r="I675" s="2">
        <v>41.696166499999997</v>
      </c>
      <c r="J675" s="2">
        <v>52.142689099999998</v>
      </c>
      <c r="L675" s="2"/>
      <c r="M675" s="2"/>
    </row>
    <row r="676" spans="2:13">
      <c r="B676" s="2"/>
      <c r="C676" s="1">
        <v>51.743170669999998</v>
      </c>
      <c r="D676" s="1">
        <v>1.9721527809999999</v>
      </c>
      <c r="E676" s="1"/>
      <c r="H676" s="2">
        <v>49.803106100000001</v>
      </c>
      <c r="I676" s="2">
        <v>61.751369599999997</v>
      </c>
      <c r="J676" s="2">
        <v>51.656024000000002</v>
      </c>
      <c r="L676" s="2"/>
      <c r="M676" s="2"/>
    </row>
    <row r="677" spans="2:13">
      <c r="B677" s="2"/>
      <c r="C677" s="1">
        <v>13.608997280000001</v>
      </c>
      <c r="D677" s="1">
        <v>0.65298704100000005</v>
      </c>
      <c r="E677" s="1"/>
      <c r="H677" s="2">
        <v>15.8099434</v>
      </c>
      <c r="I677" s="2">
        <v>11.1780551</v>
      </c>
      <c r="J677" s="2">
        <v>9.5594929999999998</v>
      </c>
      <c r="L677" s="2"/>
      <c r="M677" s="2"/>
    </row>
    <row r="678" spans="2:13">
      <c r="B678" s="2"/>
      <c r="C678" s="1">
        <v>12.745604820000001</v>
      </c>
      <c r="D678" s="1">
        <v>176.84735900000001</v>
      </c>
      <c r="E678" s="1"/>
      <c r="H678" s="2">
        <v>12.9846149</v>
      </c>
      <c r="I678" s="2">
        <v>11.9553885</v>
      </c>
      <c r="J678" s="2">
        <v>10.8456793</v>
      </c>
      <c r="L678" s="2"/>
      <c r="M678" s="2"/>
    </row>
    <row r="679" spans="2:13">
      <c r="B679" s="2"/>
      <c r="C679" s="1">
        <v>93.125631780000006</v>
      </c>
      <c r="D679" s="1">
        <v>170.54834260000001</v>
      </c>
      <c r="E679" s="1"/>
      <c r="H679" s="2">
        <v>89.815705500000007</v>
      </c>
      <c r="I679" s="2">
        <v>95.176708099999999</v>
      </c>
      <c r="J679" s="2">
        <v>95.907786099999996</v>
      </c>
      <c r="L679" s="2"/>
      <c r="M679" s="2"/>
    </row>
    <row r="680" spans="2:13">
      <c r="B680" s="2"/>
      <c r="C680" s="1">
        <v>19.320670490000001</v>
      </c>
      <c r="D680" s="1">
        <v>4.0894137930000003</v>
      </c>
      <c r="E680" s="1"/>
      <c r="H680" s="2">
        <v>89.066249999999997</v>
      </c>
      <c r="I680" s="2">
        <v>47.588354099999997</v>
      </c>
      <c r="J680" s="2">
        <v>74.842139700000004</v>
      </c>
      <c r="L680" s="2"/>
      <c r="M680" s="2"/>
    </row>
    <row r="681" spans="2:13">
      <c r="B681" s="2"/>
      <c r="C681" s="1">
        <v>116.98062210000001</v>
      </c>
      <c r="D681" s="1">
        <v>5.9164583420000003</v>
      </c>
      <c r="E681" s="1"/>
      <c r="H681" s="2">
        <v>93.009813800000003</v>
      </c>
      <c r="I681" s="2">
        <v>119.087485</v>
      </c>
      <c r="J681" s="2">
        <v>75.780708200000007</v>
      </c>
      <c r="L681" s="2"/>
      <c r="M681" s="2"/>
    </row>
    <row r="682" spans="2:13">
      <c r="B682" s="2"/>
      <c r="C682" s="1">
        <v>17.479169089999999</v>
      </c>
      <c r="D682" s="1">
        <v>1.6753404890000001</v>
      </c>
      <c r="E682" s="1"/>
      <c r="H682" s="2">
        <v>37.324076300000002</v>
      </c>
      <c r="I682" s="2">
        <v>43.1886467</v>
      </c>
      <c r="J682" s="2">
        <v>31.181328100000002</v>
      </c>
      <c r="L682" s="2"/>
      <c r="M682" s="2"/>
    </row>
    <row r="683" spans="2:13">
      <c r="B683" s="2"/>
      <c r="C683" s="1">
        <v>26.747053210000001</v>
      </c>
      <c r="D683" s="1">
        <v>0.76511612900000003</v>
      </c>
      <c r="E683" s="1"/>
      <c r="H683" s="2">
        <v>15.5244365</v>
      </c>
      <c r="I683" s="2">
        <v>10.6805617</v>
      </c>
      <c r="J683" s="2">
        <v>13.939478899999999</v>
      </c>
      <c r="L683" s="2"/>
      <c r="M683" s="2"/>
    </row>
    <row r="684" spans="2:13">
      <c r="B684" s="2"/>
      <c r="C684" s="1">
        <v>172.48528580000001</v>
      </c>
      <c r="D684" s="1">
        <v>8.5679814780000001</v>
      </c>
      <c r="E684" s="1"/>
      <c r="H684" s="2">
        <v>176.69306900000001</v>
      </c>
      <c r="I684" s="2">
        <v>124.23343300000001</v>
      </c>
      <c r="J684" s="2">
        <v>139.77716899999999</v>
      </c>
      <c r="L684" s="2"/>
      <c r="M684" s="2"/>
    </row>
    <row r="685" spans="2:13">
      <c r="B685" s="2"/>
      <c r="C685" s="1">
        <v>30.405905189999999</v>
      </c>
      <c r="D685" s="1">
        <v>1.0817159059999999</v>
      </c>
      <c r="E685" s="1"/>
      <c r="H685" s="2">
        <v>31.197574500000002</v>
      </c>
      <c r="I685" s="2">
        <v>28.4037644</v>
      </c>
      <c r="J685" s="2">
        <v>18.875653499999999</v>
      </c>
      <c r="L685" s="2"/>
      <c r="M685" s="2"/>
    </row>
    <row r="686" spans="2:13">
      <c r="B686" s="2"/>
      <c r="C686" s="1">
        <v>17.83539395</v>
      </c>
      <c r="D686" s="1">
        <v>0.96299098999999999</v>
      </c>
      <c r="E686" s="1"/>
      <c r="H686" s="2">
        <v>28.883779199999999</v>
      </c>
      <c r="I686" s="2">
        <v>27.439870899999999</v>
      </c>
      <c r="J686" s="2">
        <v>25.3761087</v>
      </c>
      <c r="L686" s="2"/>
      <c r="M686" s="2"/>
    </row>
    <row r="687" spans="2:13">
      <c r="B687" s="2"/>
      <c r="C687" s="1">
        <v>43.417169219999998</v>
      </c>
      <c r="D687" s="1">
        <v>2.559181535</v>
      </c>
      <c r="E687" s="1"/>
      <c r="H687" s="2">
        <v>57.571272499999999</v>
      </c>
      <c r="I687" s="2">
        <v>59.372729200000002</v>
      </c>
      <c r="J687" s="2">
        <v>46.580802300000002</v>
      </c>
      <c r="L687" s="2"/>
      <c r="M687" s="2"/>
    </row>
    <row r="688" spans="2:13">
      <c r="B688" s="2"/>
      <c r="C688" s="1">
        <v>101.8380466</v>
      </c>
      <c r="D688" s="1">
        <v>7.4203072849999998</v>
      </c>
      <c r="E688" s="1"/>
      <c r="H688" s="2">
        <v>133.62911500000001</v>
      </c>
      <c r="I688" s="2">
        <v>141.84780900000001</v>
      </c>
      <c r="J688" s="2">
        <v>163.93661499999999</v>
      </c>
      <c r="L688" s="2"/>
      <c r="M688" s="2"/>
    </row>
    <row r="689" spans="2:13">
      <c r="B689" s="2"/>
      <c r="C689" s="1">
        <v>31.462504360000001</v>
      </c>
      <c r="D689" s="1">
        <v>1.72151129</v>
      </c>
      <c r="E689" s="1"/>
      <c r="H689" s="2">
        <v>52.099057299999998</v>
      </c>
      <c r="I689" s="2">
        <v>33.098858499999999</v>
      </c>
      <c r="J689" s="2">
        <v>37.2646418</v>
      </c>
      <c r="L689" s="2"/>
      <c r="M689" s="2"/>
    </row>
    <row r="690" spans="2:13">
      <c r="B690" s="2"/>
      <c r="C690" s="1">
        <v>9.6059958610000002</v>
      </c>
      <c r="D690" s="1">
        <v>0.66617869799999996</v>
      </c>
      <c r="E690" s="1"/>
      <c r="H690" s="2">
        <v>12.1459385</v>
      </c>
      <c r="I690" s="2">
        <v>10.7272017</v>
      </c>
      <c r="J690" s="2">
        <v>10.949964700000001</v>
      </c>
      <c r="L690" s="2"/>
      <c r="M690" s="2"/>
    </row>
    <row r="691" spans="2:13">
      <c r="B691" s="2"/>
      <c r="C691" s="1">
        <v>40.748501609999998</v>
      </c>
      <c r="D691" s="1">
        <v>4.4653760279999997</v>
      </c>
      <c r="E691" s="1"/>
      <c r="H691" s="2">
        <v>118.259328</v>
      </c>
      <c r="I691" s="2">
        <v>113.164204</v>
      </c>
      <c r="J691" s="2">
        <v>103.902998</v>
      </c>
      <c r="L691" s="2"/>
      <c r="M691" s="2"/>
    </row>
    <row r="692" spans="2:13">
      <c r="B692" s="2"/>
      <c r="C692" s="1">
        <v>34.964375879999999</v>
      </c>
      <c r="D692" s="1">
        <v>0.97618264700000001</v>
      </c>
      <c r="E692" s="1"/>
      <c r="H692" s="2">
        <v>21.752055299999999</v>
      </c>
      <c r="I692" s="2">
        <v>10.183068199999999</v>
      </c>
      <c r="J692" s="2">
        <v>18.0066086</v>
      </c>
      <c r="L692" s="2"/>
      <c r="M692" s="2"/>
    </row>
    <row r="693" spans="2:13">
      <c r="B693" s="2"/>
      <c r="C693" s="1">
        <v>172.34038079999999</v>
      </c>
      <c r="D693" s="1">
        <v>12.22207058</v>
      </c>
      <c r="E693" s="1"/>
      <c r="H693" s="2">
        <v>160.22883899999999</v>
      </c>
      <c r="I693" s="2">
        <v>101.65966899999999</v>
      </c>
      <c r="J693" s="2">
        <v>161.43376499999999</v>
      </c>
      <c r="L693" s="2"/>
      <c r="M693" s="2"/>
    </row>
    <row r="694" spans="2:13">
      <c r="B694" s="2"/>
      <c r="C694" s="1">
        <v>11.66485481</v>
      </c>
      <c r="D694" s="1">
        <v>0.50787881000000001</v>
      </c>
      <c r="E694" s="1"/>
      <c r="H694" s="2">
        <v>16.702152399999999</v>
      </c>
      <c r="I694" s="2">
        <v>11.8154685</v>
      </c>
      <c r="J694" s="2">
        <v>13.765669900000001</v>
      </c>
      <c r="L694" s="2"/>
      <c r="M694" s="2"/>
    </row>
    <row r="695" spans="2:13">
      <c r="B695" s="2"/>
      <c r="C695" s="1">
        <v>18.517655130000001</v>
      </c>
      <c r="D695" s="1">
        <v>1.5500197440000001</v>
      </c>
      <c r="E695" s="1"/>
      <c r="H695" s="2">
        <v>28.889727300000001</v>
      </c>
      <c r="I695" s="2">
        <v>36.767872400000002</v>
      </c>
      <c r="J695" s="2">
        <v>26.905627599999999</v>
      </c>
      <c r="L695" s="2"/>
      <c r="M695" s="2"/>
    </row>
    <row r="696" spans="2:13">
      <c r="B696" s="2"/>
      <c r="C696" s="1">
        <v>7.4927975260000004</v>
      </c>
      <c r="D696" s="1">
        <v>0.31659977700000003</v>
      </c>
      <c r="E696" s="1"/>
      <c r="H696" s="2">
        <v>6.1800343099999999</v>
      </c>
      <c r="I696" s="2">
        <v>3.8400272599999998</v>
      </c>
      <c r="J696" s="2">
        <v>3.4414174800000001</v>
      </c>
      <c r="L696" s="2"/>
      <c r="M696" s="2"/>
    </row>
    <row r="697" spans="2:13">
      <c r="B697" s="2"/>
      <c r="C697" s="1">
        <v>39.11832004</v>
      </c>
      <c r="D697" s="1">
        <v>1.312569911</v>
      </c>
      <c r="E697" s="1"/>
      <c r="H697" s="2">
        <v>42.879564299999998</v>
      </c>
      <c r="I697" s="2">
        <v>76.287505199999998</v>
      </c>
      <c r="J697" s="2">
        <v>42.305101800000003</v>
      </c>
      <c r="L697" s="2"/>
      <c r="M697" s="2"/>
    </row>
    <row r="698" spans="2:13">
      <c r="B698" s="2"/>
      <c r="C698" s="1">
        <v>36.497954100000001</v>
      </c>
      <c r="D698" s="1">
        <v>3.713451557</v>
      </c>
      <c r="E698" s="1"/>
      <c r="H698" s="2">
        <v>56.881297500000002</v>
      </c>
      <c r="I698" s="2">
        <v>35.104378799999999</v>
      </c>
      <c r="J698" s="2">
        <v>62.536465100000001</v>
      </c>
      <c r="L698" s="2"/>
      <c r="M698" s="2"/>
    </row>
    <row r="699" spans="2:13">
      <c r="B699" s="2"/>
      <c r="C699" s="1">
        <v>40.814916420000003</v>
      </c>
      <c r="D699" s="1">
        <v>1.141078365</v>
      </c>
      <c r="E699" s="1"/>
      <c r="H699" s="2">
        <v>38.454207699999998</v>
      </c>
      <c r="I699" s="2">
        <v>31.0777915</v>
      </c>
      <c r="J699" s="2">
        <v>33.857986099999998</v>
      </c>
      <c r="L699" s="2"/>
      <c r="M699" s="2"/>
    </row>
    <row r="700" spans="2:13">
      <c r="B700" s="2"/>
      <c r="C700" s="1">
        <v>7.1063841160000001</v>
      </c>
      <c r="D700" s="1">
        <v>1.299378253</v>
      </c>
      <c r="E700" s="1"/>
      <c r="H700" s="2">
        <v>22.251692299999998</v>
      </c>
      <c r="I700" s="2">
        <v>25.3255239</v>
      </c>
      <c r="J700" s="2">
        <v>19.8489836</v>
      </c>
      <c r="L700" s="2"/>
      <c r="M700" s="2"/>
    </row>
    <row r="701" spans="2:13">
      <c r="B701" s="2"/>
      <c r="C701" s="1">
        <v>5.8505405340000003</v>
      </c>
      <c r="D701" s="1">
        <v>0.244045662</v>
      </c>
      <c r="E701" s="1"/>
      <c r="H701" s="2">
        <v>2.80748431</v>
      </c>
      <c r="I701" s="2">
        <v>5.1148541300000003</v>
      </c>
      <c r="J701" s="2">
        <v>1.3904717099999999</v>
      </c>
      <c r="L701" s="2"/>
      <c r="M701" s="2"/>
    </row>
    <row r="702" spans="2:13">
      <c r="B702" s="2"/>
      <c r="C702" s="1">
        <v>18.891993119999999</v>
      </c>
      <c r="D702" s="1">
        <v>1.0949075640000001</v>
      </c>
      <c r="E702" s="1"/>
      <c r="H702" s="2">
        <v>28.134323699999999</v>
      </c>
      <c r="I702" s="2">
        <v>22.2783768</v>
      </c>
      <c r="J702" s="2">
        <v>23.2904011</v>
      </c>
      <c r="L702" s="2"/>
      <c r="M702" s="2"/>
    </row>
    <row r="703" spans="2:13">
      <c r="B703" s="2"/>
      <c r="C703" s="1">
        <v>24.404421920000001</v>
      </c>
      <c r="D703" s="1">
        <v>1.912790322</v>
      </c>
      <c r="E703" s="1"/>
      <c r="H703" s="2">
        <v>23.042784300000001</v>
      </c>
      <c r="I703" s="2">
        <v>7.6956011899999996</v>
      </c>
      <c r="J703" s="2">
        <v>23.359924700000001</v>
      </c>
      <c r="L703" s="2"/>
      <c r="M703" s="2"/>
    </row>
    <row r="704" spans="2:13">
      <c r="B704" s="2"/>
      <c r="C704" s="1">
        <v>104.04181060000001</v>
      </c>
      <c r="D704" s="1">
        <v>753.53385370000001</v>
      </c>
      <c r="E704" s="1"/>
      <c r="H704" s="2">
        <v>145.22188399999999</v>
      </c>
      <c r="I704" s="2">
        <v>124.653193</v>
      </c>
      <c r="J704" s="2">
        <v>106.05822999999999</v>
      </c>
      <c r="L704" s="2"/>
      <c r="M704" s="2"/>
    </row>
    <row r="705" spans="2:13">
      <c r="B705" s="2"/>
      <c r="C705" s="1">
        <v>9.2618464179999993</v>
      </c>
      <c r="D705" s="1">
        <v>0.53426212500000003</v>
      </c>
      <c r="E705" s="1"/>
      <c r="H705" s="2">
        <v>13.3831349</v>
      </c>
      <c r="I705" s="2">
        <v>11.1936017</v>
      </c>
      <c r="J705" s="2">
        <v>7.4390236400000003</v>
      </c>
      <c r="L705" s="2"/>
      <c r="M705" s="2"/>
    </row>
    <row r="706" spans="2:13">
      <c r="B706" s="2"/>
      <c r="C706" s="1">
        <v>22.06179062</v>
      </c>
      <c r="D706" s="1">
        <v>0.850861902</v>
      </c>
      <c r="E706" s="1"/>
      <c r="H706" s="2">
        <v>11.331054200000001</v>
      </c>
      <c r="I706" s="2">
        <v>11.1314151</v>
      </c>
      <c r="J706" s="2">
        <v>8.7599717699999999</v>
      </c>
      <c r="L706" s="2"/>
      <c r="M706" s="2"/>
    </row>
    <row r="707" spans="2:13">
      <c r="B707" s="2"/>
      <c r="C707" s="1">
        <v>15.692007070000001</v>
      </c>
      <c r="D707" s="1">
        <v>1.187249166</v>
      </c>
      <c r="E707" s="1"/>
      <c r="H707" s="2">
        <v>16.743788800000001</v>
      </c>
      <c r="I707" s="2">
        <v>16.4328292</v>
      </c>
      <c r="J707" s="2">
        <v>12.8966251</v>
      </c>
      <c r="L707" s="2"/>
      <c r="M707" s="2"/>
    </row>
    <row r="708" spans="2:13">
      <c r="B708" s="2"/>
      <c r="C708" s="1">
        <v>13.005226329999999</v>
      </c>
      <c r="D708" s="1">
        <v>177.55311270000001</v>
      </c>
      <c r="E708" s="1"/>
      <c r="H708" s="2">
        <v>23.964733599999999</v>
      </c>
      <c r="I708" s="2">
        <v>30.642484799999998</v>
      </c>
      <c r="J708" s="2">
        <v>20.161839799999999</v>
      </c>
      <c r="L708" s="2"/>
      <c r="M708" s="2"/>
    </row>
    <row r="709" spans="2:13">
      <c r="B709" s="2"/>
      <c r="C709" s="1">
        <v>58.752951430000003</v>
      </c>
      <c r="D709" s="1">
        <v>1.7610862620000001</v>
      </c>
      <c r="E709" s="1"/>
      <c r="H709" s="2">
        <v>38.412571300000003</v>
      </c>
      <c r="I709" s="2">
        <v>40.6545396</v>
      </c>
      <c r="J709" s="2">
        <v>26.766580399999999</v>
      </c>
      <c r="L709" s="2"/>
      <c r="M709" s="2"/>
    </row>
    <row r="710" spans="2:13">
      <c r="B710" s="2"/>
      <c r="C710" s="1">
        <v>16.120684440000002</v>
      </c>
      <c r="D710" s="1">
        <v>98.02061028</v>
      </c>
      <c r="E710" s="1"/>
      <c r="H710" s="2">
        <v>15.637449699999999</v>
      </c>
      <c r="I710" s="2">
        <v>9.4212814599999994</v>
      </c>
      <c r="J710" s="2">
        <v>11.8537713</v>
      </c>
      <c r="L710" s="2"/>
      <c r="M710" s="2"/>
    </row>
    <row r="711" spans="2:13">
      <c r="B711" s="2"/>
      <c r="C711" s="1">
        <v>38.919075630000002</v>
      </c>
      <c r="D711" s="1">
        <v>2.625139822</v>
      </c>
      <c r="E711" s="1"/>
      <c r="H711" s="2">
        <v>42.255018</v>
      </c>
      <c r="I711" s="2">
        <v>40.6545396</v>
      </c>
      <c r="J711" s="2">
        <v>28.8175262</v>
      </c>
      <c r="L711" s="2"/>
      <c r="M711" s="2"/>
    </row>
    <row r="712" spans="2:13">
      <c r="B712" s="2"/>
      <c r="C712" s="1">
        <v>77.029098169999997</v>
      </c>
      <c r="D712" s="1">
        <v>114.35847800000001</v>
      </c>
      <c r="E712" s="1"/>
      <c r="H712" s="2">
        <v>49.357001599999997</v>
      </c>
      <c r="I712" s="2">
        <v>33.720725199999997</v>
      </c>
      <c r="J712" s="2">
        <v>46.685087600000003</v>
      </c>
      <c r="L712" s="2"/>
      <c r="M712" s="2"/>
    </row>
    <row r="713" spans="2:13">
      <c r="B713" s="2"/>
      <c r="C713" s="1">
        <v>41.460951340000001</v>
      </c>
      <c r="D713" s="1">
        <v>1.3785281979999999</v>
      </c>
      <c r="E713" s="1"/>
      <c r="H713" s="2">
        <v>38.531532499999997</v>
      </c>
      <c r="I713" s="2">
        <v>28.745791100000002</v>
      </c>
      <c r="J713" s="2">
        <v>30.347045099999999</v>
      </c>
      <c r="L713" s="2"/>
      <c r="M713" s="2"/>
    </row>
    <row r="714" spans="2:13">
      <c r="B714" s="2"/>
      <c r="C714" s="1">
        <v>19.24821798</v>
      </c>
      <c r="D714" s="1">
        <v>2.7108855950000001</v>
      </c>
      <c r="E714" s="1"/>
      <c r="H714" s="2">
        <v>14.9593708</v>
      </c>
      <c r="I714" s="2">
        <v>7.6178678499999997</v>
      </c>
      <c r="J714" s="2">
        <v>10.0461581</v>
      </c>
      <c r="L714" s="2"/>
      <c r="M714" s="2"/>
    </row>
    <row r="715" spans="2:13">
      <c r="B715" s="2"/>
      <c r="C715" s="1">
        <v>9.1652430650000003</v>
      </c>
      <c r="D715" s="1">
        <v>0.62660372600000003</v>
      </c>
      <c r="E715" s="1"/>
      <c r="H715" s="2">
        <v>16.446385800000002</v>
      </c>
      <c r="I715" s="2">
        <v>20.0552031</v>
      </c>
      <c r="J715" s="2">
        <v>15.5037596</v>
      </c>
      <c r="L715" s="2"/>
      <c r="M715" s="2"/>
    </row>
    <row r="716" spans="2:13">
      <c r="B716" s="2"/>
      <c r="C716" s="1">
        <v>4.3592262799999997</v>
      </c>
      <c r="D716" s="1">
        <v>0.17149154599999999</v>
      </c>
      <c r="E716" s="1"/>
      <c r="H716" s="2">
        <v>4.5324217000000004</v>
      </c>
      <c r="I716" s="2">
        <v>3.8089339199999999</v>
      </c>
      <c r="J716" s="2">
        <v>3.5109410699999999</v>
      </c>
      <c r="L716" s="2"/>
      <c r="M716" s="2"/>
    </row>
    <row r="717" spans="2:13">
      <c r="B717" s="2"/>
      <c r="C717" s="1">
        <v>12.443719339999999</v>
      </c>
      <c r="D717" s="1">
        <v>1.088311735</v>
      </c>
      <c r="E717" s="1"/>
      <c r="H717" s="2">
        <v>15.2329816</v>
      </c>
      <c r="I717" s="2">
        <v>12.577255299999999</v>
      </c>
      <c r="J717" s="2">
        <v>11.8190095</v>
      </c>
      <c r="L717" s="2"/>
      <c r="M717" s="2"/>
    </row>
    <row r="718" spans="2:13">
      <c r="B718" s="2"/>
      <c r="C718" s="1">
        <v>10.9584428</v>
      </c>
      <c r="D718" s="1">
        <v>0.44192052300000001</v>
      </c>
      <c r="E718" s="1"/>
      <c r="H718" s="2">
        <v>10.896845900000001</v>
      </c>
      <c r="I718" s="2">
        <v>7.7733345399999996</v>
      </c>
      <c r="J718" s="2">
        <v>7.6475944</v>
      </c>
      <c r="L718" s="2"/>
      <c r="M718" s="2"/>
    </row>
    <row r="719" spans="2:13">
      <c r="B719" s="2"/>
      <c r="C719" s="1">
        <v>54.689572920000003</v>
      </c>
      <c r="D719" s="1">
        <v>2.1568359840000002</v>
      </c>
      <c r="E719" s="1"/>
      <c r="H719" s="2">
        <v>52.134745600000002</v>
      </c>
      <c r="I719" s="2">
        <v>33.922831899999998</v>
      </c>
      <c r="J719" s="2">
        <v>44.7036655</v>
      </c>
      <c r="L719" s="2"/>
      <c r="M719" s="2"/>
    </row>
    <row r="720" spans="2:13">
      <c r="B720" s="2"/>
      <c r="C720" s="1">
        <v>22.973484760000002</v>
      </c>
      <c r="D720" s="1">
        <v>0.90362853200000004</v>
      </c>
      <c r="E720" s="1"/>
      <c r="H720" s="2">
        <v>18.879142300000002</v>
      </c>
      <c r="I720" s="2">
        <v>21.221203299999999</v>
      </c>
      <c r="J720" s="2">
        <v>16.3728044</v>
      </c>
      <c r="L720" s="2"/>
      <c r="M720" s="2"/>
    </row>
    <row r="721" spans="2:13">
      <c r="B721" s="2"/>
      <c r="C721" s="1">
        <v>41.70245972</v>
      </c>
      <c r="D721" s="1">
        <v>1.371932369</v>
      </c>
      <c r="E721" s="1"/>
      <c r="H721" s="2">
        <v>27.7298556</v>
      </c>
      <c r="I721" s="2">
        <v>13.7588021</v>
      </c>
      <c r="J721" s="2">
        <v>20.961361</v>
      </c>
      <c r="L721" s="2"/>
      <c r="M721" s="2"/>
    </row>
    <row r="722" spans="2:13">
      <c r="B722" s="2"/>
      <c r="C722" s="1">
        <v>8.3561899880000006</v>
      </c>
      <c r="D722" s="1">
        <v>0.18468320399999999</v>
      </c>
      <c r="E722" s="1"/>
      <c r="H722" s="2">
        <v>10.9801187</v>
      </c>
      <c r="I722" s="2">
        <v>7.8510678900000004</v>
      </c>
      <c r="J722" s="2">
        <v>5.1447453200000002</v>
      </c>
      <c r="L722" s="2"/>
      <c r="M722" s="2"/>
    </row>
    <row r="723" spans="2:13">
      <c r="B723" s="2"/>
      <c r="C723" s="1">
        <v>5.2165810329999998</v>
      </c>
      <c r="D723" s="1">
        <v>0.26383314800000002</v>
      </c>
      <c r="E723" s="1"/>
      <c r="H723" s="2">
        <v>11.4857038</v>
      </c>
      <c r="I723" s="2">
        <v>11.7221885</v>
      </c>
      <c r="J723" s="2">
        <v>12.166627500000001</v>
      </c>
      <c r="L723" s="2"/>
      <c r="M723" s="2"/>
    </row>
    <row r="724" spans="2:13">
      <c r="B724" s="2"/>
      <c r="C724" s="1">
        <v>70.441957079999995</v>
      </c>
      <c r="D724" s="1">
        <v>2.2953483870000002</v>
      </c>
      <c r="E724" s="1"/>
      <c r="H724" s="2">
        <v>44.866216399999999</v>
      </c>
      <c r="I724" s="2">
        <v>23.864136999999999</v>
      </c>
      <c r="J724" s="2">
        <v>48.6665098</v>
      </c>
      <c r="L724" s="2"/>
      <c r="M724" s="2"/>
    </row>
    <row r="725" spans="2:13">
      <c r="B725" s="2"/>
      <c r="C725" s="1">
        <v>45.119803310000002</v>
      </c>
      <c r="D725" s="1">
        <v>1.7610862620000001</v>
      </c>
      <c r="E725" s="1"/>
      <c r="H725" s="2">
        <v>34.944852300000001</v>
      </c>
      <c r="I725" s="2">
        <v>19.7287231</v>
      </c>
      <c r="J725" s="2">
        <v>33.788462500000001</v>
      </c>
      <c r="L725" s="2"/>
      <c r="M725" s="2"/>
    </row>
    <row r="726" spans="2:13">
      <c r="B726" s="2"/>
      <c r="C726" s="1">
        <v>4.0935670609999999</v>
      </c>
      <c r="D726" s="1">
        <v>0.310003949</v>
      </c>
      <c r="E726" s="1"/>
      <c r="H726" s="2">
        <v>3.0513547600000002</v>
      </c>
      <c r="I726" s="2">
        <v>2.12989366</v>
      </c>
      <c r="J726" s="2">
        <v>2.1899929400000002</v>
      </c>
      <c r="L726" s="2"/>
      <c r="M726" s="2"/>
    </row>
    <row r="727" spans="2:13">
      <c r="B727" s="2"/>
      <c r="C727" s="1">
        <v>6.9554413779999997</v>
      </c>
      <c r="D727" s="1">
        <v>0.67937035599999995</v>
      </c>
      <c r="E727" s="1"/>
      <c r="H727" s="2">
        <v>18.593635500000001</v>
      </c>
      <c r="I727" s="2">
        <v>12.826002000000001</v>
      </c>
      <c r="J727" s="2">
        <v>13.800431700000001</v>
      </c>
      <c r="L727" s="2"/>
      <c r="M727" s="2"/>
    </row>
    <row r="728" spans="2:13">
      <c r="B728" s="2"/>
      <c r="C728" s="1">
        <v>47.957526790000003</v>
      </c>
      <c r="D728" s="1">
        <v>1.576403059</v>
      </c>
      <c r="E728" s="1"/>
      <c r="H728" s="2">
        <v>27.3194394</v>
      </c>
      <c r="I728" s="2">
        <v>21.703150000000001</v>
      </c>
      <c r="J728" s="2">
        <v>21.552311499999998</v>
      </c>
      <c r="L728" s="2"/>
      <c r="M728" s="2"/>
    </row>
    <row r="729" spans="2:13">
      <c r="B729" s="2"/>
      <c r="C729" s="1">
        <v>12.316927440000001</v>
      </c>
      <c r="D729" s="1">
        <v>0.95639516099999999</v>
      </c>
      <c r="E729" s="1"/>
      <c r="H729" s="2">
        <v>27.372972000000001</v>
      </c>
      <c r="I729" s="2">
        <v>20.474963200000001</v>
      </c>
      <c r="J729" s="2">
        <v>22.0042148</v>
      </c>
      <c r="L729" s="2"/>
      <c r="M729" s="2"/>
    </row>
    <row r="730" spans="2:13">
      <c r="B730" s="2"/>
      <c r="C730" s="1">
        <v>36.171917790000002</v>
      </c>
      <c r="D730" s="1">
        <v>9.6101224129999991</v>
      </c>
      <c r="E730" s="1"/>
      <c r="H730" s="2">
        <v>36.455659599999997</v>
      </c>
      <c r="I730" s="2">
        <v>22.527123499999998</v>
      </c>
      <c r="J730" s="2">
        <v>29.026096899999999</v>
      </c>
      <c r="L730" s="2"/>
      <c r="M730" s="2"/>
    </row>
    <row r="731" spans="2:13">
      <c r="B731" s="2"/>
      <c r="C731" s="1">
        <v>8.8271313320000004</v>
      </c>
      <c r="D731" s="1">
        <v>0.30340812</v>
      </c>
      <c r="E731" s="1"/>
      <c r="H731" s="2">
        <v>8.0834135000000007</v>
      </c>
      <c r="I731" s="2">
        <v>5.62789421</v>
      </c>
      <c r="J731" s="2">
        <v>7.6475944</v>
      </c>
      <c r="L731" s="2"/>
      <c r="M731" s="2"/>
    </row>
    <row r="732" spans="2:13">
      <c r="B732" s="2"/>
      <c r="C732" s="1">
        <v>24.174988949999999</v>
      </c>
      <c r="D732" s="1">
        <v>1.0817159059999999</v>
      </c>
      <c r="E732" s="1"/>
      <c r="H732" s="2">
        <v>16.505866399999999</v>
      </c>
      <c r="I732" s="2">
        <v>16.370642499999999</v>
      </c>
      <c r="J732" s="2">
        <v>12.583769</v>
      </c>
      <c r="L732" s="2"/>
      <c r="M732" s="2"/>
    </row>
    <row r="733" spans="2:13">
      <c r="B733" s="2"/>
      <c r="C733" s="1">
        <v>10.28825704</v>
      </c>
      <c r="D733" s="1">
        <v>0.55404961100000005</v>
      </c>
      <c r="E733" s="1"/>
      <c r="H733" s="2">
        <v>9.0469992099999992</v>
      </c>
      <c r="I733" s="2">
        <v>5.3480541600000002</v>
      </c>
      <c r="J733" s="2">
        <v>7.5433090199999997</v>
      </c>
      <c r="L733" s="2"/>
      <c r="M733" s="2"/>
    </row>
    <row r="734" spans="2:13">
      <c r="B734" s="2"/>
      <c r="C734" s="1">
        <v>5.089789133</v>
      </c>
      <c r="D734" s="1">
        <v>8.5745772999999997E-2</v>
      </c>
      <c r="E734" s="1"/>
      <c r="H734" s="2">
        <v>4.8476688799999996</v>
      </c>
      <c r="I734" s="2">
        <v>5.8610942399999999</v>
      </c>
      <c r="J734" s="2">
        <v>4.0671297500000003</v>
      </c>
      <c r="L734" s="2"/>
      <c r="M734" s="2"/>
    </row>
    <row r="735" spans="2:13">
      <c r="B735" s="2"/>
      <c r="C735" s="1">
        <v>9.2618464179999993</v>
      </c>
      <c r="D735" s="1">
        <v>0.145108231</v>
      </c>
      <c r="E735" s="1"/>
      <c r="H735" s="2">
        <v>4.8357727600000002</v>
      </c>
      <c r="I735" s="2">
        <v>4.6484540499999998</v>
      </c>
      <c r="J735" s="2">
        <v>4.7971273999999999</v>
      </c>
      <c r="L735" s="2"/>
      <c r="M735" s="2"/>
    </row>
    <row r="736" spans="2:13">
      <c r="B736" s="2"/>
      <c r="C736" s="1">
        <v>78.894750419999994</v>
      </c>
      <c r="D736" s="1">
        <v>4.0300513340000004</v>
      </c>
      <c r="E736" s="1"/>
      <c r="H736" s="2">
        <v>54.888697399999998</v>
      </c>
      <c r="I736" s="2">
        <v>55.392781900000003</v>
      </c>
      <c r="J736" s="2">
        <v>52.003641899999998</v>
      </c>
      <c r="L736" s="2"/>
      <c r="M736" s="2"/>
    </row>
    <row r="737" spans="2:13">
      <c r="B737" s="2"/>
      <c r="C737" s="1">
        <v>31.860993189999999</v>
      </c>
      <c r="D737" s="1">
        <v>1.6423613459999999</v>
      </c>
      <c r="E737" s="1"/>
      <c r="H737" s="2">
        <v>18.896986500000001</v>
      </c>
      <c r="I737" s="2">
        <v>11.8776552</v>
      </c>
      <c r="J737" s="2">
        <v>19.605651099999999</v>
      </c>
      <c r="L737" s="2"/>
      <c r="M737" s="2"/>
    </row>
    <row r="738" spans="2:13">
      <c r="B738" s="2"/>
      <c r="C738" s="1">
        <v>21.50632134</v>
      </c>
      <c r="D738" s="1">
        <v>3.891538932</v>
      </c>
      <c r="E738" s="1"/>
      <c r="H738" s="2">
        <v>68.2718323</v>
      </c>
      <c r="I738" s="2">
        <v>63.803529900000001</v>
      </c>
      <c r="J738" s="2">
        <v>64.7612199</v>
      </c>
      <c r="L738" s="2"/>
      <c r="M738" s="2"/>
    </row>
    <row r="739" spans="2:13">
      <c r="B739" s="2"/>
      <c r="C739" s="1">
        <v>91.761109419999997</v>
      </c>
      <c r="D739" s="1">
        <v>7.4071156269999996</v>
      </c>
      <c r="E739" s="1"/>
      <c r="H739" s="2">
        <v>143.78840199999999</v>
      </c>
      <c r="I739" s="2">
        <v>168.106133</v>
      </c>
      <c r="J739" s="2">
        <v>136.787654</v>
      </c>
      <c r="L739" s="2"/>
      <c r="M739" s="2"/>
    </row>
    <row r="740" spans="2:13">
      <c r="B740" s="2"/>
      <c r="C740" s="1">
        <v>37.02323483</v>
      </c>
      <c r="D740" s="1">
        <v>470.4870568</v>
      </c>
      <c r="E740" s="1"/>
      <c r="H740" s="2">
        <v>33.630331099999999</v>
      </c>
      <c r="I740" s="2">
        <v>33.036671800000001</v>
      </c>
      <c r="J740" s="2">
        <v>28.782764400000001</v>
      </c>
      <c r="L740" s="2"/>
      <c r="M740" s="2"/>
    </row>
    <row r="741" spans="2:13">
      <c r="B741" s="2"/>
      <c r="C741" s="1">
        <v>14.436163479999999</v>
      </c>
      <c r="D741" s="1">
        <v>169.80301399999999</v>
      </c>
      <c r="E741" s="1"/>
      <c r="H741" s="2">
        <v>11.919912200000001</v>
      </c>
      <c r="I741" s="2">
        <v>12.732722000000001</v>
      </c>
      <c r="J741" s="2">
        <v>11.054250100000001</v>
      </c>
      <c r="L741" s="2"/>
      <c r="M741" s="2"/>
    </row>
    <row r="742" spans="2:13">
      <c r="B742" s="2"/>
      <c r="C742" s="1">
        <v>30.876846530000002</v>
      </c>
      <c r="D742" s="1">
        <v>1.127886707</v>
      </c>
      <c r="E742" s="1"/>
      <c r="H742" s="2">
        <v>17.975037199999999</v>
      </c>
      <c r="I742" s="2">
        <v>32.041685000000001</v>
      </c>
      <c r="J742" s="2">
        <v>10.1156817</v>
      </c>
      <c r="L742" s="2"/>
      <c r="M742" s="2"/>
    </row>
    <row r="743" spans="2:13">
      <c r="B743" s="2"/>
      <c r="C743" s="1">
        <v>26.02252807</v>
      </c>
      <c r="D743" s="1">
        <v>1.1146950499999999</v>
      </c>
      <c r="E743" s="1"/>
      <c r="H743" s="2">
        <v>22.8464983</v>
      </c>
      <c r="I743" s="2">
        <v>16.448375899999998</v>
      </c>
      <c r="J743" s="2">
        <v>22.525641700000001</v>
      </c>
      <c r="L743" s="2"/>
      <c r="M743" s="2"/>
    </row>
    <row r="744" spans="2:13">
      <c r="B744" s="2"/>
      <c r="C744" s="1">
        <v>13.621072699999999</v>
      </c>
      <c r="D744" s="1">
        <v>1.121290879</v>
      </c>
      <c r="E744" s="1"/>
      <c r="H744" s="2">
        <v>22.769173599999998</v>
      </c>
      <c r="I744" s="2">
        <v>14.7071489</v>
      </c>
      <c r="J744" s="2">
        <v>18.6323209</v>
      </c>
      <c r="L744" s="2"/>
      <c r="M744" s="2"/>
    </row>
    <row r="745" spans="2:13">
      <c r="B745" s="2"/>
      <c r="C745" s="1">
        <v>8.1810964120000005</v>
      </c>
      <c r="D745" s="1">
        <v>0.87064938800000002</v>
      </c>
      <c r="E745" s="1"/>
      <c r="H745" s="2">
        <v>29.514273599999999</v>
      </c>
      <c r="I745" s="2">
        <v>18.998029599999999</v>
      </c>
      <c r="J745" s="2">
        <v>19.883745399999999</v>
      </c>
      <c r="L745" s="2"/>
      <c r="M745" s="2"/>
    </row>
    <row r="746" spans="2:13">
      <c r="B746" s="2"/>
      <c r="C746" s="1">
        <v>14.46031432</v>
      </c>
      <c r="D746" s="1">
        <v>0.63319955500000003</v>
      </c>
      <c r="E746" s="1"/>
      <c r="H746" s="2">
        <v>14.3586168</v>
      </c>
      <c r="I746" s="2">
        <v>16.324002499999999</v>
      </c>
      <c r="J746" s="2">
        <v>10.1852053</v>
      </c>
      <c r="L746" s="2"/>
      <c r="M746" s="2"/>
    </row>
    <row r="747" spans="2:13">
      <c r="B747" s="2"/>
      <c r="C747" s="1">
        <v>12.956924649999999</v>
      </c>
      <c r="D747" s="1">
        <v>1.0949075640000001</v>
      </c>
      <c r="E747" s="1"/>
      <c r="H747" s="2">
        <v>23.209330000000001</v>
      </c>
      <c r="I747" s="2">
        <v>19.542162999999999</v>
      </c>
      <c r="J747" s="2">
        <v>21.204693599999999</v>
      </c>
      <c r="L747" s="2"/>
      <c r="M747" s="2"/>
    </row>
    <row r="748" spans="2:13">
      <c r="B748" s="2"/>
      <c r="C748" s="1">
        <v>18.475391160000001</v>
      </c>
      <c r="D748" s="1">
        <v>0.93001184599999998</v>
      </c>
      <c r="E748" s="1"/>
      <c r="H748" s="2">
        <v>37.651219599999997</v>
      </c>
      <c r="I748" s="2">
        <v>45.5517404</v>
      </c>
      <c r="J748" s="2">
        <v>41.3665333</v>
      </c>
      <c r="L748" s="2"/>
      <c r="M748" s="2"/>
    </row>
    <row r="749" spans="2:13">
      <c r="B749" s="2"/>
      <c r="C749" s="1">
        <v>15.861062929999999</v>
      </c>
      <c r="D749" s="1">
        <v>0.63979538400000002</v>
      </c>
      <c r="E749" s="1"/>
      <c r="H749" s="2">
        <v>13.9065642</v>
      </c>
      <c r="I749" s="2">
        <v>16.1529892</v>
      </c>
      <c r="J749" s="2">
        <v>10.949964700000001</v>
      </c>
      <c r="L749" s="2"/>
      <c r="M749" s="2"/>
    </row>
    <row r="750" spans="2:13">
      <c r="B750" s="2"/>
      <c r="C750" s="1">
        <v>66.481219629999998</v>
      </c>
      <c r="D750" s="1">
        <v>4.4060135699999998</v>
      </c>
      <c r="E750" s="1"/>
      <c r="H750" s="2">
        <v>54.454489000000002</v>
      </c>
      <c r="I750" s="2">
        <v>45.536193699999998</v>
      </c>
      <c r="J750" s="2">
        <v>64.865505200000001</v>
      </c>
      <c r="L750" s="2"/>
      <c r="M750" s="2"/>
    </row>
    <row r="751" spans="2:13">
      <c r="B751" s="2"/>
      <c r="C751" s="1">
        <v>11.38108246</v>
      </c>
      <c r="D751" s="1">
        <v>65.767007939999999</v>
      </c>
      <c r="E751" s="1"/>
      <c r="H751" s="2">
        <v>20.152027199999999</v>
      </c>
      <c r="I751" s="2">
        <v>21.127923299999999</v>
      </c>
      <c r="J751" s="2">
        <v>12.3404364</v>
      </c>
      <c r="L751" s="2"/>
      <c r="M751" s="2"/>
    </row>
    <row r="752" spans="2:13">
      <c r="B752" s="2"/>
      <c r="C752" s="1">
        <v>8.3441145690000003</v>
      </c>
      <c r="D752" s="1">
        <v>0.244045662</v>
      </c>
      <c r="E752" s="1"/>
      <c r="H752" s="2">
        <v>5.8647871299999998</v>
      </c>
      <c r="I752" s="2">
        <v>4.8039207499999996</v>
      </c>
      <c r="J752" s="2">
        <v>3.9280825799999999</v>
      </c>
      <c r="L752" s="2"/>
      <c r="M752" s="2"/>
    </row>
    <row r="753" spans="2:13">
      <c r="B753" s="2"/>
      <c r="C753" s="1">
        <v>35.767391250000003</v>
      </c>
      <c r="D753" s="1">
        <v>1.187249166</v>
      </c>
      <c r="E753" s="1"/>
      <c r="H753" s="2">
        <v>26.302321200000002</v>
      </c>
      <c r="I753" s="2">
        <v>31.2177115</v>
      </c>
      <c r="J753" s="2">
        <v>23.7770662</v>
      </c>
      <c r="L753" s="2"/>
      <c r="M753" s="2"/>
    </row>
    <row r="754" spans="2:13">
      <c r="B754" s="2"/>
      <c r="C754" s="1">
        <v>23.776500129999999</v>
      </c>
      <c r="D754" s="1">
        <v>0.83107441599999998</v>
      </c>
      <c r="E754" s="1"/>
      <c r="H754" s="2">
        <v>12.199471000000001</v>
      </c>
      <c r="I754" s="2">
        <v>9.1103480799999996</v>
      </c>
      <c r="J754" s="2">
        <v>8.7947335599999992</v>
      </c>
      <c r="L754" s="2"/>
      <c r="M754" s="2"/>
    </row>
    <row r="755" spans="2:13">
      <c r="B755" s="2"/>
      <c r="C755" s="1">
        <v>1.110938553</v>
      </c>
      <c r="D755" s="1">
        <v>1.3191657000000001E-2</v>
      </c>
      <c r="E755" s="1"/>
      <c r="H755" s="2">
        <v>1.47511887</v>
      </c>
      <c r="I755" s="2">
        <v>0.99498682000000005</v>
      </c>
      <c r="J755" s="2">
        <v>0.90380660999999995</v>
      </c>
      <c r="L755" s="2"/>
      <c r="M755" s="2"/>
    </row>
    <row r="756" spans="2:13">
      <c r="B756" s="2"/>
      <c r="C756" s="1">
        <v>18.390863230000001</v>
      </c>
      <c r="D756" s="1">
        <v>0.54745378200000006</v>
      </c>
      <c r="E756" s="1"/>
      <c r="H756" s="2">
        <v>30.109079600000001</v>
      </c>
      <c r="I756" s="2">
        <v>19.433336300000001</v>
      </c>
      <c r="J756" s="2">
        <v>19.8489836</v>
      </c>
      <c r="L756" s="2"/>
      <c r="M756" s="2"/>
    </row>
    <row r="757" spans="2:13">
      <c r="B757" s="2"/>
      <c r="C757" s="1">
        <v>22.36971381</v>
      </c>
      <c r="D757" s="1">
        <v>1.556615573</v>
      </c>
      <c r="E757" s="1"/>
      <c r="H757" s="2">
        <v>33.951526299999998</v>
      </c>
      <c r="I757" s="2">
        <v>24.890217199999999</v>
      </c>
      <c r="J757" s="2">
        <v>24.8894436</v>
      </c>
      <c r="L757" s="2"/>
      <c r="M757" s="2"/>
    </row>
    <row r="758" spans="2:13">
      <c r="B758" s="2"/>
      <c r="C758" s="1">
        <v>4.4196033750000003</v>
      </c>
      <c r="D758" s="1">
        <v>0.21766234700000001</v>
      </c>
      <c r="E758" s="1"/>
      <c r="H758" s="2">
        <v>4.27665512</v>
      </c>
      <c r="I758" s="2">
        <v>3.4047205300000001</v>
      </c>
      <c r="J758" s="2">
        <v>2.0857075599999999</v>
      </c>
      <c r="L758" s="2"/>
      <c r="M758" s="2"/>
    </row>
    <row r="759" spans="2:13">
      <c r="B759" s="2"/>
      <c r="C759" s="1">
        <v>32.259482009999999</v>
      </c>
      <c r="D759" s="1">
        <v>1.9391736369999999</v>
      </c>
      <c r="E759" s="1"/>
      <c r="H759" s="2">
        <v>31.048873</v>
      </c>
      <c r="I759" s="2">
        <v>35.461952199999999</v>
      </c>
      <c r="J759" s="2">
        <v>25.167537899999999</v>
      </c>
      <c r="L759" s="2"/>
      <c r="M759" s="2"/>
    </row>
    <row r="760" spans="2:13">
      <c r="B760" s="2"/>
      <c r="C760" s="1">
        <v>96.506749110000001</v>
      </c>
      <c r="D760" s="1">
        <v>262.88994439999999</v>
      </c>
      <c r="E760" s="1"/>
      <c r="H760" s="2">
        <v>94.0626204</v>
      </c>
      <c r="I760" s="2">
        <v>51.817048</v>
      </c>
      <c r="J760" s="2">
        <v>70.010250600000006</v>
      </c>
      <c r="L760" s="2"/>
      <c r="M760" s="2"/>
    </row>
    <row r="761" spans="2:13">
      <c r="B761" s="2"/>
      <c r="C761" s="1">
        <v>35.030790690000003</v>
      </c>
      <c r="D761" s="1">
        <v>1.0421409340000001</v>
      </c>
      <c r="E761" s="1"/>
      <c r="H761" s="2">
        <v>36.907712099999998</v>
      </c>
      <c r="I761" s="2">
        <v>23.0090702</v>
      </c>
      <c r="J761" s="2">
        <v>27.600863400000001</v>
      </c>
      <c r="L761" s="2"/>
      <c r="M761" s="2"/>
    </row>
    <row r="762" spans="2:13">
      <c r="B762" s="2"/>
      <c r="C762" s="1">
        <v>27.236107690000001</v>
      </c>
      <c r="D762" s="1">
        <v>2.2491775860000001</v>
      </c>
      <c r="E762" s="1"/>
      <c r="H762" s="2">
        <v>93.872282400000003</v>
      </c>
      <c r="I762" s="2">
        <v>114.423484</v>
      </c>
      <c r="J762" s="2">
        <v>78.561651600000005</v>
      </c>
      <c r="L762" s="2"/>
      <c r="M762" s="2"/>
    </row>
    <row r="763" spans="2:13">
      <c r="B763" s="2"/>
      <c r="C763" s="1">
        <v>2.5479134210000001</v>
      </c>
      <c r="D763" s="1">
        <v>0.13851240300000001</v>
      </c>
      <c r="E763" s="1"/>
      <c r="H763" s="2">
        <v>2.8848090900000001</v>
      </c>
      <c r="I763" s="2">
        <v>2.6740270800000001</v>
      </c>
      <c r="J763" s="2">
        <v>2.3985637</v>
      </c>
      <c r="L763" s="2"/>
      <c r="M763" s="2"/>
    </row>
    <row r="764" spans="2:13">
      <c r="B764" s="2"/>
      <c r="C764" s="1">
        <v>22.64141073</v>
      </c>
      <c r="D764" s="1">
        <v>0.73213698500000002</v>
      </c>
      <c r="E764" s="1"/>
      <c r="H764" s="2">
        <v>15.958644899999999</v>
      </c>
      <c r="I764" s="2">
        <v>11.4578951</v>
      </c>
      <c r="J764" s="2">
        <v>12.166627500000001</v>
      </c>
      <c r="L764" s="2"/>
      <c r="M764" s="2"/>
    </row>
    <row r="765" spans="2:13">
      <c r="B765" s="2"/>
      <c r="C765" s="1">
        <v>57.29786343</v>
      </c>
      <c r="D765" s="1">
        <v>7.3807323130000002</v>
      </c>
      <c r="E765" s="1"/>
      <c r="H765" s="2">
        <v>75.825868499999999</v>
      </c>
      <c r="I765" s="2">
        <v>63.663609899999997</v>
      </c>
      <c r="J765" s="2">
        <v>54.8541089</v>
      </c>
      <c r="L765" s="2"/>
      <c r="M765" s="2"/>
    </row>
    <row r="766" spans="2:13">
      <c r="B766" s="2"/>
      <c r="C766" s="1">
        <v>76.081177780000004</v>
      </c>
      <c r="D766" s="1">
        <v>25.63798615</v>
      </c>
      <c r="E766" s="1"/>
      <c r="H766" s="2">
        <v>53.889423299999997</v>
      </c>
      <c r="I766" s="2">
        <v>43.437393399999998</v>
      </c>
      <c r="J766" s="2">
        <v>48.840318799999999</v>
      </c>
      <c r="L766" s="2"/>
      <c r="M766" s="2"/>
    </row>
    <row r="767" spans="2:13">
      <c r="B767" s="2"/>
      <c r="C767" s="1">
        <v>59.042761489999997</v>
      </c>
      <c r="D767" s="1">
        <v>124.70073739999999</v>
      </c>
      <c r="E767" s="1"/>
      <c r="H767" s="2">
        <v>170.971036</v>
      </c>
      <c r="I767" s="2">
        <v>196.86747099999999</v>
      </c>
      <c r="J767" s="2">
        <v>134.110996</v>
      </c>
      <c r="L767" s="2"/>
      <c r="M767" s="2"/>
    </row>
    <row r="768" spans="2:13">
      <c r="B768" s="2"/>
      <c r="C768" s="1">
        <v>73.702320220000004</v>
      </c>
      <c r="D768" s="1">
        <v>317.70128089999997</v>
      </c>
      <c r="E768" s="1"/>
      <c r="H768" s="2">
        <v>50.213522300000001</v>
      </c>
      <c r="I768" s="2">
        <v>68.794010700000001</v>
      </c>
      <c r="J768" s="2">
        <v>51.760309399999997</v>
      </c>
      <c r="L768" s="2"/>
      <c r="M768" s="2"/>
    </row>
    <row r="769" spans="2:13">
      <c r="B769" s="2"/>
      <c r="C769" s="1">
        <v>22.864805990000001</v>
      </c>
      <c r="D769" s="1">
        <v>1.846832035</v>
      </c>
      <c r="E769" s="1"/>
      <c r="H769" s="2">
        <v>25.963281800000001</v>
      </c>
      <c r="I769" s="2">
        <v>20.785896600000001</v>
      </c>
      <c r="J769" s="2">
        <v>19.431842100000001</v>
      </c>
      <c r="L769" s="2"/>
      <c r="M769" s="2"/>
    </row>
    <row r="770" spans="2:13">
      <c r="B770" s="2"/>
      <c r="C770" s="1">
        <v>29.63307837</v>
      </c>
      <c r="D770" s="1">
        <v>1.4444864850000001</v>
      </c>
      <c r="E770" s="1"/>
      <c r="H770" s="2">
        <v>28.455518900000001</v>
      </c>
      <c r="I770" s="2">
        <v>62.839636400000003</v>
      </c>
      <c r="J770" s="2">
        <v>28.4003847</v>
      </c>
      <c r="L770" s="2"/>
      <c r="M770" s="2"/>
    </row>
    <row r="771" spans="2:13">
      <c r="B771" s="2"/>
      <c r="C771" s="1">
        <v>110.5021598</v>
      </c>
      <c r="D771" s="1">
        <v>5.124958898</v>
      </c>
      <c r="E771" s="1"/>
      <c r="H771" s="2">
        <v>79.347120000000004</v>
      </c>
      <c r="I771" s="2">
        <v>53.122968200000003</v>
      </c>
      <c r="J771" s="2">
        <v>83.0459228</v>
      </c>
      <c r="L771" s="2"/>
      <c r="M771" s="2"/>
    </row>
    <row r="772" spans="2:13">
      <c r="B772" s="2"/>
      <c r="C772" s="1">
        <v>37.84436333</v>
      </c>
      <c r="D772" s="1">
        <v>1.827044549</v>
      </c>
      <c r="E772" s="1"/>
      <c r="H772" s="2">
        <v>30.7336259</v>
      </c>
      <c r="I772" s="2">
        <v>27.362137600000001</v>
      </c>
      <c r="J772" s="2">
        <v>27.983243099999999</v>
      </c>
      <c r="L772" s="2"/>
      <c r="M772" s="2"/>
    </row>
    <row r="773" spans="2:13">
      <c r="B773" s="2"/>
      <c r="C773" s="1">
        <v>275.24710199999998</v>
      </c>
      <c r="D773" s="1">
        <v>21.990492880000001</v>
      </c>
      <c r="E773" s="1"/>
      <c r="H773" s="2">
        <v>232.34906699999999</v>
      </c>
      <c r="I773" s="2">
        <v>345.71127999999999</v>
      </c>
      <c r="J773" s="2">
        <v>201.51411200000001</v>
      </c>
      <c r="L773" s="2"/>
      <c r="M773" s="2"/>
    </row>
    <row r="774" spans="2:13">
      <c r="B774" s="2"/>
      <c r="C774" s="1">
        <v>14.07993862</v>
      </c>
      <c r="D774" s="1">
        <v>0.857457731</v>
      </c>
      <c r="E774" s="1"/>
      <c r="H774" s="2">
        <v>44.217877799999997</v>
      </c>
      <c r="I774" s="2">
        <v>32.865658400000001</v>
      </c>
      <c r="J774" s="2">
        <v>39.0374932</v>
      </c>
      <c r="L774" s="2"/>
      <c r="M774" s="2"/>
    </row>
    <row r="775" spans="2:13">
      <c r="B775" s="2"/>
      <c r="C775" s="1">
        <v>24.168951249999999</v>
      </c>
      <c r="D775" s="1">
        <v>158.51095530000001</v>
      </c>
      <c r="E775" s="1"/>
      <c r="H775" s="2">
        <v>13.008407200000001</v>
      </c>
      <c r="I775" s="2">
        <v>8.6439480100000008</v>
      </c>
      <c r="J775" s="2">
        <v>8.4818774300000008</v>
      </c>
      <c r="L775" s="2"/>
      <c r="M775" s="2"/>
    </row>
    <row r="776" spans="2:13">
      <c r="B776" s="2"/>
      <c r="C776" s="1">
        <v>111.20253409999999</v>
      </c>
      <c r="D776" s="1">
        <v>18.046187320000001</v>
      </c>
      <c r="E776" s="1"/>
      <c r="H776" s="2">
        <v>112.44807400000001</v>
      </c>
      <c r="I776" s="2">
        <v>113.148658</v>
      </c>
      <c r="J776" s="2">
        <v>87.043529000000007</v>
      </c>
      <c r="L776" s="2"/>
      <c r="M776" s="2"/>
    </row>
    <row r="777" spans="2:13">
      <c r="B777" s="2"/>
      <c r="C777" s="1">
        <v>103.2387952</v>
      </c>
      <c r="D777" s="1">
        <v>7.1696657940000001</v>
      </c>
      <c r="E777" s="1"/>
      <c r="H777" s="2">
        <v>106.529754</v>
      </c>
      <c r="I777" s="2">
        <v>67.596917199999993</v>
      </c>
      <c r="J777" s="2">
        <v>85.6530573</v>
      </c>
      <c r="L777" s="2"/>
      <c r="M777" s="2"/>
    </row>
    <row r="778" spans="2:13">
      <c r="B778" s="2"/>
      <c r="C778" s="1">
        <v>16.935775230000001</v>
      </c>
      <c r="D778" s="1">
        <v>0.310003949</v>
      </c>
      <c r="E778" s="1"/>
      <c r="H778" s="2">
        <v>9.4038828100000007</v>
      </c>
      <c r="I778" s="2">
        <v>11.4112551</v>
      </c>
      <c r="J778" s="2">
        <v>7.05664392</v>
      </c>
      <c r="L778" s="2"/>
      <c r="M778" s="2"/>
    </row>
    <row r="779" spans="2:13">
      <c r="B779" s="2"/>
      <c r="C779" s="1">
        <v>163.57362660000001</v>
      </c>
      <c r="D779" s="1">
        <v>10.038851279999999</v>
      </c>
      <c r="E779" s="1"/>
      <c r="H779" s="2">
        <v>139.630708</v>
      </c>
      <c r="I779" s="2">
        <v>189.56053600000001</v>
      </c>
      <c r="J779" s="2">
        <v>141.13287800000001</v>
      </c>
      <c r="L779" s="2"/>
      <c r="M779" s="2"/>
    </row>
    <row r="780" spans="2:13">
      <c r="B780" s="2"/>
      <c r="C780" s="1">
        <v>73.967979439999993</v>
      </c>
      <c r="D780" s="1">
        <v>4.5049510010000002</v>
      </c>
      <c r="E780" s="1"/>
      <c r="H780" s="2">
        <v>59.605508999999998</v>
      </c>
      <c r="I780" s="2">
        <v>54.693181799999998</v>
      </c>
      <c r="J780" s="2">
        <v>40.045585199999998</v>
      </c>
      <c r="L780" s="2"/>
      <c r="M780" s="2"/>
    </row>
    <row r="781" spans="2:13">
      <c r="B781" s="2"/>
      <c r="C781" s="1">
        <v>22.744051800000001</v>
      </c>
      <c r="D781" s="1">
        <v>110.8692846</v>
      </c>
      <c r="E781" s="1"/>
      <c r="H781" s="2">
        <v>18.766129200000002</v>
      </c>
      <c r="I781" s="2">
        <v>20.303949800000002</v>
      </c>
      <c r="J781" s="2">
        <v>19.779460100000001</v>
      </c>
      <c r="L781" s="2"/>
      <c r="M781" s="2"/>
    </row>
    <row r="782" spans="2:13">
      <c r="B782" s="2"/>
      <c r="C782" s="1">
        <v>152.3495246</v>
      </c>
      <c r="D782" s="1">
        <v>10.612688370000001</v>
      </c>
      <c r="E782" s="1"/>
      <c r="H782" s="2">
        <v>171.066205</v>
      </c>
      <c r="I782" s="2">
        <v>120.424499</v>
      </c>
      <c r="J782" s="2">
        <v>221.32833400000001</v>
      </c>
      <c r="L782" s="2"/>
      <c r="M782" s="2"/>
    </row>
    <row r="783" spans="2:13">
      <c r="B783" s="2"/>
      <c r="C783" s="1">
        <v>0.38641341000000001</v>
      </c>
      <c r="D783" s="1">
        <v>6.5958290000000001E-3</v>
      </c>
      <c r="E783" s="1"/>
      <c r="H783" s="2">
        <v>0.48774092000000002</v>
      </c>
      <c r="I783" s="2">
        <v>0.85506680000000002</v>
      </c>
      <c r="J783" s="2">
        <v>0.27809434</v>
      </c>
      <c r="L783" s="2"/>
      <c r="M783" s="2"/>
    </row>
    <row r="784" spans="2:13">
      <c r="B784" s="2"/>
      <c r="C784" s="1">
        <v>38.99152814</v>
      </c>
      <c r="D784" s="1">
        <v>2.5789690209999998</v>
      </c>
      <c r="E784" s="1"/>
      <c r="H784" s="2">
        <v>51.171159899999999</v>
      </c>
      <c r="I784" s="2">
        <v>37.4674725</v>
      </c>
      <c r="J784" s="2">
        <v>52.003641899999998</v>
      </c>
      <c r="L784" s="2"/>
      <c r="M784" s="2"/>
    </row>
    <row r="785" spans="2:13">
      <c r="B785" s="2"/>
      <c r="C785" s="1">
        <v>0.49509218100000002</v>
      </c>
      <c r="D785" s="1">
        <v>1.3191657000000001E-2</v>
      </c>
      <c r="E785" s="1"/>
      <c r="H785" s="2">
        <v>0.77919585999999996</v>
      </c>
      <c r="I785" s="2">
        <v>0.15546668999999999</v>
      </c>
      <c r="J785" s="2">
        <v>0.38237971999999998</v>
      </c>
      <c r="L785" s="2"/>
      <c r="M785" s="2"/>
    </row>
    <row r="786" spans="2:13">
      <c r="B786" s="2"/>
      <c r="C786" s="1">
        <v>28.431574170000001</v>
      </c>
      <c r="D786" s="1">
        <v>1.088311735</v>
      </c>
      <c r="E786" s="1"/>
      <c r="H786" s="2">
        <v>13.6983821</v>
      </c>
      <c r="I786" s="2">
        <v>17.443362700000002</v>
      </c>
      <c r="J786" s="2">
        <v>9.3161604499999999</v>
      </c>
      <c r="L786" s="2"/>
      <c r="M786" s="2"/>
    </row>
    <row r="787" spans="2:13">
      <c r="B787" s="2"/>
      <c r="C787" s="1">
        <v>7.7644944550000004</v>
      </c>
      <c r="D787" s="1">
        <v>0.21766234700000001</v>
      </c>
      <c r="E787" s="1"/>
      <c r="H787" s="2">
        <v>7.7146337799999998</v>
      </c>
      <c r="I787" s="2">
        <v>8.0220812499999994</v>
      </c>
      <c r="J787" s="2">
        <v>5.94426656</v>
      </c>
      <c r="L787" s="2"/>
      <c r="M787" s="2"/>
    </row>
    <row r="788" spans="2:13">
      <c r="B788" s="2"/>
      <c r="C788" s="1">
        <v>4.7879036570000002</v>
      </c>
      <c r="D788" s="1">
        <v>0.230854004</v>
      </c>
      <c r="E788" s="1"/>
      <c r="H788" s="2">
        <v>5.5911763700000003</v>
      </c>
      <c r="I788" s="2">
        <v>10.6339217</v>
      </c>
      <c r="J788" s="2">
        <v>4.24093871</v>
      </c>
      <c r="L788" s="2"/>
      <c r="M788" s="2"/>
    </row>
    <row r="789" spans="2:13">
      <c r="B789" s="2"/>
      <c r="C789" s="1">
        <v>22.665561570000001</v>
      </c>
      <c r="D789" s="1">
        <v>0.613412069</v>
      </c>
      <c r="E789" s="1"/>
      <c r="H789" s="2">
        <v>15.607709399999999</v>
      </c>
      <c r="I789" s="2">
        <v>11.4112551</v>
      </c>
      <c r="J789" s="2">
        <v>10.011396299999999</v>
      </c>
      <c r="L789" s="2"/>
      <c r="M789" s="2"/>
    </row>
    <row r="790" spans="2:13">
      <c r="B790" s="2"/>
      <c r="C790" s="1">
        <v>13.765977729999999</v>
      </c>
      <c r="D790" s="1">
        <v>0.481495495</v>
      </c>
      <c r="E790" s="1"/>
      <c r="H790" s="2">
        <v>8.4343490400000007</v>
      </c>
      <c r="I790" s="2">
        <v>7.0270944200000001</v>
      </c>
      <c r="J790" s="2">
        <v>7.4042618500000001</v>
      </c>
      <c r="L790" s="2"/>
      <c r="M790" s="2"/>
    </row>
    <row r="791" spans="2:13">
      <c r="B791" s="2"/>
      <c r="C791" s="1">
        <v>37.96511752</v>
      </c>
      <c r="D791" s="1">
        <v>1.5038489429999999</v>
      </c>
      <c r="E791" s="1"/>
      <c r="H791" s="2">
        <v>29.2168706</v>
      </c>
      <c r="I791" s="2">
        <v>26.196137400000001</v>
      </c>
      <c r="J791" s="2">
        <v>23.2208775</v>
      </c>
      <c r="L791" s="2"/>
      <c r="M791" s="2"/>
    </row>
    <row r="792" spans="2:13">
      <c r="B792" s="2"/>
      <c r="C792" s="1">
        <v>30.091944290000001</v>
      </c>
      <c r="D792" s="1">
        <v>2.565777363</v>
      </c>
      <c r="E792" s="1"/>
      <c r="H792" s="2">
        <v>56.905089699999998</v>
      </c>
      <c r="I792" s="2">
        <v>70.022197500000004</v>
      </c>
      <c r="J792" s="2">
        <v>44.773189000000002</v>
      </c>
      <c r="L792" s="2"/>
      <c r="M792" s="2"/>
    </row>
    <row r="793" spans="2:13">
      <c r="B793" s="2"/>
      <c r="C793" s="1">
        <v>7.3780810450000001</v>
      </c>
      <c r="D793" s="1">
        <v>106.45667520000001</v>
      </c>
      <c r="E793" s="1"/>
      <c r="H793" s="2">
        <v>9.1897526500000009</v>
      </c>
      <c r="I793" s="2">
        <v>7.2292011199999999</v>
      </c>
      <c r="J793" s="2">
        <v>7.0218821299999998</v>
      </c>
      <c r="L793" s="2"/>
      <c r="M793" s="2"/>
    </row>
    <row r="794" spans="2:13">
      <c r="B794" s="2"/>
      <c r="C794" s="1">
        <v>21.989338109999998</v>
      </c>
      <c r="D794" s="1">
        <v>1.556615573</v>
      </c>
      <c r="E794" s="1"/>
      <c r="H794" s="2">
        <v>37.062361699999997</v>
      </c>
      <c r="I794" s="2">
        <v>18.500536199999999</v>
      </c>
      <c r="J794" s="2">
        <v>27.5661016</v>
      </c>
      <c r="L794" s="2"/>
      <c r="M794" s="2"/>
    </row>
    <row r="795" spans="2:13">
      <c r="B795" s="2"/>
      <c r="C795" s="1">
        <v>123.19342519999999</v>
      </c>
      <c r="D795" s="1">
        <v>587.44429130000003</v>
      </c>
      <c r="E795" s="1"/>
      <c r="H795" s="2">
        <v>71.091212799999994</v>
      </c>
      <c r="I795" s="2">
        <v>47.448433999999999</v>
      </c>
      <c r="J795" s="2">
        <v>62.675512300000001</v>
      </c>
      <c r="L795" s="2"/>
      <c r="M795" s="2"/>
    </row>
    <row r="796" spans="2:13">
      <c r="B796" s="2"/>
      <c r="C796" s="1">
        <v>30.001378649999999</v>
      </c>
      <c r="D796" s="1">
        <v>3.258339377</v>
      </c>
      <c r="E796" s="1"/>
      <c r="H796" s="2">
        <v>20.7349371</v>
      </c>
      <c r="I796" s="2">
        <v>15.639949100000001</v>
      </c>
      <c r="J796" s="2">
        <v>13.730908100000001</v>
      </c>
      <c r="L796" s="2"/>
      <c r="M796" s="2"/>
    </row>
    <row r="797" spans="2:13">
      <c r="B797" s="2"/>
      <c r="C797" s="1">
        <v>225.9310906</v>
      </c>
      <c r="D797" s="1">
        <v>1205.638336</v>
      </c>
      <c r="E797" s="1"/>
      <c r="H797" s="2">
        <v>243.32323700000001</v>
      </c>
      <c r="I797" s="2">
        <v>221.32238100000001</v>
      </c>
      <c r="J797" s="2">
        <v>194.318421</v>
      </c>
      <c r="L797" s="2"/>
      <c r="M797" s="2"/>
    </row>
    <row r="798" spans="2:13">
      <c r="B798" s="2"/>
      <c r="C798" s="1">
        <v>7.0641201489999998</v>
      </c>
      <c r="D798" s="1">
        <v>159.26287970000001</v>
      </c>
      <c r="E798" s="1"/>
      <c r="H798" s="2">
        <v>8.7971807000000002</v>
      </c>
      <c r="I798" s="2">
        <v>5.2081341400000003</v>
      </c>
      <c r="J798" s="2">
        <v>4.6580802300000004</v>
      </c>
      <c r="L798" s="2"/>
      <c r="M798" s="2"/>
    </row>
    <row r="799" spans="2:13">
      <c r="B799" s="2"/>
      <c r="C799" s="1">
        <v>7.0761955680000002</v>
      </c>
      <c r="D799" s="1">
        <v>0.93001184599999998</v>
      </c>
      <c r="E799" s="1"/>
      <c r="H799" s="2">
        <v>23.268810599999998</v>
      </c>
      <c r="I799" s="2">
        <v>24.019603700000001</v>
      </c>
      <c r="J799" s="2">
        <v>16.198995400000001</v>
      </c>
      <c r="L799" s="2"/>
      <c r="M799" s="2"/>
    </row>
    <row r="800" spans="2:13">
      <c r="B800" s="2"/>
      <c r="C800" s="1">
        <v>5.6090321530000002</v>
      </c>
      <c r="D800" s="1">
        <v>0.13851240300000001</v>
      </c>
      <c r="E800" s="1"/>
      <c r="H800" s="2">
        <v>7.5718803399999999</v>
      </c>
      <c r="I800" s="2">
        <v>5.7522675599999999</v>
      </c>
      <c r="J800" s="2">
        <v>7.1956911000000003</v>
      </c>
      <c r="L800" s="2"/>
      <c r="M800" s="2"/>
    </row>
    <row r="801" spans="2:13">
      <c r="B801" s="2"/>
      <c r="C801" s="1">
        <v>13.86258108</v>
      </c>
      <c r="D801" s="1">
        <v>2.0381110680000001</v>
      </c>
      <c r="E801" s="1"/>
      <c r="H801" s="2">
        <v>12.0269773</v>
      </c>
      <c r="I801" s="2">
        <v>13.012562000000001</v>
      </c>
      <c r="J801" s="2">
        <v>8.8642571500000003</v>
      </c>
      <c r="L801" s="2"/>
      <c r="M801" s="2"/>
    </row>
    <row r="802" spans="2:13">
      <c r="B802" s="2"/>
      <c r="C802" s="1">
        <v>29.210438700000001</v>
      </c>
      <c r="D802" s="1">
        <v>2.2030067849999999</v>
      </c>
      <c r="E802" s="1"/>
      <c r="H802" s="2">
        <v>39.257195799999998</v>
      </c>
      <c r="I802" s="2">
        <v>14.6916023</v>
      </c>
      <c r="J802" s="2">
        <v>24.611349300000001</v>
      </c>
      <c r="L802" s="2"/>
      <c r="M802" s="2"/>
    </row>
    <row r="803" spans="2:13">
      <c r="B803" s="2"/>
      <c r="C803" s="1">
        <v>8.4467556310000003</v>
      </c>
      <c r="D803" s="1">
        <v>0.50787881000000001</v>
      </c>
      <c r="E803" s="1"/>
      <c r="H803" s="2">
        <v>10.956326499999999</v>
      </c>
      <c r="I803" s="2">
        <v>12.9970154</v>
      </c>
      <c r="J803" s="2">
        <v>10.1852053</v>
      </c>
      <c r="L803" s="2"/>
      <c r="M803" s="2"/>
    </row>
    <row r="804" spans="2:13">
      <c r="B804" s="2"/>
      <c r="C804" s="1">
        <v>83.924162460000005</v>
      </c>
      <c r="D804" s="1">
        <v>4.4983551720000001</v>
      </c>
      <c r="E804" s="1"/>
      <c r="H804" s="2">
        <v>55.358594099999998</v>
      </c>
      <c r="I804" s="2">
        <v>38.959952700000002</v>
      </c>
      <c r="J804" s="2">
        <v>41.331771600000003</v>
      </c>
      <c r="L804" s="2"/>
      <c r="M804" s="2"/>
    </row>
    <row r="805" spans="2:13">
      <c r="B805" s="2"/>
      <c r="C805" s="1">
        <v>64.265380230000005</v>
      </c>
      <c r="D805" s="1">
        <v>9.4848016669999993</v>
      </c>
      <c r="E805" s="1"/>
      <c r="H805" s="2">
        <v>41.005925400000002</v>
      </c>
      <c r="I805" s="2">
        <v>30.051711300000001</v>
      </c>
      <c r="J805" s="2">
        <v>32.954179500000002</v>
      </c>
      <c r="L805" s="2"/>
      <c r="M805" s="2"/>
    </row>
    <row r="806" spans="2:13">
      <c r="B806" s="2"/>
      <c r="C806" s="1">
        <v>28.93874177</v>
      </c>
      <c r="D806" s="1">
        <v>1.4642739709999999</v>
      </c>
      <c r="E806" s="1"/>
      <c r="H806" s="2">
        <v>29.312039500000001</v>
      </c>
      <c r="I806" s="2">
        <v>27.377684200000001</v>
      </c>
      <c r="J806" s="2">
        <v>22.351832699999999</v>
      </c>
      <c r="L806" s="2"/>
      <c r="M806" s="2"/>
    </row>
    <row r="807" spans="2:13">
      <c r="B807" s="2"/>
      <c r="C807" s="1">
        <v>18.318410709999998</v>
      </c>
      <c r="D807" s="1">
        <v>0.949799332</v>
      </c>
      <c r="E807" s="1"/>
      <c r="H807" s="2">
        <v>14.8998902</v>
      </c>
      <c r="I807" s="2">
        <v>24.128430399999999</v>
      </c>
      <c r="J807" s="2">
        <v>10.1156817</v>
      </c>
      <c r="L807" s="2"/>
      <c r="M807" s="2"/>
    </row>
    <row r="808" spans="2:13">
      <c r="B808" s="2"/>
      <c r="C808" s="1">
        <v>50.173366190000003</v>
      </c>
      <c r="D808" s="1">
        <v>5.4877294760000002</v>
      </c>
      <c r="E808" s="1"/>
      <c r="H808" s="2">
        <v>50.677470900000003</v>
      </c>
      <c r="I808" s="2">
        <v>47.4639807</v>
      </c>
      <c r="J808" s="2">
        <v>35.630837499999998</v>
      </c>
      <c r="L808" s="2"/>
      <c r="M808" s="2"/>
    </row>
    <row r="809" spans="2:13">
      <c r="B809" s="2"/>
      <c r="C809" s="1">
        <v>8.5493966930000003</v>
      </c>
      <c r="D809" s="1">
        <v>0.850861902</v>
      </c>
      <c r="E809" s="1"/>
      <c r="H809" s="2">
        <v>26.837646599999999</v>
      </c>
      <c r="I809" s="2">
        <v>30.0361647</v>
      </c>
      <c r="J809" s="2">
        <v>24.785158200000001</v>
      </c>
      <c r="L809" s="2"/>
      <c r="M809" s="2"/>
    </row>
    <row r="810" spans="2:13">
      <c r="B810" s="2"/>
      <c r="C810" s="1">
        <v>5.6512961190000004</v>
      </c>
      <c r="D810" s="1">
        <v>0.310003949</v>
      </c>
      <c r="E810" s="1"/>
      <c r="H810" s="2">
        <v>5.9004754899999998</v>
      </c>
      <c r="I810" s="2">
        <v>4.1198673100000001</v>
      </c>
      <c r="J810" s="2">
        <v>5.2142689100000004</v>
      </c>
      <c r="L810" s="2"/>
      <c r="M810" s="2"/>
    </row>
    <row r="811" spans="2:13">
      <c r="B811" s="2"/>
      <c r="C811" s="1">
        <v>2.5479134210000001</v>
      </c>
      <c r="D811" s="1">
        <v>6.5958287000000004E-2</v>
      </c>
      <c r="E811" s="1"/>
      <c r="H811" s="2">
        <v>1.9866520299999999</v>
      </c>
      <c r="I811" s="2">
        <v>1.46138689</v>
      </c>
      <c r="J811" s="2">
        <v>1.84237501</v>
      </c>
      <c r="L811" s="2"/>
      <c r="M811" s="2"/>
    </row>
    <row r="812" spans="2:13">
      <c r="B812" s="2"/>
      <c r="C812" s="1">
        <v>64.983867660000001</v>
      </c>
      <c r="D812" s="1">
        <v>2.104069355</v>
      </c>
      <c r="E812" s="1"/>
      <c r="H812" s="2">
        <v>47.7748177</v>
      </c>
      <c r="I812" s="2">
        <v>50.837607900000002</v>
      </c>
      <c r="J812" s="2">
        <v>33.579891799999999</v>
      </c>
      <c r="L812" s="2"/>
      <c r="M812" s="2"/>
    </row>
    <row r="813" spans="2:13">
      <c r="B813" s="2"/>
      <c r="C813" s="1">
        <v>62.242747540000003</v>
      </c>
      <c r="D813" s="1">
        <v>4.1355845929999999</v>
      </c>
      <c r="E813" s="1"/>
      <c r="H813" s="2">
        <v>78.258624999999995</v>
      </c>
      <c r="I813" s="2">
        <v>42.395766600000002</v>
      </c>
      <c r="J813" s="2">
        <v>77.588321399999998</v>
      </c>
      <c r="L813" s="2"/>
      <c r="M813" s="2"/>
    </row>
    <row r="814" spans="2:13">
      <c r="B814" s="2"/>
      <c r="C814" s="1">
        <v>10.92825425</v>
      </c>
      <c r="D814" s="1">
        <v>0.613412069</v>
      </c>
      <c r="E814" s="1"/>
      <c r="H814" s="2">
        <v>10.1414422</v>
      </c>
      <c r="I814" s="2">
        <v>7.7266945299999996</v>
      </c>
      <c r="J814" s="2">
        <v>7.4390236400000003</v>
      </c>
      <c r="L814" s="2"/>
      <c r="M814" s="2"/>
    </row>
    <row r="815" spans="2:13">
      <c r="B815" s="2"/>
      <c r="C815" s="1">
        <v>14.77427522</v>
      </c>
      <c r="D815" s="1">
        <v>1.437890656</v>
      </c>
      <c r="E815" s="1"/>
      <c r="H815" s="2">
        <v>30.858535100000001</v>
      </c>
      <c r="I815" s="2">
        <v>19.2001363</v>
      </c>
      <c r="J815" s="2">
        <v>24.2637313</v>
      </c>
      <c r="L815" s="2"/>
      <c r="M815" s="2"/>
    </row>
    <row r="816" spans="2:13">
      <c r="B816" s="2"/>
      <c r="C816" s="1">
        <v>9.1954316130000002</v>
      </c>
      <c r="D816" s="1">
        <v>1.1344825359999999</v>
      </c>
      <c r="E816" s="1"/>
      <c r="H816" s="2">
        <v>28.1402717</v>
      </c>
      <c r="I816" s="2">
        <v>34.762352100000001</v>
      </c>
      <c r="J816" s="2">
        <v>24.7503964</v>
      </c>
      <c r="L816" s="2"/>
      <c r="M816" s="2"/>
    </row>
    <row r="817" spans="2:13">
      <c r="B817" s="2"/>
      <c r="C817" s="1">
        <v>11.121460949999999</v>
      </c>
      <c r="D817" s="1">
        <v>0.93001184599999998</v>
      </c>
      <c r="E817" s="1"/>
      <c r="H817" s="2">
        <v>22.608575900000002</v>
      </c>
      <c r="I817" s="2">
        <v>30.6735781</v>
      </c>
      <c r="J817" s="2">
        <v>14.391382200000001</v>
      </c>
      <c r="L817" s="2"/>
      <c r="M817" s="2"/>
    </row>
    <row r="818" spans="2:13">
      <c r="B818" s="2"/>
      <c r="C818" s="1">
        <v>37.156064440000002</v>
      </c>
      <c r="D818" s="1">
        <v>374.49136600000003</v>
      </c>
      <c r="E818" s="1"/>
      <c r="H818" s="2">
        <v>74.660048700000004</v>
      </c>
      <c r="I818" s="2">
        <v>76.427425200000002</v>
      </c>
      <c r="J818" s="2">
        <v>56.626960400000002</v>
      </c>
      <c r="L818" s="2"/>
      <c r="M818" s="2"/>
    </row>
    <row r="819" spans="2:13">
      <c r="B819" s="2"/>
      <c r="C819" s="1">
        <v>7.7886452930000001</v>
      </c>
      <c r="D819" s="1">
        <v>0.48809132399999999</v>
      </c>
      <c r="E819" s="1"/>
      <c r="H819" s="2">
        <v>9.8202470099999992</v>
      </c>
      <c r="I819" s="2">
        <v>7.9443479000000004</v>
      </c>
      <c r="J819" s="2">
        <v>6.9523585499999996</v>
      </c>
      <c r="L819" s="2"/>
      <c r="M819" s="2"/>
    </row>
    <row r="820" spans="2:13">
      <c r="B820" s="2"/>
      <c r="C820" s="1">
        <v>28.52213982</v>
      </c>
      <c r="D820" s="1">
        <v>1.8336403779999999</v>
      </c>
      <c r="E820" s="1"/>
      <c r="H820" s="2">
        <v>47.5309472</v>
      </c>
      <c r="I820" s="2">
        <v>37.933872600000001</v>
      </c>
      <c r="J820" s="2">
        <v>33.510368200000002</v>
      </c>
      <c r="L820" s="2"/>
      <c r="M820" s="2"/>
    </row>
    <row r="821" spans="2:13">
      <c r="B821" s="2"/>
      <c r="C821" s="1">
        <v>7.3660056259999998</v>
      </c>
      <c r="D821" s="1">
        <v>0.17808737499999999</v>
      </c>
      <c r="E821" s="1"/>
      <c r="H821" s="2">
        <v>3.5628879200000001</v>
      </c>
      <c r="I821" s="2">
        <v>3.2958938400000002</v>
      </c>
      <c r="J821" s="2">
        <v>2.3290401100000002</v>
      </c>
      <c r="L821" s="2"/>
      <c r="M821" s="2"/>
    </row>
    <row r="822" spans="2:13">
      <c r="B822" s="2"/>
      <c r="C822" s="1">
        <v>154.4989491</v>
      </c>
      <c r="D822" s="1">
        <v>5.5734752500000004</v>
      </c>
      <c r="E822" s="1"/>
      <c r="H822" s="2">
        <v>123.065361</v>
      </c>
      <c r="I822" s="2">
        <v>72.369744600000004</v>
      </c>
      <c r="J822" s="2">
        <v>91.388753100000002</v>
      </c>
      <c r="L822" s="2"/>
      <c r="M822" s="2"/>
    </row>
    <row r="823" spans="2:13">
      <c r="B823" s="2"/>
      <c r="C823" s="1">
        <v>64.120475200000001</v>
      </c>
      <c r="D823" s="1">
        <v>3.0604645160000001</v>
      </c>
      <c r="E823" s="1"/>
      <c r="H823" s="2">
        <v>79.811068700000007</v>
      </c>
      <c r="I823" s="2">
        <v>74.4063582</v>
      </c>
      <c r="J823" s="2">
        <v>63.231701000000001</v>
      </c>
      <c r="L823" s="2"/>
      <c r="M823" s="2"/>
    </row>
    <row r="824" spans="2:13">
      <c r="B824" s="2"/>
      <c r="C824" s="1">
        <v>8.2958128930000008</v>
      </c>
      <c r="D824" s="1">
        <v>1.0949075640000001</v>
      </c>
      <c r="E824" s="1"/>
      <c r="H824" s="2">
        <v>10.296091799999999</v>
      </c>
      <c r="I824" s="2">
        <v>8.2397346099999993</v>
      </c>
      <c r="J824" s="2">
        <v>6.1528373099999998</v>
      </c>
      <c r="L824" s="2"/>
      <c r="M824" s="2"/>
    </row>
    <row r="825" spans="2:13">
      <c r="B825" s="2"/>
      <c r="C825" s="1">
        <v>17.726715179999999</v>
      </c>
      <c r="D825" s="1">
        <v>1.741298776</v>
      </c>
      <c r="E825" s="1"/>
      <c r="H825" s="2">
        <v>23.453200500000001</v>
      </c>
      <c r="I825" s="2">
        <v>29.709684599999999</v>
      </c>
      <c r="J825" s="2">
        <v>14.530429399999999</v>
      </c>
      <c r="L825" s="2"/>
      <c r="M825" s="2"/>
    </row>
    <row r="826" spans="2:13">
      <c r="B826" s="2"/>
      <c r="C826" s="1">
        <v>9.3222235130000008</v>
      </c>
      <c r="D826" s="1">
        <v>31.923810899999999</v>
      </c>
      <c r="E826" s="1"/>
      <c r="H826" s="2">
        <v>5.9064235500000004</v>
      </c>
      <c r="I826" s="2">
        <v>4.0732273000000001</v>
      </c>
      <c r="J826" s="2">
        <v>5.8052193900000004</v>
      </c>
      <c r="L826" s="2"/>
      <c r="M826" s="2"/>
    </row>
    <row r="827" spans="2:13">
      <c r="B827" s="2"/>
      <c r="C827" s="1">
        <v>13.4942808</v>
      </c>
      <c r="D827" s="1">
        <v>1.4840614569999999</v>
      </c>
      <c r="E827" s="1"/>
      <c r="H827" s="2">
        <v>32.345550099999997</v>
      </c>
      <c r="I827" s="2">
        <v>28.9012578</v>
      </c>
      <c r="J827" s="2">
        <v>32.571799800000001</v>
      </c>
      <c r="L827" s="2"/>
      <c r="M827" s="2"/>
    </row>
    <row r="828" spans="2:13">
      <c r="B828" s="2"/>
      <c r="C828" s="1">
        <v>16.175023830000001</v>
      </c>
      <c r="D828" s="1">
        <v>1.2729949389999999</v>
      </c>
      <c r="E828" s="1"/>
      <c r="H828" s="2">
        <v>20.437534100000001</v>
      </c>
      <c r="I828" s="2">
        <v>27.610884299999999</v>
      </c>
      <c r="J828" s="2">
        <v>25.688964800000001</v>
      </c>
      <c r="L828" s="2"/>
      <c r="M828" s="2"/>
    </row>
    <row r="829" spans="2:13">
      <c r="B829" s="2"/>
      <c r="C829" s="1">
        <v>17.038416290000001</v>
      </c>
      <c r="D829" s="1">
        <v>0.45511217999999998</v>
      </c>
      <c r="E829" s="1"/>
      <c r="H829" s="2">
        <v>21.811535899999999</v>
      </c>
      <c r="I829" s="2">
        <v>24.346083799999999</v>
      </c>
      <c r="J829" s="2">
        <v>17.624228899999999</v>
      </c>
      <c r="L829" s="2"/>
      <c r="M829" s="2"/>
    </row>
    <row r="830" spans="2:13">
      <c r="B830" s="2"/>
      <c r="C830" s="1">
        <v>53.409578500000002</v>
      </c>
      <c r="D830" s="1">
        <v>3.0208895440000001</v>
      </c>
      <c r="E830" s="1"/>
      <c r="H830" s="2">
        <v>61.514836199999998</v>
      </c>
      <c r="I830" s="2">
        <v>36.5657657</v>
      </c>
      <c r="J830" s="2">
        <v>50.474122999999999</v>
      </c>
      <c r="L830" s="2"/>
      <c r="M830" s="2"/>
    </row>
    <row r="831" spans="2:13">
      <c r="B831" s="2"/>
      <c r="C831" s="1">
        <v>113.8470509</v>
      </c>
      <c r="D831" s="1">
        <v>7.2026449379999997</v>
      </c>
      <c r="E831" s="1"/>
      <c r="H831" s="2">
        <v>123.68990700000001</v>
      </c>
      <c r="I831" s="2">
        <v>119.787085</v>
      </c>
      <c r="J831" s="2">
        <v>92.848748400000005</v>
      </c>
      <c r="L831" s="2"/>
      <c r="M831" s="2"/>
    </row>
    <row r="832" spans="2:13">
      <c r="B832" s="2"/>
      <c r="C832" s="1">
        <v>68.117438910000004</v>
      </c>
      <c r="D832" s="1">
        <v>574.11412150000001</v>
      </c>
      <c r="E832" s="1"/>
      <c r="H832" s="2">
        <v>74.719529300000005</v>
      </c>
      <c r="I832" s="2">
        <v>62.5131564</v>
      </c>
      <c r="J832" s="2">
        <v>63.3707481</v>
      </c>
      <c r="L832" s="2"/>
      <c r="M832" s="2"/>
    </row>
    <row r="833" spans="2:13">
      <c r="B833" s="2"/>
      <c r="C833" s="1">
        <v>1.974331016</v>
      </c>
      <c r="D833" s="1">
        <v>0.13851240300000001</v>
      </c>
      <c r="E833" s="1"/>
      <c r="H833" s="2">
        <v>4.0803691400000002</v>
      </c>
      <c r="I833" s="2">
        <v>2.87613378</v>
      </c>
      <c r="J833" s="2">
        <v>3.3023703100000001</v>
      </c>
      <c r="L833" s="2"/>
      <c r="M833" s="2"/>
    </row>
    <row r="834" spans="2:13">
      <c r="B834" s="2"/>
      <c r="C834" s="1">
        <v>62.810292230000002</v>
      </c>
      <c r="D834" s="1">
        <v>2.9549312570000001</v>
      </c>
      <c r="E834" s="1"/>
      <c r="H834" s="2">
        <v>57.773506500000003</v>
      </c>
      <c r="I834" s="2">
        <v>25.480990599999998</v>
      </c>
      <c r="J834" s="2">
        <v>48.214606500000002</v>
      </c>
      <c r="L834" s="2"/>
      <c r="M834" s="2"/>
    </row>
    <row r="835" spans="2:13">
      <c r="B835" s="2"/>
      <c r="C835" s="1">
        <v>4.9811103619999999</v>
      </c>
      <c r="D835" s="1">
        <v>0.32319560600000002</v>
      </c>
      <c r="E835" s="1"/>
      <c r="H835" s="2">
        <v>5.4365268100000002</v>
      </c>
      <c r="I835" s="2">
        <v>4.19760065</v>
      </c>
      <c r="J835" s="2">
        <v>3.68475003</v>
      </c>
      <c r="L835" s="2"/>
      <c r="M835" s="2"/>
    </row>
    <row r="836" spans="2:13">
      <c r="B836" s="2"/>
      <c r="C836" s="1">
        <v>34.100983419999999</v>
      </c>
      <c r="D836" s="1">
        <v>6.1539081749999998</v>
      </c>
      <c r="E836" s="1"/>
      <c r="H836" s="2">
        <v>114.13137500000001</v>
      </c>
      <c r="I836" s="2">
        <v>83.672173000000001</v>
      </c>
      <c r="J836" s="2">
        <v>125.35102500000001</v>
      </c>
      <c r="L836" s="2"/>
      <c r="M836" s="2"/>
    </row>
    <row r="837" spans="2:13">
      <c r="B837" s="2"/>
      <c r="C837" s="1">
        <v>42.505475089999997</v>
      </c>
      <c r="D837" s="1">
        <v>287.78260189999997</v>
      </c>
      <c r="E837" s="1"/>
      <c r="H837" s="2">
        <v>38.168700800000003</v>
      </c>
      <c r="I837" s="2">
        <v>30.968964799999998</v>
      </c>
      <c r="J837" s="2">
        <v>29.651809199999999</v>
      </c>
      <c r="L837" s="2"/>
      <c r="M837" s="2"/>
    </row>
    <row r="838" spans="2:13">
      <c r="B838" s="2"/>
      <c r="C838" s="1">
        <v>63.444251729999998</v>
      </c>
      <c r="D838" s="1">
        <v>4.5115468290000003</v>
      </c>
      <c r="E838" s="1"/>
      <c r="H838" s="2">
        <v>81.446785199999994</v>
      </c>
      <c r="I838" s="2">
        <v>97.524255100000005</v>
      </c>
      <c r="J838" s="2">
        <v>92.188274300000003</v>
      </c>
      <c r="L838" s="2"/>
      <c r="M838" s="2"/>
    </row>
    <row r="839" spans="2:13">
      <c r="B839" s="2"/>
      <c r="C839" s="1">
        <v>11.580326879999999</v>
      </c>
      <c r="D839" s="1">
        <v>0.45511217999999998</v>
      </c>
      <c r="E839" s="1"/>
      <c r="H839" s="2">
        <v>9.0113108499999992</v>
      </c>
      <c r="I839" s="2">
        <v>8.597308</v>
      </c>
      <c r="J839" s="2">
        <v>6.77854958</v>
      </c>
      <c r="L839" s="2"/>
      <c r="M839" s="2"/>
    </row>
    <row r="840" spans="2:13">
      <c r="B840" s="2"/>
      <c r="C840" s="1">
        <v>71.389877470000002</v>
      </c>
      <c r="D840" s="1">
        <v>3.1659977750000001</v>
      </c>
      <c r="E840" s="1"/>
      <c r="H840" s="2">
        <v>30.578976300000001</v>
      </c>
      <c r="I840" s="2">
        <v>26.009577400000001</v>
      </c>
      <c r="J840" s="2">
        <v>22.977544999999999</v>
      </c>
      <c r="L840" s="2"/>
      <c r="M840" s="2"/>
    </row>
    <row r="841" spans="2:13">
      <c r="B841" s="2"/>
      <c r="C841" s="1">
        <v>6.0135586910000001</v>
      </c>
      <c r="D841" s="1">
        <v>0.15170406</v>
      </c>
      <c r="E841" s="1"/>
      <c r="H841" s="2">
        <v>3.3666019399999998</v>
      </c>
      <c r="I841" s="2">
        <v>2.3941870399999998</v>
      </c>
      <c r="J841" s="2">
        <v>2.0509457699999998</v>
      </c>
      <c r="L841" s="2"/>
      <c r="M841" s="2"/>
    </row>
    <row r="842" spans="2:13">
      <c r="B842" s="2"/>
      <c r="C842" s="1">
        <v>39.063980649999998</v>
      </c>
      <c r="D842" s="1">
        <v>6.4375288089999998</v>
      </c>
      <c r="E842" s="1"/>
      <c r="H842" s="2">
        <v>190.367659</v>
      </c>
      <c r="I842" s="2">
        <v>143.63567599999999</v>
      </c>
      <c r="J842" s="2">
        <v>199.393643</v>
      </c>
      <c r="L842" s="2"/>
      <c r="M842" s="2"/>
    </row>
    <row r="843" spans="2:13">
      <c r="B843" s="2"/>
      <c r="C843" s="1">
        <v>43.024718110000002</v>
      </c>
      <c r="D843" s="1">
        <v>2.2557734150000002</v>
      </c>
      <c r="E843" s="1"/>
      <c r="H843" s="2">
        <v>48.631338300000003</v>
      </c>
      <c r="I843" s="2">
        <v>51.0863546</v>
      </c>
      <c r="J843" s="2">
        <v>39.871776300000001</v>
      </c>
      <c r="L843" s="2"/>
      <c r="M843" s="2"/>
    </row>
    <row r="844" spans="2:13">
      <c r="B844" s="2"/>
      <c r="C844" s="1">
        <v>18.958407919999999</v>
      </c>
      <c r="D844" s="1">
        <v>204.70813949999999</v>
      </c>
      <c r="E844" s="1"/>
      <c r="H844" s="2">
        <v>20.931222999999999</v>
      </c>
      <c r="I844" s="2">
        <v>35.275392099999998</v>
      </c>
      <c r="J844" s="2">
        <v>18.875653499999999</v>
      </c>
      <c r="L844" s="2"/>
      <c r="M844" s="2"/>
    </row>
    <row r="845" spans="2:13">
      <c r="B845" s="2"/>
      <c r="C845" s="1">
        <v>17.865582499999999</v>
      </c>
      <c r="D845" s="1">
        <v>0.67277452699999996</v>
      </c>
      <c r="E845" s="1"/>
      <c r="H845" s="2">
        <v>16.886542299999999</v>
      </c>
      <c r="I845" s="2">
        <v>12.359601899999999</v>
      </c>
      <c r="J845" s="2">
        <v>10.984726500000001</v>
      </c>
      <c r="L845" s="2"/>
      <c r="M845" s="2"/>
    </row>
    <row r="846" spans="2:13">
      <c r="B846" s="2"/>
      <c r="C846" s="1">
        <v>9.4852416700000006</v>
      </c>
      <c r="D846" s="1">
        <v>1.121290879</v>
      </c>
      <c r="E846" s="1"/>
      <c r="H846" s="2">
        <v>12.342224399999999</v>
      </c>
      <c r="I846" s="2">
        <v>7.8355212200000004</v>
      </c>
      <c r="J846" s="2">
        <v>10.393776000000001</v>
      </c>
      <c r="L846" s="2"/>
      <c r="M846" s="2"/>
    </row>
    <row r="847" spans="2:13">
      <c r="B847" s="2"/>
      <c r="C847" s="1">
        <v>14.732011249999999</v>
      </c>
      <c r="D847" s="1">
        <v>0.613412069</v>
      </c>
      <c r="E847" s="1"/>
      <c r="H847" s="2">
        <v>12.1518865</v>
      </c>
      <c r="I847" s="2">
        <v>15.562215699999999</v>
      </c>
      <c r="J847" s="2">
        <v>12.827101499999999</v>
      </c>
      <c r="L847" s="2"/>
      <c r="M847" s="2"/>
    </row>
    <row r="848" spans="2:13">
      <c r="B848" s="2"/>
      <c r="C848" s="1">
        <v>4.6490363370000001</v>
      </c>
      <c r="D848" s="1">
        <v>0.25064149099999999</v>
      </c>
      <c r="E848" s="1"/>
      <c r="H848" s="2">
        <v>6.6320868700000002</v>
      </c>
      <c r="I848" s="2">
        <v>9.7944015199999992</v>
      </c>
      <c r="J848" s="2">
        <v>6.4309316499999998</v>
      </c>
      <c r="L848" s="2"/>
      <c r="M848" s="2"/>
    </row>
    <row r="849" spans="2:13">
      <c r="B849" s="2"/>
      <c r="C849" s="1">
        <v>22.67763699</v>
      </c>
      <c r="D849" s="1">
        <v>5.1579380419999996</v>
      </c>
      <c r="E849" s="1"/>
      <c r="H849" s="2">
        <v>39.953118799999999</v>
      </c>
      <c r="I849" s="2">
        <v>36.969979100000003</v>
      </c>
      <c r="J849" s="2">
        <v>33.023703099999999</v>
      </c>
      <c r="L849" s="2"/>
      <c r="M849" s="2"/>
    </row>
    <row r="850" spans="2:13">
      <c r="B850" s="2"/>
      <c r="C850" s="1">
        <v>233.8767163</v>
      </c>
      <c r="D850" s="1">
        <v>9.0890519449999996</v>
      </c>
      <c r="E850" s="1"/>
      <c r="H850" s="2">
        <v>108.37960099999999</v>
      </c>
      <c r="I850" s="2">
        <v>71.3125711</v>
      </c>
      <c r="J850" s="2">
        <v>96.568260199999997</v>
      </c>
      <c r="L850" s="2"/>
      <c r="M850" s="2"/>
    </row>
    <row r="851" spans="2:13">
      <c r="B851" s="2"/>
      <c r="C851" s="1">
        <v>5.397712319</v>
      </c>
      <c r="D851" s="1">
        <v>0.224258176</v>
      </c>
      <c r="E851" s="1"/>
      <c r="H851" s="2">
        <v>14.5727469</v>
      </c>
      <c r="I851" s="2">
        <v>12.173041899999999</v>
      </c>
      <c r="J851" s="2">
        <v>10.1852053</v>
      </c>
      <c r="L851" s="2"/>
      <c r="M851" s="2"/>
    </row>
    <row r="852" spans="2:13">
      <c r="B852" s="2"/>
      <c r="C852" s="1">
        <v>4.950921814</v>
      </c>
      <c r="D852" s="1">
        <v>0.29021646299999998</v>
      </c>
      <c r="E852" s="1"/>
      <c r="H852" s="2">
        <v>3.5747840399999999</v>
      </c>
      <c r="I852" s="2">
        <v>5.3946941700000002</v>
      </c>
      <c r="J852" s="2">
        <v>1.7380896400000001</v>
      </c>
      <c r="L852" s="2"/>
      <c r="M852" s="2"/>
    </row>
    <row r="853" spans="2:13">
      <c r="B853" s="2"/>
      <c r="C853" s="1">
        <v>62.285011500000003</v>
      </c>
      <c r="D853" s="1">
        <v>2.9351437699999998</v>
      </c>
      <c r="E853" s="1"/>
      <c r="H853" s="2">
        <v>76.533687599999993</v>
      </c>
      <c r="I853" s="2">
        <v>66.493103700000006</v>
      </c>
      <c r="J853" s="2">
        <v>67.368354299999993</v>
      </c>
      <c r="L853" s="2"/>
      <c r="M853" s="2"/>
    </row>
    <row r="854" spans="2:13">
      <c r="B854" s="2"/>
      <c r="C854" s="1">
        <v>5.222618743</v>
      </c>
      <c r="D854" s="1">
        <v>0.38255806399999998</v>
      </c>
      <c r="E854" s="1"/>
      <c r="H854" s="2">
        <v>14.239655600000001</v>
      </c>
      <c r="I854" s="2">
        <v>8.4107479699999992</v>
      </c>
      <c r="J854" s="2">
        <v>14.7390001</v>
      </c>
      <c r="L854" s="2"/>
      <c r="M854" s="2"/>
    </row>
    <row r="855" spans="2:13">
      <c r="B855" s="2"/>
      <c r="C855" s="1">
        <v>127.8605747</v>
      </c>
      <c r="D855" s="1">
        <v>4.9666590089999998</v>
      </c>
      <c r="E855" s="1"/>
      <c r="H855" s="2">
        <v>154.138026</v>
      </c>
      <c r="I855" s="2">
        <v>122.958606</v>
      </c>
      <c r="J855" s="2">
        <v>174.399914</v>
      </c>
      <c r="L855" s="2"/>
      <c r="M855" s="2"/>
    </row>
    <row r="856" spans="2:13">
      <c r="B856" s="2"/>
      <c r="C856" s="1">
        <v>8.947885522</v>
      </c>
      <c r="D856" s="1">
        <v>0.29021646299999998</v>
      </c>
      <c r="E856" s="1"/>
      <c r="H856" s="2">
        <v>8.5830505400000003</v>
      </c>
      <c r="I856" s="2">
        <v>8.0376279099999994</v>
      </c>
      <c r="J856" s="2">
        <v>7.1261675100000001</v>
      </c>
      <c r="L856" s="2"/>
      <c r="M856" s="2"/>
    </row>
    <row r="857" spans="2:13">
      <c r="B857" s="2"/>
      <c r="C857" s="1">
        <v>16.350117409999999</v>
      </c>
      <c r="D857" s="1">
        <v>0.50787881000000001</v>
      </c>
      <c r="E857" s="1"/>
      <c r="H857" s="2">
        <v>16.083554199999998</v>
      </c>
      <c r="I857" s="2">
        <v>16.3395492</v>
      </c>
      <c r="J857" s="2">
        <v>13.6613845</v>
      </c>
      <c r="L857" s="2"/>
      <c r="M857" s="2"/>
    </row>
    <row r="858" spans="2:13">
      <c r="B858" s="2"/>
      <c r="C858" s="1">
        <v>7.6860042310000001</v>
      </c>
      <c r="D858" s="1">
        <v>1.0751200780000001</v>
      </c>
      <c r="E858" s="1"/>
      <c r="H858" s="2">
        <v>20.7646774</v>
      </c>
      <c r="I858" s="2">
        <v>14.1941089</v>
      </c>
      <c r="J858" s="2">
        <v>15.260427</v>
      </c>
      <c r="L858" s="2"/>
      <c r="M858" s="2"/>
    </row>
    <row r="859" spans="2:13">
      <c r="B859" s="2"/>
      <c r="C859" s="1">
        <v>8.9961871989999995</v>
      </c>
      <c r="D859" s="1">
        <v>0.31659977700000003</v>
      </c>
      <c r="E859" s="1"/>
      <c r="H859" s="2">
        <v>7.7086857200000001</v>
      </c>
      <c r="I859" s="2">
        <v>7.1670144499999999</v>
      </c>
      <c r="J859" s="2">
        <v>5.4576014600000002</v>
      </c>
      <c r="L859" s="2"/>
      <c r="M859" s="2"/>
    </row>
    <row r="860" spans="2:13">
      <c r="B860" s="2"/>
      <c r="C860" s="1">
        <v>22.979522469999999</v>
      </c>
      <c r="D860" s="1">
        <v>0.76511612900000003</v>
      </c>
      <c r="E860" s="1"/>
      <c r="H860" s="2">
        <v>39.7389887</v>
      </c>
      <c r="I860" s="2">
        <v>26.786910800000001</v>
      </c>
      <c r="J860" s="2">
        <v>29.060858700000001</v>
      </c>
      <c r="L860" s="2"/>
      <c r="M860" s="2"/>
    </row>
    <row r="861" spans="2:13">
      <c r="B861" s="2"/>
      <c r="C861" s="1">
        <v>19.851988930000001</v>
      </c>
      <c r="D861" s="1">
        <v>0.613412069</v>
      </c>
      <c r="E861" s="1"/>
      <c r="H861" s="2">
        <v>15.863475899999999</v>
      </c>
      <c r="I861" s="2">
        <v>15.1113623</v>
      </c>
      <c r="J861" s="2">
        <v>13.313766599999999</v>
      </c>
      <c r="L861" s="2"/>
      <c r="M861" s="2"/>
    </row>
    <row r="862" spans="2:13">
      <c r="B862" s="2"/>
      <c r="C862" s="1">
        <v>29.578738980000001</v>
      </c>
      <c r="D862" s="1">
        <v>1.6687446610000001</v>
      </c>
      <c r="E862" s="1"/>
      <c r="H862" s="2">
        <v>28.663701</v>
      </c>
      <c r="I862" s="2">
        <v>31.1244315</v>
      </c>
      <c r="J862" s="2">
        <v>19.014700600000001</v>
      </c>
      <c r="L862" s="2"/>
      <c r="M862" s="2"/>
    </row>
    <row r="863" spans="2:13">
      <c r="B863" s="2"/>
      <c r="C863" s="1">
        <v>58.891818749999999</v>
      </c>
      <c r="D863" s="1">
        <v>4.1751595659999996</v>
      </c>
      <c r="E863" s="1"/>
      <c r="H863" s="2">
        <v>41.624523699999997</v>
      </c>
      <c r="I863" s="2">
        <v>66.959503699999999</v>
      </c>
      <c r="J863" s="2">
        <v>38.342257400000001</v>
      </c>
      <c r="L863" s="2"/>
      <c r="M863" s="2"/>
    </row>
    <row r="864" spans="2:13">
      <c r="B864" s="2"/>
      <c r="C864" s="1">
        <v>282.12405319999999</v>
      </c>
      <c r="D864" s="1">
        <v>19.035561619999999</v>
      </c>
      <c r="E864" s="1"/>
      <c r="H864" s="2">
        <v>264.04627799999997</v>
      </c>
      <c r="I864" s="2">
        <v>275.68908299999998</v>
      </c>
      <c r="J864" s="2">
        <v>286.12431600000002</v>
      </c>
      <c r="L864" s="2"/>
      <c r="M864" s="2"/>
    </row>
    <row r="865" spans="2:13">
      <c r="B865" s="2"/>
      <c r="C865" s="1">
        <v>87.854711359999996</v>
      </c>
      <c r="D865" s="1">
        <v>3.4430225800000001</v>
      </c>
      <c r="E865" s="1"/>
      <c r="H865" s="2">
        <v>164.58876699999999</v>
      </c>
      <c r="I865" s="2">
        <v>87.900867000000005</v>
      </c>
      <c r="J865" s="2">
        <v>180.483228</v>
      </c>
      <c r="L865" s="2"/>
      <c r="M865" s="2"/>
    </row>
    <row r="866" spans="2:13">
      <c r="B866" s="2"/>
      <c r="C866" s="1">
        <v>11.92447632</v>
      </c>
      <c r="D866" s="1">
        <v>1.8534278639999999</v>
      </c>
      <c r="E866" s="1"/>
      <c r="H866" s="2">
        <v>10.5340142</v>
      </c>
      <c r="I866" s="2">
        <v>12.483975300000001</v>
      </c>
      <c r="J866" s="2">
        <v>6.9175967500000004</v>
      </c>
      <c r="L866" s="2"/>
      <c r="M866" s="2"/>
    </row>
    <row r="867" spans="2:13">
      <c r="B867" s="2"/>
      <c r="C867" s="1">
        <v>37.162102150000003</v>
      </c>
      <c r="D867" s="1">
        <v>1.3587407119999999</v>
      </c>
      <c r="E867" s="1"/>
      <c r="H867" s="2">
        <v>33.7492923</v>
      </c>
      <c r="I867" s="2">
        <v>26.056217400000001</v>
      </c>
      <c r="J867" s="2">
        <v>22.5604035</v>
      </c>
      <c r="L867" s="2"/>
      <c r="M867" s="2"/>
    </row>
    <row r="868" spans="2:13">
      <c r="B868" s="2"/>
      <c r="C868" s="1">
        <v>14.895029409999999</v>
      </c>
      <c r="D868" s="1">
        <v>1.068524249</v>
      </c>
      <c r="E868" s="1"/>
      <c r="H868" s="2">
        <v>14.0433696</v>
      </c>
      <c r="I868" s="2">
        <v>14.2873889</v>
      </c>
      <c r="J868" s="2">
        <v>10.7761557</v>
      </c>
      <c r="L868" s="2"/>
      <c r="M868" s="2"/>
    </row>
    <row r="869" spans="2:13">
      <c r="B869" s="2"/>
      <c r="C869" s="1">
        <v>13.4339037</v>
      </c>
      <c r="D869" s="1">
        <v>0.71894532799999999</v>
      </c>
      <c r="E869" s="1"/>
      <c r="H869" s="2">
        <v>19.741610999999999</v>
      </c>
      <c r="I869" s="2">
        <v>11.3490684</v>
      </c>
      <c r="J869" s="2">
        <v>15.8166157</v>
      </c>
      <c r="L869" s="2"/>
      <c r="M869" s="2"/>
    </row>
    <row r="870" spans="2:13">
      <c r="B870" s="2"/>
      <c r="C870" s="1">
        <v>5.1803547759999997</v>
      </c>
      <c r="D870" s="1">
        <v>0.224258176</v>
      </c>
      <c r="E870" s="1"/>
      <c r="H870" s="2">
        <v>9.0945836900000003</v>
      </c>
      <c r="I870" s="2">
        <v>7.2913877999999999</v>
      </c>
      <c r="J870" s="2">
        <v>5.8052193900000004</v>
      </c>
      <c r="L870" s="2"/>
      <c r="M870" s="2"/>
    </row>
    <row r="871" spans="2:13">
      <c r="B871" s="2"/>
      <c r="C871" s="1">
        <v>67.815553429999994</v>
      </c>
      <c r="D871" s="1">
        <v>3.7860056719999999</v>
      </c>
      <c r="E871" s="1"/>
      <c r="H871" s="2">
        <v>54.406904500000003</v>
      </c>
      <c r="I871" s="2">
        <v>46.220247200000003</v>
      </c>
      <c r="J871" s="2">
        <v>41.331771600000003</v>
      </c>
      <c r="L871" s="2"/>
      <c r="M871" s="2"/>
    </row>
    <row r="872" spans="2:13">
      <c r="B872" s="2"/>
      <c r="C872" s="1">
        <v>6.3214818770000001</v>
      </c>
      <c r="D872" s="1">
        <v>0.19787486100000001</v>
      </c>
      <c r="E872" s="1"/>
      <c r="H872" s="2">
        <v>5.9659041500000001</v>
      </c>
      <c r="I872" s="2">
        <v>8.3019212899999992</v>
      </c>
      <c r="J872" s="2">
        <v>6.1875991099999998</v>
      </c>
      <c r="L872" s="2"/>
      <c r="M872" s="2"/>
    </row>
    <row r="873" spans="2:13">
      <c r="B873" s="2"/>
      <c r="C873" s="1">
        <v>34.577962470000003</v>
      </c>
      <c r="D873" s="1">
        <v>51.368313899999997</v>
      </c>
      <c r="E873" s="1"/>
      <c r="H873" s="2">
        <v>23.500784899999999</v>
      </c>
      <c r="I873" s="2">
        <v>10.618375</v>
      </c>
      <c r="J873" s="2">
        <v>18.667082700000002</v>
      </c>
      <c r="L873" s="2"/>
      <c r="M873" s="2"/>
    </row>
    <row r="874" spans="2:13">
      <c r="B874" s="2"/>
      <c r="C874" s="1">
        <v>14.77427522</v>
      </c>
      <c r="D874" s="1">
        <v>0.84426607300000001</v>
      </c>
      <c r="E874" s="1"/>
      <c r="H874" s="2">
        <v>15.6612419</v>
      </c>
      <c r="I874" s="2">
        <v>19.3711497</v>
      </c>
      <c r="J874" s="2">
        <v>14.009002499999999</v>
      </c>
      <c r="L874" s="2"/>
      <c r="M874" s="2"/>
    </row>
    <row r="875" spans="2:13">
      <c r="B875" s="2"/>
      <c r="C875" s="1">
        <v>6.182614558</v>
      </c>
      <c r="D875" s="1">
        <v>9.2341601999999995E-2</v>
      </c>
      <c r="E875" s="1"/>
      <c r="H875" s="2">
        <v>4.9130975399999999</v>
      </c>
      <c r="I875" s="2">
        <v>4.4463473599999999</v>
      </c>
      <c r="J875" s="2">
        <v>3.7542736099999998</v>
      </c>
      <c r="L875" s="2"/>
      <c r="M875" s="2"/>
    </row>
    <row r="876" spans="2:13">
      <c r="B876" s="2"/>
      <c r="C876" s="1">
        <v>16.060307349999999</v>
      </c>
      <c r="D876" s="1">
        <v>0.54085795299999995</v>
      </c>
      <c r="E876" s="1"/>
      <c r="H876" s="2">
        <v>8.9339860800000004</v>
      </c>
      <c r="I876" s="2">
        <v>11.6600018</v>
      </c>
      <c r="J876" s="2">
        <v>4.3799858800000004</v>
      </c>
      <c r="L876" s="2"/>
      <c r="M876" s="2"/>
    </row>
    <row r="877" spans="2:13">
      <c r="B877" s="2"/>
      <c r="C877" s="1">
        <v>11.199951179999999</v>
      </c>
      <c r="D877" s="1">
        <v>1.523636429</v>
      </c>
      <c r="E877" s="1"/>
      <c r="H877" s="2">
        <v>40.125612599999997</v>
      </c>
      <c r="I877" s="2">
        <v>31.419818200000002</v>
      </c>
      <c r="J877" s="2">
        <v>25.654202999999999</v>
      </c>
      <c r="L877" s="2"/>
      <c r="M877" s="2"/>
    </row>
    <row r="878" spans="2:13">
      <c r="B878" s="2"/>
      <c r="C878" s="1">
        <v>87.045658279999998</v>
      </c>
      <c r="D878" s="1">
        <v>5.9164583420000003</v>
      </c>
      <c r="E878" s="1"/>
      <c r="H878" s="2">
        <v>118.556731</v>
      </c>
      <c r="I878" s="2">
        <v>112.83772399999999</v>
      </c>
      <c r="J878" s="2">
        <v>109.39536200000001</v>
      </c>
      <c r="L878" s="2"/>
      <c r="M878" s="2"/>
    </row>
    <row r="879" spans="2:13">
      <c r="B879" s="2"/>
      <c r="C879" s="1">
        <v>43.900185989999997</v>
      </c>
      <c r="D879" s="1">
        <v>1.477465628</v>
      </c>
      <c r="E879" s="1"/>
      <c r="H879" s="2">
        <v>39.334520599999998</v>
      </c>
      <c r="I879" s="2">
        <v>34.093845299999998</v>
      </c>
      <c r="J879" s="2">
        <v>30.9379955</v>
      </c>
      <c r="L879" s="2"/>
      <c r="M879" s="2"/>
    </row>
    <row r="880" spans="2:13">
      <c r="B880" s="2"/>
      <c r="C880" s="1">
        <v>20.41953363</v>
      </c>
      <c r="D880" s="1">
        <v>1.4444864850000001</v>
      </c>
      <c r="E880" s="1"/>
      <c r="H880" s="2">
        <v>43.4684223</v>
      </c>
      <c r="I880" s="2">
        <v>34.202672</v>
      </c>
      <c r="J880" s="2">
        <v>32.537038000000003</v>
      </c>
      <c r="L880" s="2"/>
      <c r="M880" s="2"/>
    </row>
    <row r="881" spans="2:13">
      <c r="B881" s="2"/>
      <c r="C881" s="1">
        <v>10.390898099999999</v>
      </c>
      <c r="D881" s="1">
        <v>0.46830383799999997</v>
      </c>
      <c r="E881" s="1"/>
      <c r="H881" s="2">
        <v>11.0633915</v>
      </c>
      <c r="I881" s="2">
        <v>17.179069299999998</v>
      </c>
      <c r="J881" s="2">
        <v>9.0728279000000001</v>
      </c>
      <c r="L881" s="2"/>
      <c r="M881" s="2"/>
    </row>
    <row r="882" spans="2:13">
      <c r="B882" s="2"/>
      <c r="C882" s="1">
        <v>12.83617046</v>
      </c>
      <c r="D882" s="1">
        <v>0.50787881000000001</v>
      </c>
      <c r="E882" s="1"/>
      <c r="H882" s="2">
        <v>7.7741143800000003</v>
      </c>
      <c r="I882" s="2">
        <v>4.9593874400000004</v>
      </c>
      <c r="J882" s="2">
        <v>6.5352170300000001</v>
      </c>
      <c r="L882" s="2"/>
      <c r="M882" s="2"/>
    </row>
    <row r="883" spans="2:13">
      <c r="B883" s="2"/>
      <c r="C883" s="1">
        <v>9.5697696039999993</v>
      </c>
      <c r="D883" s="1">
        <v>0.46170800899999997</v>
      </c>
      <c r="E883" s="1"/>
      <c r="H883" s="2">
        <v>8.4700374000000007</v>
      </c>
      <c r="I883" s="2">
        <v>10.789388300000001</v>
      </c>
      <c r="J883" s="2">
        <v>7.4737854400000003</v>
      </c>
      <c r="L883" s="2"/>
      <c r="M883" s="2"/>
    </row>
    <row r="884" spans="2:13">
      <c r="B884" s="2"/>
      <c r="C884" s="1">
        <v>12.401455370000001</v>
      </c>
      <c r="D884" s="1">
        <v>17.70320422</v>
      </c>
      <c r="E884" s="1"/>
      <c r="H884" s="2">
        <v>10.641079299999999</v>
      </c>
      <c r="I884" s="2">
        <v>7.6645078599999996</v>
      </c>
      <c r="J884" s="2">
        <v>7.6128326099999999</v>
      </c>
      <c r="L884" s="2"/>
      <c r="M884" s="2"/>
    </row>
    <row r="885" spans="2:13">
      <c r="B885" s="2"/>
      <c r="C885" s="1">
        <v>95.450149949999997</v>
      </c>
      <c r="D885" s="1">
        <v>3.997072191</v>
      </c>
      <c r="E885" s="1"/>
      <c r="H885" s="2">
        <v>93.646256199999996</v>
      </c>
      <c r="I885" s="2">
        <v>76.287505199999998</v>
      </c>
      <c r="J885" s="2">
        <v>76.754038300000005</v>
      </c>
      <c r="L885" s="2"/>
      <c r="M885" s="2"/>
    </row>
    <row r="886" spans="2:13">
      <c r="B886" s="2"/>
      <c r="C886" s="1">
        <v>47.154511419999999</v>
      </c>
      <c r="D886" s="1">
        <v>1.72151129</v>
      </c>
      <c r="E886" s="1"/>
      <c r="H886" s="2">
        <v>30.9061196</v>
      </c>
      <c r="I886" s="2">
        <v>21.9208034</v>
      </c>
      <c r="J886" s="2">
        <v>27.878957799999998</v>
      </c>
      <c r="L886" s="2"/>
      <c r="M886" s="2"/>
    </row>
    <row r="887" spans="2:13">
      <c r="B887" s="2"/>
      <c r="C887" s="1">
        <v>21.518396760000002</v>
      </c>
      <c r="D887" s="1">
        <v>0.87724521700000002</v>
      </c>
      <c r="E887" s="1"/>
      <c r="H887" s="2">
        <v>19.6880785</v>
      </c>
      <c r="I887" s="2">
        <v>22.5115768</v>
      </c>
      <c r="J887" s="2">
        <v>17.137563799999999</v>
      </c>
      <c r="L887" s="2"/>
      <c r="M887" s="2"/>
    </row>
    <row r="888" spans="2:13">
      <c r="B888" s="2"/>
      <c r="C888" s="1">
        <v>15.2693674</v>
      </c>
      <c r="D888" s="1">
        <v>2.1832192990000001</v>
      </c>
      <c r="E888" s="1"/>
      <c r="H888" s="2">
        <v>28.7231816</v>
      </c>
      <c r="I888" s="2">
        <v>37.716219199999998</v>
      </c>
      <c r="J888" s="2">
        <v>27.9137196</v>
      </c>
      <c r="L888" s="2"/>
      <c r="M888" s="2"/>
    </row>
    <row r="889" spans="2:13">
      <c r="B889" s="2"/>
      <c r="C889" s="1">
        <v>49.146955570000003</v>
      </c>
      <c r="D889" s="1">
        <v>3.6936640710000002</v>
      </c>
      <c r="E889" s="1"/>
      <c r="H889" s="2">
        <v>88.935392699999994</v>
      </c>
      <c r="I889" s="2">
        <v>58.004622300000001</v>
      </c>
      <c r="J889" s="2">
        <v>56.140295299999998</v>
      </c>
      <c r="L889" s="2"/>
      <c r="M889" s="2"/>
    </row>
    <row r="890" spans="2:13">
      <c r="B890" s="2"/>
      <c r="C890" s="1">
        <v>4.9569595230000001</v>
      </c>
      <c r="D890" s="1">
        <v>0.21106651800000001</v>
      </c>
      <c r="E890" s="1"/>
      <c r="H890" s="2">
        <v>6.8224247900000003</v>
      </c>
      <c r="I890" s="2">
        <v>4.6173607199999998</v>
      </c>
      <c r="J890" s="2">
        <v>4.4147476799999996</v>
      </c>
      <c r="L890" s="2"/>
      <c r="M890" s="2"/>
    </row>
    <row r="891" spans="2:13">
      <c r="B891" s="2"/>
      <c r="C891" s="1">
        <v>29.59685211</v>
      </c>
      <c r="D891" s="1">
        <v>2.17662347</v>
      </c>
      <c r="E891" s="1"/>
      <c r="H891" s="2">
        <v>46.876660600000001</v>
      </c>
      <c r="I891" s="2">
        <v>42.846620000000001</v>
      </c>
      <c r="J891" s="2">
        <v>45.155568799999998</v>
      </c>
      <c r="L891" s="2"/>
      <c r="M891" s="2"/>
    </row>
    <row r="892" spans="2:13">
      <c r="B892" s="2"/>
      <c r="C892" s="1">
        <v>9.666372956</v>
      </c>
      <c r="D892" s="1">
        <v>0.44192052300000001</v>
      </c>
      <c r="E892" s="1"/>
      <c r="H892" s="2">
        <v>7.8752313999999997</v>
      </c>
      <c r="I892" s="2">
        <v>9.7944015199999992</v>
      </c>
      <c r="J892" s="2">
        <v>5.1099835300000001</v>
      </c>
      <c r="L892" s="2"/>
      <c r="M892" s="2"/>
    </row>
    <row r="893" spans="2:13">
      <c r="B893" s="2"/>
      <c r="C893" s="1">
        <v>24.356120239999999</v>
      </c>
      <c r="D893" s="1">
        <v>0.98277847600000001</v>
      </c>
      <c r="E893" s="1"/>
      <c r="H893" s="2">
        <v>26.224996399999998</v>
      </c>
      <c r="I893" s="2">
        <v>24.159523700000001</v>
      </c>
      <c r="J893" s="2">
        <v>20.683266700000001</v>
      </c>
      <c r="L893" s="2"/>
      <c r="M893" s="2"/>
    </row>
    <row r="894" spans="2:13">
      <c r="B894" s="2"/>
      <c r="C894" s="1">
        <v>33.611928949999999</v>
      </c>
      <c r="D894" s="1">
        <v>89.201987310000007</v>
      </c>
      <c r="E894" s="1"/>
      <c r="H894" s="2">
        <v>33.225862999999997</v>
      </c>
      <c r="I894" s="2">
        <v>24.314990399999999</v>
      </c>
      <c r="J894" s="2">
        <v>26.627533199999998</v>
      </c>
      <c r="L894" s="2"/>
      <c r="M894" s="2"/>
    </row>
    <row r="895" spans="2:13">
      <c r="B895" s="2"/>
      <c r="C895" s="1">
        <v>73.684207090000001</v>
      </c>
      <c r="D895" s="1">
        <v>3.0802520019999999</v>
      </c>
      <c r="E895" s="1"/>
      <c r="H895" s="2">
        <v>59.4330152</v>
      </c>
      <c r="I895" s="2">
        <v>42.442406599999998</v>
      </c>
      <c r="J895" s="2">
        <v>52.976972099999998</v>
      </c>
      <c r="L895" s="2"/>
      <c r="M895" s="2"/>
    </row>
    <row r="896" spans="2:13">
      <c r="B896" s="2"/>
      <c r="C896" s="1">
        <v>24.156875830000001</v>
      </c>
      <c r="D896" s="1">
        <v>1.582998887</v>
      </c>
      <c r="E896" s="1"/>
      <c r="H896" s="2">
        <v>25.6242424</v>
      </c>
      <c r="I896" s="2">
        <v>28.776884500000001</v>
      </c>
      <c r="J896" s="2">
        <v>17.937085</v>
      </c>
      <c r="L896" s="2"/>
      <c r="M896" s="2"/>
    </row>
    <row r="897" spans="2:13">
      <c r="B897" s="2"/>
      <c r="C897" s="1">
        <v>3.2301745980000001</v>
      </c>
      <c r="D897" s="1">
        <v>0.21106651800000001</v>
      </c>
      <c r="E897" s="1"/>
      <c r="H897" s="2">
        <v>6.8581131500000003</v>
      </c>
      <c r="I897" s="2">
        <v>3.63792056</v>
      </c>
      <c r="J897" s="2">
        <v>5.1099835300000001</v>
      </c>
      <c r="L897" s="2"/>
      <c r="M897" s="2"/>
    </row>
    <row r="898" spans="2:13">
      <c r="B898" s="2"/>
      <c r="C898" s="1">
        <v>28.15987724</v>
      </c>
      <c r="D898" s="1">
        <v>5.0985755829999997</v>
      </c>
      <c r="E898" s="1"/>
      <c r="H898" s="2">
        <v>19.432311899999998</v>
      </c>
      <c r="I898" s="2">
        <v>10.431815</v>
      </c>
      <c r="J898" s="2">
        <v>17.172325600000001</v>
      </c>
      <c r="L898" s="2"/>
      <c r="M898" s="2"/>
    </row>
    <row r="899" spans="2:13">
      <c r="B899" s="2"/>
      <c r="C899" s="1">
        <v>8.8935461369999995</v>
      </c>
      <c r="D899" s="1">
        <v>1.187249166</v>
      </c>
      <c r="E899" s="1"/>
      <c r="H899" s="2">
        <v>28.663701</v>
      </c>
      <c r="I899" s="2">
        <v>25.962937400000001</v>
      </c>
      <c r="J899" s="2">
        <v>21.899929400000001</v>
      </c>
      <c r="L899" s="2"/>
      <c r="M899" s="2"/>
    </row>
    <row r="900" spans="2:13">
      <c r="B900" s="2"/>
      <c r="C900" s="1">
        <v>4.818092204</v>
      </c>
      <c r="D900" s="1">
        <v>45.194618239999997</v>
      </c>
      <c r="E900" s="1"/>
      <c r="H900" s="2">
        <v>5.1331757500000004</v>
      </c>
      <c r="I900" s="2">
        <v>5.2547741500000003</v>
      </c>
      <c r="J900" s="2">
        <v>4.51903305</v>
      </c>
      <c r="L900" s="2"/>
      <c r="M900" s="2"/>
    </row>
    <row r="901" spans="2:13">
      <c r="B901" s="2"/>
      <c r="C901" s="1">
        <v>48.180922039999999</v>
      </c>
      <c r="D901" s="1">
        <v>168.6223607</v>
      </c>
      <c r="E901" s="1"/>
      <c r="H901" s="2">
        <v>79.817016699999996</v>
      </c>
      <c r="I901" s="2">
        <v>47.106407300000001</v>
      </c>
      <c r="J901" s="2">
        <v>67.020736400000004</v>
      </c>
      <c r="L901" s="2"/>
      <c r="M901" s="2"/>
    </row>
    <row r="902" spans="2:13">
      <c r="B902" s="2"/>
      <c r="C902" s="1">
        <v>0.50112989100000005</v>
      </c>
      <c r="D902" s="1">
        <v>6.5958290000000001E-3</v>
      </c>
      <c r="E902" s="1"/>
      <c r="H902" s="2">
        <v>0.40446808000000001</v>
      </c>
      <c r="I902" s="2">
        <v>0.46640007</v>
      </c>
      <c r="J902" s="2">
        <v>0.10428538</v>
      </c>
      <c r="L902" s="2"/>
      <c r="M902" s="2"/>
    </row>
    <row r="903" spans="2:13">
      <c r="B903" s="2"/>
      <c r="C903" s="1">
        <v>57.87144584</v>
      </c>
      <c r="D903" s="1">
        <v>5.2370879859999997</v>
      </c>
      <c r="E903" s="1"/>
      <c r="H903" s="2">
        <v>68.7595733</v>
      </c>
      <c r="I903" s="2">
        <v>44.230273500000003</v>
      </c>
      <c r="J903" s="2">
        <v>57.183149</v>
      </c>
      <c r="L903" s="2"/>
      <c r="M903" s="2"/>
    </row>
    <row r="904" spans="2:13">
      <c r="B904" s="2"/>
      <c r="C904" s="1">
        <v>7.0037430540000001</v>
      </c>
      <c r="D904" s="1">
        <v>0.19787486100000001</v>
      </c>
      <c r="E904" s="1"/>
      <c r="H904" s="2">
        <v>9.0767395099999995</v>
      </c>
      <c r="I904" s="2">
        <v>5.2081341400000003</v>
      </c>
      <c r="J904" s="2">
        <v>6.4309316499999998</v>
      </c>
      <c r="L904" s="2"/>
      <c r="M904" s="2"/>
    </row>
    <row r="905" spans="2:13">
      <c r="B905" s="2"/>
      <c r="C905" s="1">
        <v>46.42394857</v>
      </c>
      <c r="D905" s="1">
        <v>1.576403059</v>
      </c>
      <c r="E905" s="1"/>
      <c r="H905" s="2">
        <v>33.826616999999999</v>
      </c>
      <c r="I905" s="2">
        <v>35.073285400000003</v>
      </c>
      <c r="J905" s="2">
        <v>22.838497799999999</v>
      </c>
      <c r="L905" s="2"/>
      <c r="M905" s="2"/>
    </row>
    <row r="906" spans="2:13">
      <c r="B906" s="2"/>
      <c r="C906" s="1">
        <v>7.7222304880000001</v>
      </c>
      <c r="D906" s="1">
        <v>0.40234555100000002</v>
      </c>
      <c r="E906" s="1"/>
      <c r="H906" s="2">
        <v>9.3325060900000008</v>
      </c>
      <c r="I906" s="2">
        <v>7.1514677799999999</v>
      </c>
      <c r="J906" s="2">
        <v>5.8399811799999997</v>
      </c>
      <c r="L906" s="2"/>
      <c r="M906" s="2"/>
    </row>
    <row r="907" spans="2:13">
      <c r="B907" s="2"/>
      <c r="C907" s="1">
        <v>36.805877289999998</v>
      </c>
      <c r="D907" s="1">
        <v>2.0381110680000001</v>
      </c>
      <c r="E907" s="1"/>
      <c r="H907" s="2">
        <v>44.378475399999999</v>
      </c>
      <c r="I907" s="2">
        <v>24.703657199999999</v>
      </c>
      <c r="J907" s="2">
        <v>29.999427099999998</v>
      </c>
      <c r="L907" s="2"/>
      <c r="M907" s="2"/>
    </row>
    <row r="908" spans="2:13">
      <c r="B908" s="2"/>
      <c r="C908" s="1">
        <v>59.072950030000001</v>
      </c>
      <c r="D908" s="1">
        <v>225.57734149999999</v>
      </c>
      <c r="E908" s="1"/>
      <c r="H908" s="2">
        <v>39.078754000000004</v>
      </c>
      <c r="I908" s="2">
        <v>29.958431300000001</v>
      </c>
      <c r="J908" s="2">
        <v>22.247547300000001</v>
      </c>
      <c r="L908" s="2"/>
      <c r="M908" s="2"/>
    </row>
    <row r="909" spans="2:13">
      <c r="B909" s="2"/>
      <c r="C909" s="1">
        <v>50.583930440000003</v>
      </c>
      <c r="D909" s="1">
        <v>4.1355845929999999</v>
      </c>
      <c r="E909" s="1"/>
      <c r="H909" s="2">
        <v>63.709670299999999</v>
      </c>
      <c r="I909" s="2">
        <v>86.284013400000006</v>
      </c>
      <c r="J909" s="2">
        <v>44.842712599999999</v>
      </c>
      <c r="L909" s="2"/>
      <c r="M909" s="2"/>
    </row>
    <row r="910" spans="2:13">
      <c r="B910" s="2"/>
      <c r="C910" s="1">
        <v>18.45124032</v>
      </c>
      <c r="D910" s="1">
        <v>1.1476741930000001</v>
      </c>
      <c r="E910" s="1"/>
      <c r="H910" s="2">
        <v>17.588413299999999</v>
      </c>
      <c r="I910" s="2">
        <v>19.215682999999999</v>
      </c>
      <c r="J910" s="2">
        <v>12.5490072</v>
      </c>
      <c r="L910" s="2"/>
      <c r="M910" s="2"/>
    </row>
    <row r="911" spans="2:13">
      <c r="B911" s="2"/>
      <c r="C911" s="1">
        <v>5.1380908090000004</v>
      </c>
      <c r="D911" s="1">
        <v>0.20447069000000001</v>
      </c>
      <c r="E911" s="1"/>
      <c r="H911" s="2">
        <v>4.5026814000000002</v>
      </c>
      <c r="I911" s="2">
        <v>5.3325074900000002</v>
      </c>
      <c r="J911" s="2">
        <v>3.0242759700000001</v>
      </c>
      <c r="L911" s="2"/>
      <c r="M911" s="2"/>
    </row>
    <row r="912" spans="2:13">
      <c r="B912" s="2"/>
      <c r="C912" s="1">
        <v>19.809724970000001</v>
      </c>
      <c r="D912" s="1">
        <v>0.74532864300000001</v>
      </c>
      <c r="E912" s="1"/>
      <c r="H912" s="2">
        <v>27.135049599999999</v>
      </c>
      <c r="I912" s="2">
        <v>24.5015505</v>
      </c>
      <c r="J912" s="2">
        <v>26.558009599999998</v>
      </c>
      <c r="L912" s="2"/>
      <c r="M912" s="2"/>
    </row>
    <row r="913" spans="2:13">
      <c r="B913" s="2"/>
      <c r="C913" s="1">
        <v>4.8060167849999997</v>
      </c>
      <c r="D913" s="1">
        <v>40.887542099999997</v>
      </c>
      <c r="E913" s="1"/>
      <c r="H913" s="2">
        <v>5.5614360700000001</v>
      </c>
      <c r="I913" s="2">
        <v>6.0476542699999998</v>
      </c>
      <c r="J913" s="2">
        <v>4.4842712599999999</v>
      </c>
      <c r="L913" s="2"/>
      <c r="M913" s="2"/>
    </row>
    <row r="914" spans="2:13">
      <c r="B914" s="2"/>
      <c r="C914" s="1">
        <v>11.966740290000001</v>
      </c>
      <c r="D914" s="1">
        <v>0.38915389299999997</v>
      </c>
      <c r="E914" s="1"/>
      <c r="H914" s="2">
        <v>9.5168959500000003</v>
      </c>
      <c r="I914" s="2">
        <v>7.2292011199999999</v>
      </c>
      <c r="J914" s="2">
        <v>8.4123538399999997</v>
      </c>
      <c r="L914" s="2"/>
      <c r="M914" s="2"/>
    </row>
    <row r="915" spans="2:13">
      <c r="B915" s="2"/>
      <c r="C915" s="1">
        <v>12.612775210000001</v>
      </c>
      <c r="D915" s="1">
        <v>0.27702480499999999</v>
      </c>
      <c r="E915" s="1"/>
      <c r="H915" s="2">
        <v>10.254455399999999</v>
      </c>
      <c r="I915" s="2">
        <v>7.7111478599999996</v>
      </c>
      <c r="J915" s="2">
        <v>8.7599717699999999</v>
      </c>
      <c r="L915" s="2"/>
      <c r="M915" s="2"/>
    </row>
    <row r="916" spans="2:13">
      <c r="B916" s="2"/>
      <c r="C916" s="1">
        <v>48.247336850000003</v>
      </c>
      <c r="D916" s="1">
        <v>1.6753404890000001</v>
      </c>
      <c r="E916" s="1"/>
      <c r="H916" s="2">
        <v>33.9753185</v>
      </c>
      <c r="I916" s="2">
        <v>25.2322439</v>
      </c>
      <c r="J916" s="2">
        <v>27.809434199999998</v>
      </c>
      <c r="L916" s="2"/>
      <c r="M916" s="2"/>
    </row>
    <row r="917" spans="2:13">
      <c r="B917" s="2"/>
      <c r="C917" s="1">
        <v>21.953111849999999</v>
      </c>
      <c r="D917" s="1">
        <v>0.95639516099999999</v>
      </c>
      <c r="E917" s="1"/>
      <c r="H917" s="2">
        <v>40.369483000000002</v>
      </c>
      <c r="I917" s="2">
        <v>36.379205599999999</v>
      </c>
      <c r="J917" s="2">
        <v>35.109410699999998</v>
      </c>
      <c r="L917" s="2"/>
      <c r="M917" s="2"/>
    </row>
    <row r="918" spans="2:13">
      <c r="B918" s="2"/>
      <c r="C918" s="1">
        <v>6.8165740579999996</v>
      </c>
      <c r="D918" s="1">
        <v>0.51447463800000004</v>
      </c>
      <c r="E918" s="1"/>
      <c r="H918" s="2">
        <v>14.4299935</v>
      </c>
      <c r="I918" s="2">
        <v>13.8676288</v>
      </c>
      <c r="J918" s="2">
        <v>9.7333019600000004</v>
      </c>
      <c r="L918" s="2"/>
      <c r="M918" s="2"/>
    </row>
    <row r="919" spans="2:13">
      <c r="B919" s="2"/>
      <c r="C919" s="1">
        <v>4.0392276750000002</v>
      </c>
      <c r="D919" s="1">
        <v>0.310003949</v>
      </c>
      <c r="E919" s="1"/>
      <c r="H919" s="2">
        <v>8.4402971000000004</v>
      </c>
      <c r="I919" s="2">
        <v>4.7572807399999997</v>
      </c>
      <c r="J919" s="2">
        <v>7.6475944</v>
      </c>
      <c r="L919" s="2"/>
      <c r="M919" s="2"/>
    </row>
    <row r="920" spans="2:13">
      <c r="B920" s="2"/>
      <c r="C920" s="1">
        <v>14.949368789999999</v>
      </c>
      <c r="D920" s="1">
        <v>1.437890656</v>
      </c>
      <c r="E920" s="1"/>
      <c r="H920" s="2">
        <v>38.620753399999998</v>
      </c>
      <c r="I920" s="2">
        <v>19.044669599999999</v>
      </c>
      <c r="J920" s="2">
        <v>35.7351229</v>
      </c>
      <c r="L920" s="2"/>
      <c r="M920" s="2"/>
    </row>
    <row r="921" spans="2:13">
      <c r="B921" s="2"/>
      <c r="C921" s="1">
        <v>6.2973310390000004</v>
      </c>
      <c r="D921" s="1">
        <v>0.34957892099999999</v>
      </c>
      <c r="E921" s="1"/>
      <c r="H921" s="2">
        <v>8.8566613000000007</v>
      </c>
      <c r="I921" s="2">
        <v>6.7783477200000002</v>
      </c>
      <c r="J921" s="2">
        <v>6.0833137300000004</v>
      </c>
      <c r="L921" s="2"/>
      <c r="M921" s="2"/>
    </row>
    <row r="922" spans="2:13">
      <c r="B922" s="2"/>
      <c r="C922" s="1">
        <v>6.4965754530000002</v>
      </c>
      <c r="D922" s="1">
        <v>0.20447069000000001</v>
      </c>
      <c r="E922" s="1"/>
      <c r="H922" s="2">
        <v>6.2038265499999996</v>
      </c>
      <c r="I922" s="2">
        <v>5.7678142299999999</v>
      </c>
      <c r="J922" s="2">
        <v>4.3104623000000002</v>
      </c>
      <c r="L922" s="2"/>
      <c r="M922" s="2"/>
    </row>
    <row r="923" spans="2:13">
      <c r="B923" s="2"/>
      <c r="C923" s="1">
        <v>40.446616140000003</v>
      </c>
      <c r="D923" s="1">
        <v>5.1051714119999998</v>
      </c>
      <c r="E923" s="1"/>
      <c r="H923" s="2">
        <v>87.656559799999997</v>
      </c>
      <c r="I923" s="2">
        <v>46.064780499999998</v>
      </c>
      <c r="J923" s="2">
        <v>77.727368499999997</v>
      </c>
      <c r="L923" s="2"/>
      <c r="M923" s="2"/>
    </row>
    <row r="924" spans="2:13">
      <c r="B924" s="2"/>
      <c r="C924" s="1">
        <v>42.855662240000001</v>
      </c>
      <c r="D924" s="1">
        <v>1.3983156839999999</v>
      </c>
      <c r="E924" s="1"/>
      <c r="H924" s="2">
        <v>20.592183599999998</v>
      </c>
      <c r="I924" s="2">
        <v>29.367657900000001</v>
      </c>
      <c r="J924" s="2">
        <v>17.485181699999998</v>
      </c>
      <c r="L924" s="2"/>
      <c r="M924" s="2"/>
    </row>
    <row r="925" spans="2:13">
      <c r="B925" s="2"/>
      <c r="C925" s="1">
        <v>35.079092359999997</v>
      </c>
      <c r="D925" s="1">
        <v>1.477465628</v>
      </c>
      <c r="E925" s="1"/>
      <c r="H925" s="2">
        <v>41.0891983</v>
      </c>
      <c r="I925" s="2">
        <v>41.291953100000001</v>
      </c>
      <c r="J925" s="2">
        <v>32.919417699999997</v>
      </c>
      <c r="L925" s="2"/>
      <c r="M925" s="2"/>
    </row>
    <row r="926" spans="2:13">
      <c r="B926" s="2"/>
      <c r="C926" s="1">
        <v>32.688159390000003</v>
      </c>
      <c r="D926" s="1">
        <v>1.662148832</v>
      </c>
      <c r="E926" s="1"/>
      <c r="H926" s="2">
        <v>33.939630200000003</v>
      </c>
      <c r="I926" s="2">
        <v>32.990031799999997</v>
      </c>
      <c r="J926" s="2">
        <v>28.4003847</v>
      </c>
      <c r="L926" s="2"/>
      <c r="M926" s="2"/>
    </row>
    <row r="927" spans="2:13">
      <c r="B927" s="2"/>
      <c r="C927" s="1">
        <v>9.6603352470000008</v>
      </c>
      <c r="D927" s="1">
        <v>0.46170800899999997</v>
      </c>
      <c r="E927" s="1"/>
      <c r="H927" s="2">
        <v>12.0150811</v>
      </c>
      <c r="I927" s="2">
        <v>8.7838680300000007</v>
      </c>
      <c r="J927" s="2">
        <v>7.6128326099999999</v>
      </c>
      <c r="L927" s="2"/>
      <c r="M927" s="2"/>
    </row>
    <row r="928" spans="2:13">
      <c r="B928" s="2"/>
      <c r="C928" s="1">
        <v>31.75231441</v>
      </c>
      <c r="D928" s="1">
        <v>3.0604645160000001</v>
      </c>
      <c r="E928" s="1"/>
      <c r="H928" s="2">
        <v>20.479170499999999</v>
      </c>
      <c r="I928" s="2">
        <v>16.0130692</v>
      </c>
      <c r="J928" s="2">
        <v>17.5894671</v>
      </c>
      <c r="L928" s="2"/>
      <c r="M928" s="2"/>
    </row>
    <row r="929" spans="2:13">
      <c r="B929" s="2"/>
      <c r="C929" s="1">
        <v>14.4482389</v>
      </c>
      <c r="D929" s="1">
        <v>1.371932369</v>
      </c>
      <c r="E929" s="1"/>
      <c r="H929" s="2">
        <v>19.414467699999999</v>
      </c>
      <c r="I929" s="2">
        <v>17.5055494</v>
      </c>
      <c r="J929" s="2">
        <v>14.1828114</v>
      </c>
      <c r="L929" s="2"/>
      <c r="M929" s="2"/>
    </row>
    <row r="930" spans="2:13">
      <c r="B930" s="2"/>
      <c r="C930" s="1">
        <v>3.5260223650000002</v>
      </c>
      <c r="D930" s="1">
        <v>0.18468320399999999</v>
      </c>
      <c r="E930" s="1"/>
      <c r="H930" s="2">
        <v>6.0432289299999997</v>
      </c>
      <c r="I930" s="2">
        <v>6.0787476099999997</v>
      </c>
      <c r="J930" s="2">
        <v>5.5618868399999997</v>
      </c>
      <c r="L930" s="2"/>
      <c r="M930" s="2"/>
    </row>
    <row r="931" spans="2:13">
      <c r="B931" s="2"/>
      <c r="C931" s="1">
        <v>25.461021079999998</v>
      </c>
      <c r="D931" s="1">
        <v>4.8809132359999996</v>
      </c>
      <c r="E931" s="1"/>
      <c r="H931" s="2">
        <v>154.090442</v>
      </c>
      <c r="I931" s="2">
        <v>186.65330900000001</v>
      </c>
      <c r="J931" s="2">
        <v>166.16136900000001</v>
      </c>
      <c r="L931" s="2"/>
      <c r="M931" s="2"/>
    </row>
    <row r="932" spans="2:13">
      <c r="B932" s="2"/>
      <c r="C932" s="1">
        <v>35.223997390000001</v>
      </c>
      <c r="D932" s="1">
        <v>1.3587407119999999</v>
      </c>
      <c r="E932" s="1"/>
      <c r="H932" s="2">
        <v>34.0823836</v>
      </c>
      <c r="I932" s="2">
        <v>14.0075488</v>
      </c>
      <c r="J932" s="2">
        <v>28.1918139</v>
      </c>
      <c r="L932" s="2"/>
      <c r="M932" s="2"/>
    </row>
    <row r="933" spans="2:13">
      <c r="B933" s="2"/>
      <c r="C933" s="1">
        <v>8.639962336</v>
      </c>
      <c r="D933" s="1">
        <v>65.212958330000006</v>
      </c>
      <c r="E933" s="1"/>
      <c r="H933" s="2">
        <v>24.226448300000001</v>
      </c>
      <c r="I933" s="2">
        <v>23.397736999999999</v>
      </c>
      <c r="J933" s="2">
        <v>31.320375200000001</v>
      </c>
      <c r="L933" s="2"/>
      <c r="M933" s="2"/>
    </row>
    <row r="934" spans="2:13">
      <c r="B934" s="2"/>
      <c r="C934" s="1">
        <v>7.3780810450000001</v>
      </c>
      <c r="D934" s="1">
        <v>0.34298309199999999</v>
      </c>
      <c r="E934" s="1"/>
      <c r="H934" s="2">
        <v>7.3993865999999997</v>
      </c>
      <c r="I934" s="2">
        <v>3.8400272599999998</v>
      </c>
      <c r="J934" s="2">
        <v>5.3185542899999998</v>
      </c>
      <c r="L934" s="2"/>
      <c r="M934" s="2"/>
    </row>
    <row r="935" spans="2:13">
      <c r="B935" s="2"/>
      <c r="C935" s="1">
        <v>19.67689536</v>
      </c>
      <c r="D935" s="1">
        <v>0.63319955500000003</v>
      </c>
      <c r="E935" s="1"/>
      <c r="H935" s="2">
        <v>14.412149299999999</v>
      </c>
      <c r="I935" s="2">
        <v>19.340056300000001</v>
      </c>
      <c r="J935" s="2">
        <v>11.540915200000001</v>
      </c>
      <c r="L935" s="2"/>
      <c r="M935" s="2"/>
    </row>
    <row r="936" spans="2:13">
      <c r="B936" s="2"/>
      <c r="C936" s="1">
        <v>25.30404064</v>
      </c>
      <c r="D936" s="1">
        <v>0.92341601799999995</v>
      </c>
      <c r="E936" s="1"/>
      <c r="H936" s="2">
        <v>17.136360799999999</v>
      </c>
      <c r="I936" s="2">
        <v>17.427816</v>
      </c>
      <c r="J936" s="2">
        <v>15.8166157</v>
      </c>
      <c r="L936" s="2"/>
      <c r="M936" s="2"/>
    </row>
    <row r="937" spans="2:13">
      <c r="B937" s="2"/>
      <c r="C937" s="1">
        <v>14.164466559999999</v>
      </c>
      <c r="D937" s="1">
        <v>1.846832035</v>
      </c>
      <c r="E937" s="1"/>
      <c r="H937" s="2">
        <v>45.936867100000001</v>
      </c>
      <c r="I937" s="2">
        <v>49.718247699999999</v>
      </c>
      <c r="J937" s="2">
        <v>40.462726699999997</v>
      </c>
      <c r="L937" s="2"/>
      <c r="M937" s="2"/>
    </row>
    <row r="938" spans="2:13">
      <c r="B938" s="2"/>
      <c r="C938" s="1">
        <v>30.019491779999999</v>
      </c>
      <c r="D938" s="1">
        <v>1.312569911</v>
      </c>
      <c r="E938" s="1"/>
      <c r="H938" s="2">
        <v>27.628738599999998</v>
      </c>
      <c r="I938" s="2">
        <v>22.014083400000001</v>
      </c>
      <c r="J938" s="2">
        <v>22.525641700000001</v>
      </c>
      <c r="L938" s="2"/>
      <c r="M938" s="2"/>
    </row>
    <row r="939" spans="2:13">
      <c r="B939" s="2"/>
      <c r="C939" s="1">
        <v>36.836065840000003</v>
      </c>
      <c r="D939" s="1">
        <v>1.1476741930000001</v>
      </c>
      <c r="E939" s="1"/>
      <c r="H939" s="2">
        <v>25.154345599999999</v>
      </c>
      <c r="I939" s="2">
        <v>18.811469599999999</v>
      </c>
      <c r="J939" s="2">
        <v>25.897535600000001</v>
      </c>
      <c r="L939" s="2"/>
      <c r="M939" s="2"/>
    </row>
    <row r="940" spans="2:13">
      <c r="B940" s="2"/>
      <c r="C940" s="1">
        <v>22.26707274</v>
      </c>
      <c r="D940" s="1">
        <v>0.94320350399999997</v>
      </c>
      <c r="E940" s="1"/>
      <c r="H940" s="2">
        <v>19.0813764</v>
      </c>
      <c r="I940" s="2">
        <v>18.049682799999999</v>
      </c>
      <c r="J940" s="2">
        <v>13.5570992</v>
      </c>
      <c r="L940" s="2"/>
      <c r="M940" s="2"/>
    </row>
    <row r="941" spans="2:13">
      <c r="B941" s="2"/>
      <c r="C941" s="1">
        <v>6.9494036680000004</v>
      </c>
      <c r="D941" s="1">
        <v>0.20447069000000001</v>
      </c>
      <c r="E941" s="1"/>
      <c r="H941" s="2">
        <v>4.5562139400000001</v>
      </c>
      <c r="I941" s="2">
        <v>3.9022139400000002</v>
      </c>
      <c r="J941" s="2">
        <v>3.6499882399999999</v>
      </c>
      <c r="L941" s="2"/>
      <c r="M941" s="2"/>
    </row>
    <row r="942" spans="2:13">
      <c r="B942" s="2"/>
      <c r="C942" s="1">
        <v>45.294896889999997</v>
      </c>
      <c r="D942" s="1">
        <v>10.183959509999999</v>
      </c>
      <c r="E942" s="1"/>
      <c r="H942" s="2">
        <v>66.856194099999996</v>
      </c>
      <c r="I942" s="2">
        <v>80.0342524</v>
      </c>
      <c r="J942" s="2">
        <v>61.7369439</v>
      </c>
      <c r="L942" s="2"/>
      <c r="M942" s="2"/>
    </row>
    <row r="943" spans="2:13">
      <c r="B943" s="2"/>
      <c r="C943" s="1">
        <v>18.149354840000001</v>
      </c>
      <c r="D943" s="1">
        <v>1.0091617909999999</v>
      </c>
      <c r="E943" s="1"/>
      <c r="H943" s="2">
        <v>30.204248499999999</v>
      </c>
      <c r="I943" s="2">
        <v>36.907792399999998</v>
      </c>
      <c r="J943" s="2">
        <v>27.392292699999999</v>
      </c>
      <c r="L943" s="2"/>
      <c r="M943" s="2"/>
    </row>
    <row r="944" spans="2:13">
      <c r="B944" s="2"/>
      <c r="C944" s="1">
        <v>13.54862018</v>
      </c>
      <c r="D944" s="1">
        <v>0.88384104500000005</v>
      </c>
      <c r="E944" s="1"/>
      <c r="H944" s="2">
        <v>13.9065642</v>
      </c>
      <c r="I944" s="2">
        <v>12.390695300000001</v>
      </c>
      <c r="J944" s="2">
        <v>13.244243000000001</v>
      </c>
      <c r="L944" s="2"/>
      <c r="M944" s="2"/>
    </row>
    <row r="945" spans="2:13">
      <c r="B945" s="2"/>
      <c r="C945" s="1">
        <v>26.674600699999999</v>
      </c>
      <c r="D945" s="1">
        <v>0.97618264700000001</v>
      </c>
      <c r="E945" s="1"/>
      <c r="H945" s="2">
        <v>22.281432599999999</v>
      </c>
      <c r="I945" s="2">
        <v>15.546669100000001</v>
      </c>
      <c r="J945" s="2">
        <v>20.196601600000001</v>
      </c>
      <c r="L945" s="2"/>
      <c r="M945" s="2"/>
    </row>
    <row r="946" spans="2:13">
      <c r="B946" s="2"/>
      <c r="C946" s="1">
        <v>27.550068580000001</v>
      </c>
      <c r="D946" s="1">
        <v>1.5698072300000001</v>
      </c>
      <c r="E946" s="1"/>
      <c r="H946" s="2">
        <v>24.4405784</v>
      </c>
      <c r="I946" s="2">
        <v>13.6810688</v>
      </c>
      <c r="J946" s="2">
        <v>19.118986</v>
      </c>
      <c r="L946" s="2"/>
      <c r="M946" s="2"/>
    </row>
    <row r="947" spans="2:13">
      <c r="B947" s="2"/>
      <c r="C947" s="1">
        <v>104.7723735</v>
      </c>
      <c r="D947" s="1">
        <v>871.96195799999998</v>
      </c>
      <c r="E947" s="1"/>
      <c r="H947" s="2">
        <v>75.314335299999996</v>
      </c>
      <c r="I947" s="2">
        <v>65.980063599999994</v>
      </c>
      <c r="J947" s="2">
        <v>71.713578400000003</v>
      </c>
      <c r="L947" s="2"/>
      <c r="M947" s="2"/>
    </row>
    <row r="948" spans="2:13">
      <c r="B948" s="2"/>
      <c r="C948" s="1">
        <v>2.4633854880000001</v>
      </c>
      <c r="D948" s="1">
        <v>34.568738199999999</v>
      </c>
      <c r="E948" s="1"/>
      <c r="H948" s="2">
        <v>3.7294336000000001</v>
      </c>
      <c r="I948" s="2">
        <v>3.54464055</v>
      </c>
      <c r="J948" s="2">
        <v>4.4495094699999997</v>
      </c>
      <c r="L948" s="2"/>
      <c r="M948" s="2"/>
    </row>
    <row r="949" spans="2:13">
      <c r="B949" s="2"/>
      <c r="C949" s="1">
        <v>18.26407133</v>
      </c>
      <c r="D949" s="1">
        <v>0.64639121200000005</v>
      </c>
      <c r="E949" s="1"/>
      <c r="H949" s="2">
        <v>14.132590499999999</v>
      </c>
      <c r="I949" s="2">
        <v>18.904749599999999</v>
      </c>
      <c r="J949" s="2">
        <v>10.741394</v>
      </c>
      <c r="L949" s="2"/>
      <c r="M949" s="2"/>
    </row>
    <row r="950" spans="2:13">
      <c r="B950" s="2"/>
      <c r="C950" s="1">
        <v>16.47690931</v>
      </c>
      <c r="D950" s="1">
        <v>0.620007898</v>
      </c>
      <c r="E950" s="1"/>
      <c r="H950" s="2">
        <v>14.6857601</v>
      </c>
      <c r="I950" s="2">
        <v>17.8786694</v>
      </c>
      <c r="J950" s="2">
        <v>11.123773699999999</v>
      </c>
      <c r="L950" s="2"/>
      <c r="M950" s="2"/>
    </row>
    <row r="951" spans="2:13">
      <c r="B951" s="2"/>
      <c r="C951" s="1">
        <v>44.177920630000003</v>
      </c>
      <c r="D951" s="1">
        <v>4.696230033</v>
      </c>
      <c r="E951" s="1"/>
      <c r="H951" s="2">
        <v>23.316395100000001</v>
      </c>
      <c r="I951" s="2">
        <v>32.616911700000003</v>
      </c>
      <c r="J951" s="2">
        <v>18.5627973</v>
      </c>
      <c r="L951" s="2"/>
      <c r="M951" s="2"/>
    </row>
    <row r="952" spans="2:13">
      <c r="B952" s="2"/>
      <c r="C952" s="1">
        <v>7.3056285299999999</v>
      </c>
      <c r="D952" s="1">
        <v>0.17808737499999999</v>
      </c>
      <c r="E952" s="1"/>
      <c r="H952" s="2">
        <v>4.6632790200000001</v>
      </c>
      <c r="I952" s="2">
        <v>2.4719203799999998</v>
      </c>
      <c r="J952" s="2">
        <v>2.8852288000000001</v>
      </c>
      <c r="L952" s="2"/>
      <c r="M952" s="2"/>
    </row>
    <row r="953" spans="2:13">
      <c r="B953" s="2"/>
      <c r="C953" s="1">
        <v>52.54014832</v>
      </c>
      <c r="D953" s="1">
        <v>3.4825975520000001</v>
      </c>
      <c r="E953" s="1"/>
      <c r="H953" s="2">
        <v>45.663256400000002</v>
      </c>
      <c r="I953" s="2">
        <v>44.7433136</v>
      </c>
      <c r="J953" s="2">
        <v>39.663205499999997</v>
      </c>
      <c r="L953" s="2"/>
      <c r="M953" s="2"/>
    </row>
    <row r="954" spans="2:13">
      <c r="B954" s="2"/>
      <c r="C954" s="1">
        <v>0.682261177</v>
      </c>
      <c r="D954" s="1">
        <v>1.3191657000000001E-2</v>
      </c>
      <c r="E954" s="1"/>
      <c r="H954" s="2">
        <v>0.66618272000000001</v>
      </c>
      <c r="I954" s="2">
        <v>0.65296010000000004</v>
      </c>
      <c r="J954" s="2">
        <v>0.45190331</v>
      </c>
      <c r="L954" s="2"/>
      <c r="M954" s="2"/>
    </row>
    <row r="955" spans="2:13">
      <c r="B955" s="2"/>
      <c r="C955" s="1">
        <v>10.94636738</v>
      </c>
      <c r="D955" s="1">
        <v>0.53426212500000003</v>
      </c>
      <c r="E955" s="1"/>
      <c r="H955" s="2">
        <v>11.5868208</v>
      </c>
      <c r="I955" s="2">
        <v>6.4518676700000004</v>
      </c>
      <c r="J955" s="2">
        <v>10.463299599999999</v>
      </c>
      <c r="L955" s="2"/>
      <c r="M955" s="2"/>
    </row>
    <row r="956" spans="2:13">
      <c r="B956" s="2"/>
      <c r="C956" s="1">
        <v>4.0875293509999997</v>
      </c>
      <c r="D956" s="1">
        <v>0.118724917</v>
      </c>
      <c r="E956" s="1"/>
      <c r="H956" s="2">
        <v>6.5607101500000002</v>
      </c>
      <c r="I956" s="2">
        <v>4.1043206400000001</v>
      </c>
      <c r="J956" s="2">
        <v>3.3371320999999998</v>
      </c>
      <c r="L956" s="2"/>
      <c r="M956" s="2"/>
    </row>
    <row r="957" spans="2:13">
      <c r="B957" s="2"/>
      <c r="C957" s="1">
        <v>6.9252528299999998</v>
      </c>
      <c r="D957" s="1">
        <v>0.26383314800000002</v>
      </c>
      <c r="E957" s="1"/>
      <c r="H957" s="2">
        <v>13.537784500000001</v>
      </c>
      <c r="I957" s="2">
        <v>5.9699209299999998</v>
      </c>
      <c r="J957" s="2">
        <v>9.5247312100000006</v>
      </c>
      <c r="L957" s="2"/>
      <c r="M957" s="2"/>
    </row>
    <row r="958" spans="2:13">
      <c r="B958" s="2"/>
      <c r="C958" s="1">
        <v>5.4399762860000003</v>
      </c>
      <c r="D958" s="1">
        <v>0.73873281400000002</v>
      </c>
      <c r="E958" s="1"/>
      <c r="H958" s="2">
        <v>18.772077299999999</v>
      </c>
      <c r="I958" s="2">
        <v>25.201150599999998</v>
      </c>
      <c r="J958" s="2">
        <v>14.8432855</v>
      </c>
      <c r="L958" s="2"/>
      <c r="M958" s="2"/>
    </row>
    <row r="959" spans="2:13">
      <c r="B959" s="2"/>
      <c r="C959" s="1">
        <v>32.452688719999998</v>
      </c>
      <c r="D959" s="1">
        <v>3.5023850379999999</v>
      </c>
      <c r="E959" s="1"/>
      <c r="H959" s="2">
        <v>63.733462600000003</v>
      </c>
      <c r="I959" s="2">
        <v>41.602886499999997</v>
      </c>
      <c r="J959" s="2">
        <v>50.647931999999997</v>
      </c>
      <c r="L959" s="2"/>
      <c r="M959" s="2"/>
    </row>
    <row r="960" spans="2:13">
      <c r="B960" s="2"/>
      <c r="C960" s="1">
        <v>15.335782200000001</v>
      </c>
      <c r="D960" s="1">
        <v>4.0102638480000001</v>
      </c>
      <c r="E960" s="1"/>
      <c r="H960" s="2">
        <v>32.952252199999997</v>
      </c>
      <c r="I960" s="2">
        <v>17.4589094</v>
      </c>
      <c r="J960" s="2">
        <v>26.870865800000001</v>
      </c>
      <c r="L960" s="2"/>
      <c r="M960" s="2"/>
    </row>
    <row r="961" spans="2:13">
      <c r="B961" s="2"/>
      <c r="C961" s="1">
        <v>10.65051961</v>
      </c>
      <c r="D961" s="1">
        <v>0.65958287000000004</v>
      </c>
      <c r="E961" s="1"/>
      <c r="H961" s="2">
        <v>14.3586168</v>
      </c>
      <c r="I961" s="2">
        <v>16.868136</v>
      </c>
      <c r="J961" s="2">
        <v>6.77854958</v>
      </c>
      <c r="L961" s="2"/>
      <c r="M961" s="2"/>
    </row>
    <row r="962" spans="2:13">
      <c r="B962" s="2"/>
      <c r="C962" s="1">
        <v>3.0611187310000001</v>
      </c>
      <c r="D962" s="1">
        <v>0.237449833</v>
      </c>
      <c r="E962" s="1"/>
      <c r="H962" s="2">
        <v>7.76221826</v>
      </c>
      <c r="I962" s="2">
        <v>5.1304008000000003</v>
      </c>
      <c r="J962" s="2">
        <v>5.38807787</v>
      </c>
      <c r="L962" s="2"/>
      <c r="M962" s="2"/>
    </row>
    <row r="963" spans="2:13">
      <c r="B963" s="2"/>
      <c r="C963" s="1">
        <v>27.38101271</v>
      </c>
      <c r="D963" s="1">
        <v>1.6423613459999999</v>
      </c>
      <c r="E963" s="1"/>
      <c r="H963" s="2">
        <v>43.813409700000001</v>
      </c>
      <c r="I963" s="2">
        <v>35.819525599999999</v>
      </c>
      <c r="J963" s="2">
        <v>35.0746489</v>
      </c>
      <c r="L963" s="2"/>
      <c r="M963" s="2"/>
    </row>
    <row r="964" spans="2:13">
      <c r="B964" s="2"/>
      <c r="C964" s="1">
        <v>33.636079789999997</v>
      </c>
      <c r="D964" s="1">
        <v>1.8138528920000001</v>
      </c>
      <c r="E964" s="1"/>
      <c r="H964" s="2">
        <v>52.0633689</v>
      </c>
      <c r="I964" s="2">
        <v>48.598887499999996</v>
      </c>
      <c r="J964" s="2">
        <v>49.7788872</v>
      </c>
      <c r="L964" s="2"/>
      <c r="M964" s="2"/>
    </row>
    <row r="965" spans="2:13">
      <c r="B965" s="2"/>
      <c r="C965" s="1">
        <v>100.5942785</v>
      </c>
      <c r="D965" s="1">
        <v>21.238568409999999</v>
      </c>
      <c r="E965" s="1"/>
      <c r="H965" s="2">
        <v>114.410934</v>
      </c>
      <c r="I965" s="2">
        <v>63.616969900000001</v>
      </c>
      <c r="J965" s="2">
        <v>119.997709</v>
      </c>
      <c r="L965" s="2"/>
      <c r="M965" s="2"/>
    </row>
    <row r="966" spans="2:13">
      <c r="B966" s="2"/>
      <c r="C966" s="1">
        <v>25.726680300000002</v>
      </c>
      <c r="D966" s="1">
        <v>2.5855648489999998</v>
      </c>
      <c r="E966" s="1"/>
      <c r="H966" s="2">
        <v>34.9626965</v>
      </c>
      <c r="I966" s="2">
        <v>20.024109800000002</v>
      </c>
      <c r="J966" s="2">
        <v>22.525641700000001</v>
      </c>
      <c r="L966" s="2"/>
      <c r="M966" s="2"/>
    </row>
    <row r="967" spans="2:13">
      <c r="B967" s="2"/>
      <c r="C967" s="1">
        <v>33.913814430000002</v>
      </c>
      <c r="D967" s="1">
        <v>1.3587407119999999</v>
      </c>
      <c r="E967" s="1"/>
      <c r="H967" s="2">
        <v>29.722455700000001</v>
      </c>
      <c r="I967" s="2">
        <v>22.387203499999998</v>
      </c>
      <c r="J967" s="2">
        <v>19.397080299999999</v>
      </c>
      <c r="L967" s="2"/>
      <c r="M967" s="2"/>
    </row>
    <row r="968" spans="2:13">
      <c r="B968" s="2"/>
      <c r="C968" s="1">
        <v>78.007207120000004</v>
      </c>
      <c r="D968" s="1">
        <v>12.76952436</v>
      </c>
      <c r="E968" s="1"/>
      <c r="H968" s="2">
        <v>66.850245999999999</v>
      </c>
      <c r="I968" s="2">
        <v>46.018140500000001</v>
      </c>
      <c r="J968" s="2">
        <v>56.626960400000002</v>
      </c>
      <c r="L968" s="2"/>
      <c r="M968" s="2"/>
    </row>
    <row r="969" spans="2:13">
      <c r="B969" s="2"/>
      <c r="C969" s="1">
        <v>32.259482009999999</v>
      </c>
      <c r="D969" s="1">
        <v>0.73213698500000002</v>
      </c>
      <c r="E969" s="1"/>
      <c r="H969" s="2">
        <v>34.742618299999997</v>
      </c>
      <c r="I969" s="2">
        <v>39.986032899999998</v>
      </c>
      <c r="J969" s="2">
        <v>45.016521599999997</v>
      </c>
      <c r="L969" s="2"/>
      <c r="M969" s="2"/>
    </row>
    <row r="970" spans="2:13">
      <c r="B970" s="2"/>
      <c r="C970" s="1">
        <v>52.232225139999997</v>
      </c>
      <c r="D970" s="1">
        <v>2.275560901</v>
      </c>
      <c r="E970" s="1"/>
      <c r="H970" s="2">
        <v>71.906097000000003</v>
      </c>
      <c r="I970" s="2">
        <v>76.256411799999995</v>
      </c>
      <c r="J970" s="2">
        <v>37.334165400000003</v>
      </c>
      <c r="L970" s="2"/>
      <c r="M970" s="2"/>
    </row>
    <row r="971" spans="2:13">
      <c r="B971" s="2"/>
      <c r="C971" s="1">
        <v>93.499969770000007</v>
      </c>
      <c r="D971" s="1">
        <v>6.6090203550000002</v>
      </c>
      <c r="E971" s="1"/>
      <c r="H971" s="2">
        <v>90.321290599999998</v>
      </c>
      <c r="I971" s="2">
        <v>82.521719500000003</v>
      </c>
      <c r="J971" s="2">
        <v>90.519708300000005</v>
      </c>
      <c r="L971" s="2"/>
      <c r="M971" s="2"/>
    </row>
    <row r="972" spans="2:13">
      <c r="B972" s="2"/>
      <c r="C972" s="1">
        <v>14.412012649999999</v>
      </c>
      <c r="D972" s="1">
        <v>0.310003949</v>
      </c>
      <c r="E972" s="1"/>
      <c r="H972" s="2">
        <v>15.7385667</v>
      </c>
      <c r="I972" s="2">
        <v>12.328508599999999</v>
      </c>
      <c r="J972" s="2">
        <v>15.3994742</v>
      </c>
      <c r="L972" s="2"/>
      <c r="M972" s="2"/>
    </row>
    <row r="973" spans="2:13">
      <c r="B973" s="2"/>
      <c r="C973" s="1">
        <v>47.045832650000001</v>
      </c>
      <c r="D973" s="1">
        <v>2.8559938260000002</v>
      </c>
      <c r="E973" s="1"/>
      <c r="H973" s="2">
        <v>44.735359000000003</v>
      </c>
      <c r="I973" s="2">
        <v>26.957924200000001</v>
      </c>
      <c r="J973" s="2">
        <v>44.077953200000003</v>
      </c>
      <c r="L973" s="2"/>
      <c r="M973" s="2"/>
    </row>
    <row r="974" spans="2:13">
      <c r="B974" s="2"/>
      <c r="C974" s="1">
        <v>98.782965610000005</v>
      </c>
      <c r="D974" s="1">
        <v>4.9930423240000001</v>
      </c>
      <c r="E974" s="1"/>
      <c r="H974" s="2">
        <v>80.251225099999999</v>
      </c>
      <c r="I974" s="2">
        <v>28.372671100000002</v>
      </c>
      <c r="J974" s="2">
        <v>73.382144499999995</v>
      </c>
      <c r="L974" s="2"/>
      <c r="M974" s="2"/>
    </row>
    <row r="975" spans="2:13">
      <c r="B975" s="2"/>
      <c r="C975" s="1">
        <v>20.80594704</v>
      </c>
      <c r="D975" s="1">
        <v>0.51447463800000004</v>
      </c>
      <c r="E975" s="1"/>
      <c r="H975" s="2">
        <v>11.705781999999999</v>
      </c>
      <c r="I975" s="2">
        <v>11.5045351</v>
      </c>
      <c r="J975" s="2">
        <v>8.9337807300000005</v>
      </c>
      <c r="L975" s="2"/>
      <c r="M975" s="2"/>
    </row>
    <row r="976" spans="2:13">
      <c r="B976" s="2"/>
      <c r="C976" s="1">
        <v>82.300018589999993</v>
      </c>
      <c r="D976" s="1">
        <v>4.3004803110000003</v>
      </c>
      <c r="E976" s="1"/>
      <c r="H976" s="2">
        <v>71.293446799999998</v>
      </c>
      <c r="I976" s="2">
        <v>43.266379999999998</v>
      </c>
      <c r="J976" s="2">
        <v>47.380323500000003</v>
      </c>
      <c r="L976" s="2"/>
      <c r="M976" s="2"/>
    </row>
    <row r="977" spans="2:13">
      <c r="B977" s="2"/>
      <c r="C977" s="1">
        <v>18.771238929999999</v>
      </c>
      <c r="D977" s="1">
        <v>1.299378253</v>
      </c>
      <c r="E977" s="1"/>
      <c r="H977" s="2">
        <v>43.278084300000003</v>
      </c>
      <c r="I977" s="2">
        <v>52.578834800000003</v>
      </c>
      <c r="J977" s="2">
        <v>46.963182000000003</v>
      </c>
      <c r="L977" s="2"/>
      <c r="M977" s="2"/>
    </row>
    <row r="978" spans="2:13">
      <c r="B978" s="2"/>
      <c r="C978" s="1">
        <v>9.7025992129999992</v>
      </c>
      <c r="D978" s="1">
        <v>0.91022435999999995</v>
      </c>
      <c r="E978" s="1"/>
      <c r="H978" s="2">
        <v>20.758729299999999</v>
      </c>
      <c r="I978" s="2">
        <v>28.248297699999998</v>
      </c>
      <c r="J978" s="2">
        <v>14.7737619</v>
      </c>
      <c r="L978" s="2"/>
      <c r="M978" s="2"/>
    </row>
    <row r="979" spans="2:13">
      <c r="B979" s="2"/>
      <c r="C979" s="1">
        <v>24.869325549999999</v>
      </c>
      <c r="D979" s="1">
        <v>2.1238568409999998</v>
      </c>
      <c r="E979" s="1"/>
      <c r="H979" s="2">
        <v>42.225277699999999</v>
      </c>
      <c r="I979" s="2">
        <v>51.412834599999996</v>
      </c>
      <c r="J979" s="2">
        <v>38.307495600000003</v>
      </c>
      <c r="L979" s="2"/>
      <c r="M979" s="2"/>
    </row>
    <row r="980" spans="2:13">
      <c r="B980" s="2"/>
      <c r="C980" s="1">
        <v>68.111401200000003</v>
      </c>
      <c r="D980" s="1">
        <v>3.1264228030000001</v>
      </c>
      <c r="E980" s="1"/>
      <c r="H980" s="2">
        <v>55.864179200000002</v>
      </c>
      <c r="I980" s="2">
        <v>66.648570300000003</v>
      </c>
      <c r="J980" s="2">
        <v>58.747429699999998</v>
      </c>
      <c r="L980" s="2"/>
      <c r="M980" s="2"/>
    </row>
    <row r="981" spans="2:13">
      <c r="B981" s="2"/>
      <c r="C981" s="1">
        <v>11.870136929999999</v>
      </c>
      <c r="D981" s="1">
        <v>1.035545106</v>
      </c>
      <c r="E981" s="1"/>
      <c r="H981" s="2">
        <v>23.096316900000001</v>
      </c>
      <c r="I981" s="2">
        <v>21.267843299999999</v>
      </c>
      <c r="J981" s="2">
        <v>19.918507200000001</v>
      </c>
      <c r="L981" s="2"/>
      <c r="M981" s="2"/>
    </row>
    <row r="982" spans="2:13">
      <c r="B982" s="2"/>
      <c r="C982" s="1">
        <v>10.463350610000001</v>
      </c>
      <c r="D982" s="1">
        <v>1.332357397</v>
      </c>
      <c r="E982" s="1"/>
      <c r="H982" s="2">
        <v>41.951667</v>
      </c>
      <c r="I982" s="2">
        <v>30.113897999999999</v>
      </c>
      <c r="J982" s="2">
        <v>39.350349399999999</v>
      </c>
      <c r="L982" s="2"/>
      <c r="M982" s="2"/>
    </row>
    <row r="983" spans="2:13">
      <c r="B983" s="2"/>
      <c r="C983" s="1">
        <v>39.359828419999999</v>
      </c>
      <c r="D983" s="1">
        <v>1.3785281979999999</v>
      </c>
      <c r="E983" s="1"/>
      <c r="H983" s="2">
        <v>26.605672200000001</v>
      </c>
      <c r="I983" s="2">
        <v>25.1389639</v>
      </c>
      <c r="J983" s="2">
        <v>25.4456323</v>
      </c>
      <c r="L983" s="2"/>
      <c r="M983" s="2"/>
    </row>
    <row r="984" spans="2:13">
      <c r="B984" s="2"/>
      <c r="C984" s="1">
        <v>50.879778199999997</v>
      </c>
      <c r="D984" s="1">
        <v>2.4734357619999998</v>
      </c>
      <c r="E984" s="1"/>
      <c r="H984" s="2">
        <v>55.049295000000001</v>
      </c>
      <c r="I984" s="2">
        <v>70.4108643</v>
      </c>
      <c r="J984" s="2">
        <v>45.190330500000002</v>
      </c>
      <c r="L984" s="2"/>
      <c r="M984" s="2"/>
    </row>
    <row r="985" spans="2:13">
      <c r="B985" s="2"/>
      <c r="C985" s="1">
        <v>28.884402390000002</v>
      </c>
      <c r="D985" s="1">
        <v>3.1989769180000001</v>
      </c>
      <c r="E985" s="1"/>
      <c r="H985" s="2">
        <v>72.352201500000007</v>
      </c>
      <c r="I985" s="2">
        <v>63.383769800000003</v>
      </c>
      <c r="J985" s="2">
        <v>70.462153900000004</v>
      </c>
      <c r="L985" s="2"/>
      <c r="M985" s="2"/>
    </row>
    <row r="986" spans="2:13">
      <c r="B986" s="2"/>
      <c r="C986" s="1">
        <v>3.0792318600000002</v>
      </c>
      <c r="D986" s="1">
        <v>0.118724917</v>
      </c>
      <c r="E986" s="1"/>
      <c r="H986" s="2">
        <v>7.8395430399999997</v>
      </c>
      <c r="I986" s="2">
        <v>5.0060274400000004</v>
      </c>
      <c r="J986" s="2">
        <v>5.7009340100000001</v>
      </c>
      <c r="L986" s="2"/>
      <c r="M986" s="2"/>
    </row>
    <row r="987" spans="2:13">
      <c r="B987" s="2"/>
      <c r="C987" s="1">
        <v>78.037395660000001</v>
      </c>
      <c r="D987" s="1">
        <v>4.0102638480000001</v>
      </c>
      <c r="E987" s="1"/>
      <c r="H987" s="2">
        <v>55.2039446</v>
      </c>
      <c r="I987" s="2">
        <v>52.874221499999997</v>
      </c>
      <c r="J987" s="2">
        <v>63.023130199999997</v>
      </c>
      <c r="L987" s="2"/>
      <c r="M987" s="2"/>
    </row>
    <row r="988" spans="2:13">
      <c r="B988" s="2"/>
      <c r="C988" s="1">
        <v>57.122769859999998</v>
      </c>
      <c r="D988" s="1">
        <v>3.159401946</v>
      </c>
      <c r="E988" s="1"/>
      <c r="H988" s="2">
        <v>42.6356939</v>
      </c>
      <c r="I988" s="2">
        <v>39.317526100000002</v>
      </c>
      <c r="J988" s="2">
        <v>35.387504999999997</v>
      </c>
      <c r="L988" s="2"/>
      <c r="M988" s="2"/>
    </row>
    <row r="989" spans="2:13">
      <c r="B989" s="2"/>
      <c r="C989" s="1">
        <v>128.9956641</v>
      </c>
      <c r="D989" s="1">
        <v>293.11862730000001</v>
      </c>
      <c r="E989" s="1"/>
      <c r="H989" s="2">
        <v>175.97930199999999</v>
      </c>
      <c r="I989" s="2">
        <v>123.906953</v>
      </c>
      <c r="J989" s="2">
        <v>154.20331300000001</v>
      </c>
      <c r="L989" s="2"/>
      <c r="M989" s="2"/>
    </row>
    <row r="990" spans="2:13">
      <c r="B990" s="2"/>
      <c r="C990" s="1">
        <v>15.528988910000001</v>
      </c>
      <c r="D990" s="1">
        <v>0.86405355900000003</v>
      </c>
      <c r="E990" s="1"/>
      <c r="H990" s="2">
        <v>12.0388734</v>
      </c>
      <c r="I990" s="2">
        <v>13.0436554</v>
      </c>
      <c r="J990" s="2">
        <v>8.7599717699999999</v>
      </c>
      <c r="L990" s="2"/>
      <c r="M990" s="2"/>
    </row>
    <row r="991" spans="2:13">
      <c r="B991" s="2"/>
      <c r="C991" s="1">
        <v>21.8565085</v>
      </c>
      <c r="D991" s="1">
        <v>2.104069355</v>
      </c>
      <c r="E991" s="1"/>
      <c r="H991" s="2">
        <v>30.638456900000001</v>
      </c>
      <c r="I991" s="2">
        <v>28.978991199999999</v>
      </c>
      <c r="J991" s="2">
        <v>24.055160600000001</v>
      </c>
      <c r="L991" s="2"/>
      <c r="M991" s="2"/>
    </row>
    <row r="992" spans="2:13">
      <c r="B992" s="2"/>
      <c r="C992" s="1">
        <v>9.7388254710000002</v>
      </c>
      <c r="D992" s="1">
        <v>0.49468715200000002</v>
      </c>
      <c r="E992" s="1"/>
      <c r="H992" s="2">
        <v>9.1124278699999994</v>
      </c>
      <c r="I992" s="2">
        <v>10.6339217</v>
      </c>
      <c r="J992" s="2">
        <v>6.8828349600000003</v>
      </c>
      <c r="L992" s="2"/>
      <c r="M992" s="2"/>
    </row>
    <row r="993" spans="2:13">
      <c r="B993" s="2"/>
      <c r="C993" s="1">
        <v>43.954525369999999</v>
      </c>
      <c r="D993" s="1">
        <v>1.820448721</v>
      </c>
      <c r="E993" s="1"/>
      <c r="H993" s="2">
        <v>34.700981900000002</v>
      </c>
      <c r="I993" s="2">
        <v>24.392723799999999</v>
      </c>
      <c r="J993" s="2">
        <v>30.7989484</v>
      </c>
      <c r="L993" s="2"/>
      <c r="M993" s="2"/>
    </row>
    <row r="994" spans="2:13">
      <c r="B994" s="2"/>
      <c r="C994" s="1">
        <v>20.600664909999999</v>
      </c>
      <c r="D994" s="1">
        <v>0.87724521700000002</v>
      </c>
      <c r="E994" s="1"/>
      <c r="H994" s="2">
        <v>19.158701199999999</v>
      </c>
      <c r="I994" s="2">
        <v>21.314483299999999</v>
      </c>
      <c r="J994" s="2">
        <v>20.370410499999998</v>
      </c>
      <c r="L994" s="2"/>
      <c r="M994" s="2"/>
    </row>
    <row r="995" spans="2:13">
      <c r="B995" s="2"/>
      <c r="C995" s="1">
        <v>79.033617739999997</v>
      </c>
      <c r="D995" s="1">
        <v>1.8995986650000001</v>
      </c>
      <c r="E995" s="1"/>
      <c r="H995" s="2">
        <v>30.1031315</v>
      </c>
      <c r="I995" s="2">
        <v>24.890217199999999</v>
      </c>
      <c r="J995" s="2">
        <v>22.873259600000001</v>
      </c>
      <c r="L995" s="2"/>
      <c r="M995" s="2"/>
    </row>
    <row r="996" spans="2:13">
      <c r="B996" s="2"/>
      <c r="C996" s="1">
        <v>9.4007137370000002</v>
      </c>
      <c r="D996" s="1">
        <v>0.27042897700000001</v>
      </c>
      <c r="E996" s="1"/>
      <c r="H996" s="2">
        <v>9.6774935699999993</v>
      </c>
      <c r="I996" s="2">
        <v>8.53512132</v>
      </c>
      <c r="J996" s="2">
        <v>8.2037830799999991</v>
      </c>
      <c r="L996" s="2"/>
      <c r="M996" s="2"/>
    </row>
    <row r="997" spans="2:13">
      <c r="B997" s="2"/>
      <c r="C997" s="1">
        <v>21.470095090000001</v>
      </c>
      <c r="D997" s="1">
        <v>1.5038489429999999</v>
      </c>
      <c r="E997" s="1"/>
      <c r="H997" s="2">
        <v>19.0516361</v>
      </c>
      <c r="I997" s="2">
        <v>9.7477615100000001</v>
      </c>
      <c r="J997" s="2">
        <v>13.6613845</v>
      </c>
      <c r="L997" s="2"/>
      <c r="M997" s="2"/>
    </row>
    <row r="998" spans="2:13">
      <c r="B998" s="2"/>
      <c r="C998" s="1">
        <v>46.647343820000003</v>
      </c>
      <c r="D998" s="1">
        <v>3.1462102889999999</v>
      </c>
      <c r="E998" s="1"/>
      <c r="H998" s="2">
        <v>37.942674500000003</v>
      </c>
      <c r="I998" s="2">
        <v>26.584804099999999</v>
      </c>
      <c r="J998" s="2">
        <v>34.727030900000003</v>
      </c>
      <c r="L998" s="2"/>
      <c r="M998" s="2"/>
    </row>
    <row r="999" spans="2:13">
      <c r="B999" s="2"/>
      <c r="C999" s="1">
        <v>85.910568889999993</v>
      </c>
      <c r="D999" s="1">
        <v>3.5551516680000002</v>
      </c>
      <c r="E999" s="1"/>
      <c r="H999" s="2">
        <v>46.353231299999997</v>
      </c>
      <c r="I999" s="2">
        <v>28.201657699999998</v>
      </c>
      <c r="J999" s="2">
        <v>41.436056899999997</v>
      </c>
      <c r="L999" s="2"/>
      <c r="M999" s="2"/>
    </row>
    <row r="1000" spans="2:13">
      <c r="B1000" s="2"/>
      <c r="C1000" s="1">
        <v>22.00141352</v>
      </c>
      <c r="D1000" s="1">
        <v>0.70575367099999997</v>
      </c>
      <c r="E1000" s="1"/>
      <c r="H1000" s="2">
        <v>12.401705</v>
      </c>
      <c r="I1000" s="2">
        <v>9.8876815300000001</v>
      </c>
      <c r="J1000" s="2">
        <v>9.2118750699999996</v>
      </c>
      <c r="L1000" s="2"/>
      <c r="M1000" s="2"/>
    </row>
    <row r="1001" spans="2:13">
      <c r="B1001" s="2"/>
      <c r="C1001" s="1">
        <v>32.38023621</v>
      </c>
      <c r="D1001" s="1">
        <v>1.174057508</v>
      </c>
      <c r="E1001" s="1"/>
      <c r="H1001" s="2">
        <v>28.134323699999999</v>
      </c>
      <c r="I1001" s="2">
        <v>18.438349500000001</v>
      </c>
      <c r="J1001" s="2">
        <v>24.228969500000002</v>
      </c>
      <c r="L1001" s="2"/>
      <c r="M1001" s="2"/>
    </row>
    <row r="1002" spans="2:13">
      <c r="B1002" s="2"/>
      <c r="C1002" s="1">
        <v>23.142540629999999</v>
      </c>
      <c r="D1002" s="1">
        <v>0.82447858699999998</v>
      </c>
      <c r="E1002" s="1"/>
      <c r="H1002" s="2">
        <v>28.1997523</v>
      </c>
      <c r="I1002" s="2">
        <v>29.647497900000001</v>
      </c>
      <c r="J1002" s="2">
        <v>23.603257299999999</v>
      </c>
      <c r="L1002" s="2"/>
      <c r="M1002" s="2"/>
    </row>
    <row r="1003" spans="2:13">
      <c r="B1003" s="2"/>
      <c r="C1003" s="1">
        <v>49.557519820000003</v>
      </c>
      <c r="D1003" s="1">
        <v>1.92598198</v>
      </c>
      <c r="E1003" s="1"/>
      <c r="H1003" s="2">
        <v>43.0580061</v>
      </c>
      <c r="I1003" s="2">
        <v>34.762352100000001</v>
      </c>
      <c r="J1003" s="2">
        <v>33.4060828</v>
      </c>
      <c r="L1003" s="2"/>
      <c r="M1003" s="2"/>
    </row>
    <row r="1004" spans="2:13">
      <c r="B1004" s="2"/>
      <c r="C1004" s="1">
        <v>85.650947380000005</v>
      </c>
      <c r="D1004" s="1">
        <v>1.860023693</v>
      </c>
      <c r="E1004" s="1"/>
      <c r="H1004" s="2">
        <v>34.796150799999999</v>
      </c>
      <c r="I1004" s="2">
        <v>26.2272307</v>
      </c>
      <c r="J1004" s="2">
        <v>23.568495500000001</v>
      </c>
      <c r="L1004" s="2"/>
      <c r="M1004" s="2"/>
    </row>
    <row r="1005" spans="2:13">
      <c r="B1005" s="2"/>
      <c r="C1005" s="1">
        <v>39.752279540000004</v>
      </c>
      <c r="D1005" s="1">
        <v>1.7281071189999999</v>
      </c>
      <c r="E1005" s="1"/>
      <c r="H1005" s="2">
        <v>41.404445500000001</v>
      </c>
      <c r="I1005" s="2">
        <v>42.1936599</v>
      </c>
      <c r="J1005" s="2">
        <v>39.7327291</v>
      </c>
      <c r="L1005" s="2"/>
      <c r="M1005" s="2"/>
    </row>
    <row r="1006" spans="2:13">
      <c r="B1006" s="2"/>
      <c r="C1006" s="1">
        <v>56.289565940000003</v>
      </c>
      <c r="D1006" s="1">
        <v>1.787469577</v>
      </c>
      <c r="E1006" s="1"/>
      <c r="H1006" s="2">
        <v>45.074398500000001</v>
      </c>
      <c r="I1006" s="2">
        <v>55.734808700000002</v>
      </c>
      <c r="J1006" s="2">
        <v>48.596986200000003</v>
      </c>
      <c r="L1006" s="2"/>
      <c r="M1006" s="2"/>
    </row>
    <row r="1007" spans="2:13">
      <c r="B1007" s="2"/>
      <c r="C1007" s="1">
        <v>18.765201220000002</v>
      </c>
      <c r="D1007" s="1">
        <v>1.6885321470000001</v>
      </c>
      <c r="E1007" s="1"/>
      <c r="H1007" s="2">
        <v>40.886964200000001</v>
      </c>
      <c r="I1007" s="2">
        <v>23.630936999999999</v>
      </c>
      <c r="J1007" s="2">
        <v>39.280825800000002</v>
      </c>
      <c r="L1007" s="2"/>
      <c r="M1007" s="2"/>
    </row>
    <row r="1008" spans="2:13">
      <c r="B1008" s="2"/>
      <c r="C1008" s="1">
        <v>5.669409248</v>
      </c>
      <c r="D1008" s="1">
        <v>0.29681229100000001</v>
      </c>
      <c r="E1008" s="1"/>
      <c r="H1008" s="2">
        <v>6.1205537100000003</v>
      </c>
      <c r="I1008" s="2">
        <v>5.0837607900000004</v>
      </c>
      <c r="J1008" s="2">
        <v>6.6742641999999996</v>
      </c>
      <c r="L1008" s="2"/>
      <c r="M1008" s="2"/>
    </row>
    <row r="1009" spans="2:13">
      <c r="B1009" s="2"/>
      <c r="C1009" s="1">
        <v>41.98623207</v>
      </c>
      <c r="D1009" s="1">
        <v>1.6225738599999999</v>
      </c>
      <c r="E1009" s="1"/>
      <c r="H1009" s="2">
        <v>16.303632400000001</v>
      </c>
      <c r="I1009" s="2">
        <v>8.7994146999999998</v>
      </c>
      <c r="J1009" s="2">
        <v>11.506153400000001</v>
      </c>
      <c r="L1009" s="2"/>
      <c r="M1009" s="2"/>
    </row>
    <row r="1010" spans="2:13">
      <c r="B1010" s="2"/>
      <c r="C1010" s="1">
        <v>10.23995536</v>
      </c>
      <c r="D1010" s="1">
        <v>4.7555924909999998</v>
      </c>
      <c r="E1010" s="1"/>
      <c r="H1010" s="2">
        <v>26.700841199999999</v>
      </c>
      <c r="I1010" s="2">
        <v>29.896244599999999</v>
      </c>
      <c r="J1010" s="2">
        <v>20.578981299999999</v>
      </c>
      <c r="L1010" s="2"/>
      <c r="M1010" s="2"/>
    </row>
    <row r="1011" spans="2:13">
      <c r="B1011" s="2"/>
      <c r="C1011" s="1">
        <v>27.061014109999999</v>
      </c>
      <c r="D1011" s="1">
        <v>1.41810317</v>
      </c>
      <c r="E1011" s="1"/>
      <c r="H1011" s="2">
        <v>23.804136</v>
      </c>
      <c r="I1011" s="2">
        <v>18.360616199999999</v>
      </c>
      <c r="J1011" s="2">
        <v>14.5999529</v>
      </c>
      <c r="L1011" s="2"/>
      <c r="M1011" s="2"/>
    </row>
    <row r="1012" spans="2:13">
      <c r="B1012" s="2"/>
      <c r="C1012" s="1">
        <v>6.6837444489999998</v>
      </c>
      <c r="D1012" s="1">
        <v>0.37596223600000001</v>
      </c>
      <c r="E1012" s="1"/>
      <c r="H1012" s="2">
        <v>7.1912045000000004</v>
      </c>
      <c r="I1012" s="2">
        <v>3.57573389</v>
      </c>
      <c r="J1012" s="2">
        <v>5.2837924899999997</v>
      </c>
      <c r="L1012" s="2"/>
      <c r="M1012" s="2"/>
    </row>
    <row r="1013" spans="2:13">
      <c r="B1013" s="2"/>
      <c r="C1013" s="1">
        <v>47.438283769999998</v>
      </c>
      <c r="D1013" s="1">
        <v>3.8189848159999999</v>
      </c>
      <c r="E1013" s="1"/>
      <c r="H1013" s="2">
        <v>48.785987900000002</v>
      </c>
      <c r="I1013" s="2">
        <v>35.881712200000003</v>
      </c>
      <c r="J1013" s="2">
        <v>35.561314000000003</v>
      </c>
      <c r="L1013" s="2"/>
      <c r="M1013" s="2"/>
    </row>
    <row r="1014" spans="2:13">
      <c r="B1014" s="2"/>
      <c r="C1014" s="1">
        <v>8.0060028360000004</v>
      </c>
      <c r="D1014" s="1">
        <v>0.34957892099999999</v>
      </c>
      <c r="E1014" s="1"/>
      <c r="H1014" s="2">
        <v>9.8559353699999992</v>
      </c>
      <c r="I1014" s="2">
        <v>9.2813614399999995</v>
      </c>
      <c r="J1014" s="2">
        <v>5.3185542899999998</v>
      </c>
      <c r="L1014" s="2"/>
      <c r="M1014" s="2"/>
    </row>
    <row r="1015" spans="2:13">
      <c r="B1015" s="2"/>
      <c r="C1015" s="1">
        <v>9.0807151319999999</v>
      </c>
      <c r="D1015" s="1">
        <v>1.1608658510000001</v>
      </c>
      <c r="E1015" s="1"/>
      <c r="H1015" s="2">
        <v>26.1000871</v>
      </c>
      <c r="I1015" s="2">
        <v>58.253368999999999</v>
      </c>
      <c r="J1015" s="2">
        <v>23.638019100000001</v>
      </c>
      <c r="L1015" s="2"/>
      <c r="M1015" s="2"/>
    </row>
    <row r="1016" spans="2:13">
      <c r="B1016" s="2"/>
      <c r="C1016" s="1">
        <v>86.109813310000007</v>
      </c>
      <c r="D1016" s="1">
        <v>3.264935205</v>
      </c>
      <c r="E1016" s="1"/>
      <c r="H1016" s="2">
        <v>79.852705099999994</v>
      </c>
      <c r="I1016" s="2">
        <v>48.148034099999997</v>
      </c>
      <c r="J1016" s="2">
        <v>65.074076000000005</v>
      </c>
      <c r="L1016" s="2"/>
      <c r="M1016" s="2"/>
    </row>
    <row r="1017" spans="2:13">
      <c r="B1017" s="2"/>
      <c r="C1017" s="1">
        <v>4.9448841039999998</v>
      </c>
      <c r="D1017" s="1">
        <v>0.158299889</v>
      </c>
      <c r="E1017" s="1"/>
      <c r="H1017" s="2">
        <v>5.2402408300000003</v>
      </c>
      <c r="I1017" s="2">
        <v>5.3636008300000002</v>
      </c>
      <c r="J1017" s="2">
        <v>3.96284437</v>
      </c>
      <c r="L1017" s="2"/>
      <c r="M1017" s="2"/>
    </row>
    <row r="1018" spans="2:13">
      <c r="B1018" s="2"/>
      <c r="C1018" s="1">
        <v>39.371903840000002</v>
      </c>
      <c r="D1018" s="1">
        <v>1.648957174</v>
      </c>
      <c r="E1018" s="1"/>
      <c r="H1018" s="2">
        <v>40.928600699999997</v>
      </c>
      <c r="I1018" s="2">
        <v>31.7618449</v>
      </c>
      <c r="J1018" s="2">
        <v>37.160356399999998</v>
      </c>
      <c r="L1018" s="2"/>
      <c r="M1018" s="2"/>
    </row>
    <row r="1019" spans="2:13">
      <c r="B1019" s="2"/>
      <c r="C1019" s="1">
        <v>94.369399939999994</v>
      </c>
      <c r="D1019" s="1">
        <v>6.0945457169999999</v>
      </c>
      <c r="E1019" s="1"/>
      <c r="H1019" s="2">
        <v>103.151256</v>
      </c>
      <c r="I1019" s="2">
        <v>86.952520199999995</v>
      </c>
      <c r="J1019" s="2">
        <v>77.831653900000006</v>
      </c>
      <c r="L1019" s="2"/>
      <c r="M1019" s="2"/>
    </row>
    <row r="1020" spans="2:13">
      <c r="B1020" s="2"/>
      <c r="C1020" s="1">
        <v>6.2429916529999998</v>
      </c>
      <c r="D1020" s="1">
        <v>0.36936640700000001</v>
      </c>
      <c r="E1020" s="1"/>
      <c r="H1020" s="2">
        <v>6.9949185199999997</v>
      </c>
      <c r="I1020" s="2">
        <v>4.8972007599999996</v>
      </c>
      <c r="J1020" s="2">
        <v>5.9095047599999999</v>
      </c>
      <c r="L1020" s="2"/>
      <c r="M1020" s="2"/>
    </row>
    <row r="1021" spans="2:13">
      <c r="B1021" s="2"/>
      <c r="C1021" s="1">
        <v>14.47842745</v>
      </c>
      <c r="D1021" s="1">
        <v>0.49468715200000002</v>
      </c>
      <c r="E1021" s="1"/>
      <c r="H1021" s="2">
        <v>6.5904504499999996</v>
      </c>
      <c r="I1021" s="2">
        <v>4.9282940999999996</v>
      </c>
      <c r="J1021" s="2">
        <v>3.4414174800000001</v>
      </c>
      <c r="L1021" s="2"/>
      <c r="M1021" s="2"/>
    </row>
    <row r="1022" spans="2:13">
      <c r="B1022" s="2"/>
      <c r="C1022" s="1">
        <v>2.4150838000000001E-2</v>
      </c>
      <c r="D1022" s="1">
        <v>28.342275910000001</v>
      </c>
      <c r="E1022" s="1"/>
      <c r="H1022" s="2">
        <v>6.542866E-2</v>
      </c>
      <c r="I1022" s="2">
        <v>62.326596299999999</v>
      </c>
      <c r="J1022" s="2">
        <v>79.917361499999998</v>
      </c>
      <c r="L1022" s="2"/>
      <c r="M1022" s="2"/>
    </row>
    <row r="1023" spans="2:13">
      <c r="B1023" s="2"/>
      <c r="C1023" s="1">
        <v>153.5631042</v>
      </c>
      <c r="D1023" s="1">
        <v>1.0091617909999999</v>
      </c>
      <c r="E1023" s="1"/>
      <c r="H1023" s="2">
        <v>98.654522700000001</v>
      </c>
      <c r="I1023" s="2">
        <v>19.340056300000001</v>
      </c>
      <c r="J1023" s="2">
        <v>18.528035500000001</v>
      </c>
      <c r="L1023" s="2"/>
      <c r="M1023" s="2"/>
    </row>
    <row r="1024" spans="2:13">
      <c r="B1024" s="2"/>
      <c r="C1024" s="1">
        <v>27.405163550000001</v>
      </c>
      <c r="D1024" s="1">
        <v>1.233419966</v>
      </c>
      <c r="E1024" s="1"/>
      <c r="H1024" s="2">
        <v>23.905252999999998</v>
      </c>
      <c r="I1024" s="2">
        <v>5.4413341800000001</v>
      </c>
      <c r="J1024" s="2">
        <v>4.3104623000000002</v>
      </c>
      <c r="L1024" s="2"/>
      <c r="M1024" s="2"/>
    </row>
    <row r="1025" spans="2:13">
      <c r="B1025" s="2"/>
      <c r="C1025" s="1">
        <v>8.0241159639999999</v>
      </c>
      <c r="D1025" s="1">
        <v>1.741298776</v>
      </c>
      <c r="E1025" s="1"/>
      <c r="H1025" s="2">
        <v>6.2514110299999999</v>
      </c>
      <c r="I1025" s="2">
        <v>77.049291999999994</v>
      </c>
      <c r="J1025" s="2">
        <v>101.365388</v>
      </c>
      <c r="L1025" s="2"/>
      <c r="M1025" s="2"/>
    </row>
    <row r="1026" spans="2:13">
      <c r="B1026" s="2"/>
      <c r="C1026" s="1">
        <v>36.842103549999997</v>
      </c>
      <c r="D1026" s="1">
        <v>1.1476741930000001</v>
      </c>
      <c r="E1026" s="1"/>
      <c r="H1026" s="2">
        <v>79.781328400000007</v>
      </c>
      <c r="I1026" s="2">
        <v>9.1725347599999996</v>
      </c>
      <c r="J1026" s="2">
        <v>16.755184100000001</v>
      </c>
      <c r="L1026" s="2"/>
      <c r="M1026" s="2"/>
    </row>
    <row r="1027" spans="2:13">
      <c r="B1027" s="2"/>
      <c r="C1027" s="1">
        <v>27.676860479999998</v>
      </c>
      <c r="D1027" s="1">
        <v>1.1674616790000001</v>
      </c>
      <c r="E1027" s="1"/>
      <c r="H1027" s="2">
        <v>21.841276199999999</v>
      </c>
      <c r="I1027" s="2">
        <v>19.2312297</v>
      </c>
      <c r="J1027" s="2">
        <v>19.7446983</v>
      </c>
      <c r="L1027" s="2"/>
      <c r="M1027" s="2"/>
    </row>
    <row r="1028" spans="2:13">
      <c r="B1028" s="2"/>
      <c r="C1028" s="1">
        <v>17.636149530000001</v>
      </c>
      <c r="D1028" s="1">
        <v>168.6685315</v>
      </c>
      <c r="E1028" s="1"/>
      <c r="H1028" s="2">
        <v>14.8582538</v>
      </c>
      <c r="I1028" s="2">
        <v>55.392781900000003</v>
      </c>
      <c r="J1028" s="2">
        <v>40.879868299999998</v>
      </c>
      <c r="L1028" s="2"/>
      <c r="M1028" s="2"/>
    </row>
    <row r="1029" spans="2:13">
      <c r="B1029" s="2"/>
      <c r="C1029" s="1">
        <v>55.275230739999998</v>
      </c>
      <c r="D1029" s="1">
        <v>3.7794098439999999</v>
      </c>
      <c r="E1029" s="1"/>
      <c r="H1029" s="2">
        <v>57.773506500000003</v>
      </c>
      <c r="I1029" s="2">
        <v>42.986539999999998</v>
      </c>
      <c r="J1029" s="2">
        <v>96.081595100000001</v>
      </c>
      <c r="L1029" s="2"/>
      <c r="M1029" s="2"/>
    </row>
    <row r="1030" spans="2:13">
      <c r="B1030" s="2"/>
      <c r="C1030" s="1">
        <v>65.05632018</v>
      </c>
      <c r="D1030" s="1">
        <v>332.522108</v>
      </c>
      <c r="E1030" s="1"/>
      <c r="H1030" s="2">
        <v>80.715173800000002</v>
      </c>
      <c r="I1030" s="2">
        <v>47.666087400000002</v>
      </c>
      <c r="J1030" s="2">
        <v>80.091170399999996</v>
      </c>
      <c r="L1030" s="2"/>
      <c r="M1030" s="2"/>
    </row>
    <row r="1031" spans="2:13">
      <c r="B1031" s="2"/>
      <c r="C1031" s="1">
        <v>64.011796430000004</v>
      </c>
      <c r="D1031" s="1">
        <v>1.1344825359999999</v>
      </c>
      <c r="E1031" s="1"/>
      <c r="H1031" s="2">
        <v>84.432711299999994</v>
      </c>
      <c r="I1031" s="2">
        <v>16.1529892</v>
      </c>
      <c r="J1031" s="2">
        <v>9.7333019600000004</v>
      </c>
      <c r="L1031" s="2"/>
      <c r="M1031" s="2"/>
    </row>
    <row r="1032" spans="2:13">
      <c r="B1032" s="2"/>
      <c r="C1032" s="1">
        <v>22.007451230000001</v>
      </c>
      <c r="D1032" s="1">
        <v>1.5698072300000001</v>
      </c>
      <c r="E1032" s="1"/>
      <c r="H1032" s="2">
        <v>19.0873244</v>
      </c>
      <c r="I1032" s="2">
        <v>32.896751799999997</v>
      </c>
      <c r="J1032" s="2">
        <v>26.5927714</v>
      </c>
      <c r="L1032" s="2"/>
      <c r="M1032" s="2"/>
    </row>
    <row r="1033" spans="2:13">
      <c r="B1033" s="2"/>
      <c r="C1033" s="1">
        <v>54.586931849999999</v>
      </c>
      <c r="D1033" s="1">
        <v>1.5698072300000001</v>
      </c>
      <c r="E1033" s="1"/>
      <c r="H1033" s="2">
        <v>27.521673499999999</v>
      </c>
      <c r="I1033" s="2">
        <v>32.601365100000002</v>
      </c>
      <c r="J1033" s="2">
        <v>35.665599299999997</v>
      </c>
      <c r="L1033" s="2"/>
      <c r="M1033" s="2"/>
    </row>
    <row r="1034" spans="2:13">
      <c r="B1034" s="2"/>
      <c r="C1034" s="1">
        <v>15.8429498</v>
      </c>
      <c r="D1034" s="1">
        <v>0.850861902</v>
      </c>
      <c r="E1034" s="1"/>
      <c r="H1034" s="2">
        <v>42.576213299999999</v>
      </c>
      <c r="I1034" s="2">
        <v>15.8576025</v>
      </c>
      <c r="J1034" s="2">
        <v>10.567584999999999</v>
      </c>
      <c r="L1034" s="2"/>
      <c r="M1034" s="2"/>
    </row>
    <row r="1035" spans="2:13">
      <c r="B1035" s="2"/>
      <c r="C1035" s="1">
        <v>13.15616906</v>
      </c>
      <c r="D1035" s="1">
        <v>0.481495495</v>
      </c>
      <c r="E1035" s="1"/>
      <c r="H1035" s="2">
        <v>15.863475899999999</v>
      </c>
      <c r="I1035" s="2">
        <v>6.3896809899999996</v>
      </c>
      <c r="J1035" s="2">
        <v>8.0994977099999996</v>
      </c>
      <c r="L1035" s="2"/>
      <c r="M1035" s="2"/>
    </row>
    <row r="1036" spans="2:13">
      <c r="B1036" s="2"/>
      <c r="C1036" s="1">
        <v>6.659593611</v>
      </c>
      <c r="D1036" s="1">
        <v>196.87229500000001</v>
      </c>
      <c r="E1036" s="1"/>
      <c r="H1036" s="2">
        <v>10.516170000000001</v>
      </c>
      <c r="I1036" s="2">
        <v>40.934379700000001</v>
      </c>
      <c r="J1036" s="2">
        <v>26.071344499999999</v>
      </c>
      <c r="L1036" s="2"/>
      <c r="M1036" s="2"/>
    </row>
    <row r="1037" spans="2:13">
      <c r="B1037" s="2"/>
      <c r="C1037" s="1">
        <v>38.436058860000003</v>
      </c>
      <c r="D1037" s="1">
        <v>1.8864070079999999</v>
      </c>
      <c r="E1037" s="1"/>
      <c r="H1037" s="2">
        <v>36.866075700000003</v>
      </c>
      <c r="I1037" s="2">
        <v>35.508592200000002</v>
      </c>
      <c r="J1037" s="2">
        <v>26.1061063</v>
      </c>
      <c r="L1037" s="2"/>
      <c r="M1037" s="2"/>
    </row>
    <row r="1038" spans="2:13">
      <c r="B1038" s="2"/>
      <c r="C1038" s="1">
        <v>57.690314549999997</v>
      </c>
      <c r="D1038" s="1">
        <v>1.9721527809999999</v>
      </c>
      <c r="E1038" s="1"/>
      <c r="H1038" s="2">
        <v>30.198300499999998</v>
      </c>
      <c r="I1038" s="2">
        <v>10.525095</v>
      </c>
      <c r="J1038" s="2">
        <v>19.640412900000001</v>
      </c>
      <c r="L1038" s="2"/>
      <c r="M1038" s="2"/>
    </row>
    <row r="1039" spans="2:13">
      <c r="B1039" s="2"/>
      <c r="C1039" s="1">
        <v>52.805807540000004</v>
      </c>
      <c r="D1039" s="1">
        <v>0.58043292499999999</v>
      </c>
      <c r="E1039" s="1"/>
      <c r="H1039" s="2">
        <v>23.494836899999999</v>
      </c>
      <c r="I1039" s="2">
        <v>5.2547741500000003</v>
      </c>
      <c r="J1039" s="2">
        <v>10.0809199</v>
      </c>
      <c r="L1039" s="2"/>
      <c r="M1039" s="2"/>
    </row>
    <row r="1040" spans="2:13">
      <c r="B1040" s="2"/>
      <c r="C1040" s="1">
        <v>21.572736150000001</v>
      </c>
      <c r="D1040" s="1">
        <v>2.6383315000000001E-2</v>
      </c>
      <c r="E1040" s="1"/>
      <c r="H1040" s="2">
        <v>11.908016099999999</v>
      </c>
      <c r="I1040" s="2">
        <v>2.5962937400000001</v>
      </c>
      <c r="J1040" s="2">
        <v>1.5295188799999999</v>
      </c>
      <c r="L1040" s="2"/>
      <c r="M1040" s="2"/>
    </row>
    <row r="1041" spans="2:13">
      <c r="B1041" s="2"/>
      <c r="C1041" s="1">
        <v>2.6324413550000001</v>
      </c>
      <c r="D1041" s="1">
        <v>0.46830383799999997</v>
      </c>
      <c r="E1041" s="1"/>
      <c r="H1041" s="2">
        <v>2.5933541500000001</v>
      </c>
      <c r="I1041" s="2">
        <v>11.3179751</v>
      </c>
      <c r="J1041" s="2">
        <v>9.0033043199999998</v>
      </c>
      <c r="L1041" s="2"/>
      <c r="M1041" s="2"/>
    </row>
    <row r="1042" spans="2:13">
      <c r="B1042" s="2"/>
      <c r="C1042" s="1">
        <v>8.6761885929999991</v>
      </c>
      <c r="D1042" s="1">
        <v>3.1989769180000001</v>
      </c>
      <c r="E1042" s="1"/>
      <c r="H1042" s="2">
        <v>12.1221462</v>
      </c>
      <c r="I1042" s="2">
        <v>38.244805900000003</v>
      </c>
      <c r="J1042" s="2">
        <v>35.839408300000002</v>
      </c>
      <c r="L1042" s="2"/>
      <c r="M1042" s="2"/>
    </row>
    <row r="1043" spans="2:13">
      <c r="B1043" s="2"/>
      <c r="C1043" s="1">
        <v>67.284234990000002</v>
      </c>
      <c r="D1043" s="1">
        <v>0.13851240300000001</v>
      </c>
      <c r="E1043" s="1"/>
      <c r="H1043" s="2">
        <v>47.263284499999997</v>
      </c>
      <c r="I1043" s="2">
        <v>3.7001072399999999</v>
      </c>
      <c r="J1043" s="2">
        <v>3.6499882399999999</v>
      </c>
      <c r="L1043" s="2"/>
      <c r="M1043" s="2"/>
    </row>
    <row r="1044" spans="2:13">
      <c r="B1044" s="2"/>
      <c r="C1044" s="1">
        <v>3.737342199</v>
      </c>
      <c r="D1044" s="1">
        <v>0.21106651800000001</v>
      </c>
      <c r="E1044" s="1"/>
      <c r="H1044" s="2">
        <v>4.2231225800000001</v>
      </c>
      <c r="I1044" s="2">
        <v>4.1665073100000001</v>
      </c>
      <c r="J1044" s="2">
        <v>2.3985637</v>
      </c>
      <c r="L1044" s="2"/>
      <c r="M1044" s="2"/>
    </row>
    <row r="1045" spans="2:13">
      <c r="B1045" s="2"/>
      <c r="C1045" s="1">
        <v>2.0105572729999999</v>
      </c>
      <c r="D1045" s="1">
        <v>1.2663991100000001</v>
      </c>
      <c r="E1045" s="1"/>
      <c r="H1045" s="2">
        <v>3.3309135799999998</v>
      </c>
      <c r="I1045" s="2">
        <v>22.931336900000002</v>
      </c>
      <c r="J1045" s="2">
        <v>9.8723491400000007</v>
      </c>
      <c r="L1045" s="2"/>
      <c r="M1045" s="2"/>
    </row>
    <row r="1046" spans="2:13">
      <c r="B1046" s="2"/>
      <c r="C1046" s="1">
        <v>14.17050427</v>
      </c>
      <c r="D1046" s="1">
        <v>3.159401946</v>
      </c>
      <c r="E1046" s="1"/>
      <c r="H1046" s="2">
        <v>20.3483132</v>
      </c>
      <c r="I1046" s="2">
        <v>46.0958738</v>
      </c>
      <c r="J1046" s="2">
        <v>55.062679699999997</v>
      </c>
      <c r="L1046" s="2"/>
      <c r="M1046" s="2"/>
    </row>
    <row r="1047" spans="2:13">
      <c r="B1047" s="2"/>
      <c r="C1047" s="1">
        <v>72.156666580000007</v>
      </c>
      <c r="D1047" s="1">
        <v>132.32551530000001</v>
      </c>
      <c r="E1047" s="1"/>
      <c r="H1047" s="2">
        <v>76.819194499999995</v>
      </c>
      <c r="I1047" s="2">
        <v>47.059767299999997</v>
      </c>
      <c r="J1047" s="2">
        <v>54.228396699999998</v>
      </c>
      <c r="L1047" s="2"/>
      <c r="M1047" s="2"/>
    </row>
    <row r="1048" spans="2:13">
      <c r="B1048" s="2"/>
      <c r="C1048" s="1">
        <v>29.252702670000001</v>
      </c>
      <c r="D1048" s="1">
        <v>1.5038489429999999</v>
      </c>
      <c r="E1048" s="1"/>
      <c r="H1048" s="2">
        <v>63.501488199999997</v>
      </c>
      <c r="I1048" s="2">
        <v>19.3711497</v>
      </c>
      <c r="J1048" s="2">
        <v>13.0356723</v>
      </c>
      <c r="L1048" s="2"/>
      <c r="M1048" s="2"/>
    </row>
    <row r="1049" spans="2:13">
      <c r="B1049" s="2"/>
      <c r="C1049" s="1">
        <v>27.205919139999999</v>
      </c>
      <c r="D1049" s="1">
        <v>1.9919402669999999</v>
      </c>
      <c r="E1049" s="1"/>
      <c r="H1049" s="2">
        <v>20.205559699999998</v>
      </c>
      <c r="I1049" s="2">
        <v>20.397229800000002</v>
      </c>
      <c r="J1049" s="2">
        <v>30.694662999999998</v>
      </c>
      <c r="L1049" s="2"/>
      <c r="M1049" s="2"/>
    </row>
    <row r="1050" spans="2:13">
      <c r="B1050" s="2"/>
      <c r="C1050" s="1">
        <v>22.194620230000002</v>
      </c>
      <c r="D1050" s="1">
        <v>0.15170406</v>
      </c>
      <c r="E1050" s="1"/>
      <c r="H1050" s="2">
        <v>35.7954249</v>
      </c>
      <c r="I1050" s="2">
        <v>1.9588802999999999</v>
      </c>
      <c r="J1050" s="2">
        <v>1.5990424700000001</v>
      </c>
      <c r="L1050" s="2"/>
      <c r="M1050" s="2"/>
    </row>
    <row r="1051" spans="2:13">
      <c r="B1051" s="2"/>
      <c r="C1051" s="1">
        <v>2.6928184499999999</v>
      </c>
      <c r="D1051" s="1">
        <v>0.48809132399999999</v>
      </c>
      <c r="E1051" s="1"/>
      <c r="H1051" s="2">
        <v>2.8907571500000002</v>
      </c>
      <c r="I1051" s="2">
        <v>3.56018722</v>
      </c>
      <c r="J1051" s="2">
        <v>5.7009340100000001</v>
      </c>
      <c r="L1051" s="2"/>
      <c r="M1051" s="2"/>
    </row>
    <row r="1052" spans="2:13">
      <c r="B1052" s="2"/>
      <c r="C1052" s="1">
        <v>9.0626020030000003</v>
      </c>
      <c r="D1052" s="1">
        <v>2.137048498</v>
      </c>
      <c r="E1052" s="1"/>
      <c r="H1052" s="2">
        <v>7.6194648200000001</v>
      </c>
      <c r="I1052" s="2">
        <v>37.420832500000003</v>
      </c>
      <c r="J1052" s="2">
        <v>21.830405800000001</v>
      </c>
      <c r="L1052" s="2"/>
      <c r="M1052" s="2"/>
    </row>
    <row r="1053" spans="2:13">
      <c r="B1053" s="2"/>
      <c r="C1053" s="1">
        <v>42.861699950000002</v>
      </c>
      <c r="D1053" s="1">
        <v>0.613412069</v>
      </c>
      <c r="E1053" s="1"/>
      <c r="H1053" s="2">
        <v>24.559539600000001</v>
      </c>
      <c r="I1053" s="2">
        <v>8.9082413799999998</v>
      </c>
      <c r="J1053" s="2">
        <v>6.1875991099999998</v>
      </c>
      <c r="L1053" s="2"/>
      <c r="M1053" s="2"/>
    </row>
    <row r="1054" spans="2:13">
      <c r="B1054" s="2"/>
      <c r="C1054" s="1">
        <v>4.4618673419999997</v>
      </c>
      <c r="D1054" s="1">
        <v>0.13191657400000001</v>
      </c>
      <c r="E1054" s="1"/>
      <c r="H1054" s="2">
        <v>6.6439829899999996</v>
      </c>
      <c r="I1054" s="2">
        <v>2.86058711</v>
      </c>
      <c r="J1054" s="2">
        <v>2.95475238</v>
      </c>
      <c r="L1054" s="2"/>
      <c r="M1054" s="2"/>
    </row>
    <row r="1055" spans="2:13">
      <c r="B1055" s="2"/>
      <c r="C1055" s="1">
        <v>5.192430195</v>
      </c>
      <c r="D1055" s="1">
        <v>336.59173429999998</v>
      </c>
      <c r="E1055" s="1"/>
      <c r="H1055" s="2">
        <v>2.80748431</v>
      </c>
      <c r="I1055" s="2">
        <v>79.723319000000004</v>
      </c>
      <c r="J1055" s="2">
        <v>94.969217700000002</v>
      </c>
      <c r="L1055" s="2"/>
      <c r="M1055" s="2"/>
    </row>
    <row r="1056" spans="2:13">
      <c r="B1056" s="2"/>
      <c r="C1056" s="1">
        <v>86.912828669999996</v>
      </c>
      <c r="D1056" s="1">
        <v>1.3257615679999999</v>
      </c>
      <c r="E1056" s="1"/>
      <c r="H1056" s="2">
        <v>87.918274400000001</v>
      </c>
      <c r="I1056" s="2">
        <v>23.910777</v>
      </c>
      <c r="J1056" s="2">
        <v>18.6323209</v>
      </c>
      <c r="L1056" s="2"/>
      <c r="M1056" s="2"/>
    </row>
    <row r="1057" spans="2:13">
      <c r="B1057" s="2"/>
      <c r="C1057" s="1">
        <v>41.605856369999998</v>
      </c>
      <c r="D1057" s="1">
        <v>0.712349499</v>
      </c>
      <c r="E1057" s="1"/>
      <c r="H1057" s="2">
        <v>18.593635500000001</v>
      </c>
      <c r="I1057" s="2">
        <v>7.2447477899999999</v>
      </c>
      <c r="J1057" s="2">
        <v>7.7866415699999996</v>
      </c>
      <c r="L1057" s="2"/>
      <c r="M1057" s="2"/>
    </row>
    <row r="1058" spans="2:13">
      <c r="B1058" s="2"/>
      <c r="C1058" s="1">
        <v>17.93803501</v>
      </c>
      <c r="D1058" s="1">
        <v>3.2847226909999998</v>
      </c>
      <c r="E1058" s="1"/>
      <c r="H1058" s="2">
        <v>10.0343772</v>
      </c>
      <c r="I1058" s="2">
        <v>32.974485100000003</v>
      </c>
      <c r="J1058" s="2">
        <v>60.103139599999999</v>
      </c>
      <c r="L1058" s="2"/>
      <c r="M1058" s="2"/>
    </row>
    <row r="1059" spans="2:13">
      <c r="B1059" s="2"/>
      <c r="C1059" s="1">
        <v>134.60469620000001</v>
      </c>
      <c r="D1059" s="1">
        <v>3.7728140149999998</v>
      </c>
      <c r="E1059" s="1"/>
      <c r="H1059" s="2">
        <v>48.316091100000001</v>
      </c>
      <c r="I1059" s="2">
        <v>17.8786694</v>
      </c>
      <c r="J1059" s="2">
        <v>31.876563900000001</v>
      </c>
      <c r="L1059" s="2"/>
      <c r="M1059" s="2"/>
    </row>
    <row r="1060" spans="2:13">
      <c r="B1060" s="2"/>
      <c r="C1060" s="1">
        <v>33.364382859999999</v>
      </c>
      <c r="D1060" s="1">
        <v>0.66617869799999996</v>
      </c>
      <c r="E1060" s="1"/>
      <c r="H1060" s="2">
        <v>33.267499399999998</v>
      </c>
      <c r="I1060" s="2">
        <v>10.385174900000001</v>
      </c>
      <c r="J1060" s="2">
        <v>11.540915200000001</v>
      </c>
      <c r="L1060" s="2"/>
      <c r="M1060" s="2"/>
    </row>
    <row r="1061" spans="2:13">
      <c r="B1061" s="2"/>
      <c r="C1061" s="1">
        <v>19.320670490000001</v>
      </c>
      <c r="D1061" s="1">
        <v>1.906194494</v>
      </c>
      <c r="E1061" s="1"/>
      <c r="H1061" s="2">
        <v>11.497599900000001</v>
      </c>
      <c r="I1061" s="2">
        <v>35.741792199999999</v>
      </c>
      <c r="J1061" s="2">
        <v>40.1498706</v>
      </c>
      <c r="L1061" s="2"/>
      <c r="M1061" s="2"/>
    </row>
    <row r="1062" spans="2:13">
      <c r="B1062" s="2"/>
      <c r="C1062" s="1">
        <v>61.337091110000003</v>
      </c>
      <c r="D1062" s="1">
        <v>4.0564346489999998</v>
      </c>
      <c r="E1062" s="1"/>
      <c r="H1062" s="2">
        <v>44.884060499999997</v>
      </c>
      <c r="I1062" s="2">
        <v>36.5813123</v>
      </c>
      <c r="J1062" s="2">
        <v>34.448936600000003</v>
      </c>
      <c r="L1062" s="2"/>
      <c r="M1062" s="2"/>
    </row>
    <row r="1063" spans="2:13">
      <c r="B1063" s="2"/>
      <c r="C1063" s="1">
        <v>114.9217632</v>
      </c>
      <c r="D1063" s="1">
        <v>7.1366866509999998</v>
      </c>
      <c r="E1063" s="1"/>
      <c r="H1063" s="2">
        <v>48.339883399999998</v>
      </c>
      <c r="I1063" s="2">
        <v>14.3184822</v>
      </c>
      <c r="J1063" s="2">
        <v>15.051856300000001</v>
      </c>
      <c r="L1063" s="2"/>
      <c r="M1063" s="2"/>
    </row>
    <row r="1064" spans="2:13">
      <c r="B1064" s="2"/>
      <c r="C1064" s="1">
        <v>39.927373119999999</v>
      </c>
      <c r="D1064" s="1">
        <v>1.088311735</v>
      </c>
      <c r="E1064" s="1"/>
      <c r="H1064" s="2">
        <v>22.406341900000001</v>
      </c>
      <c r="I1064" s="2">
        <v>16.9303226</v>
      </c>
      <c r="J1064" s="2">
        <v>15.6775685</v>
      </c>
      <c r="L1064" s="2"/>
      <c r="M1064" s="2"/>
    </row>
    <row r="1065" spans="2:13">
      <c r="B1065" s="2"/>
      <c r="C1065" s="1">
        <v>15.02182131</v>
      </c>
      <c r="D1065" s="1">
        <v>393.705015</v>
      </c>
      <c r="E1065" s="1"/>
      <c r="H1065" s="2">
        <v>17.826335700000001</v>
      </c>
      <c r="I1065" s="2">
        <v>16.261815899999998</v>
      </c>
      <c r="J1065" s="2">
        <v>19.153747800000001</v>
      </c>
      <c r="L1065" s="2"/>
      <c r="M1065" s="2"/>
    </row>
    <row r="1066" spans="2:13">
      <c r="B1066" s="2"/>
      <c r="C1066" s="1">
        <v>14.02559924</v>
      </c>
      <c r="D1066" s="1">
        <v>2.0644943819999999</v>
      </c>
      <c r="E1066" s="1"/>
      <c r="H1066" s="2">
        <v>28.324661599999999</v>
      </c>
      <c r="I1066" s="2">
        <v>19.9152831</v>
      </c>
      <c r="J1066" s="2">
        <v>21.0308846</v>
      </c>
      <c r="L1066" s="2"/>
      <c r="M1066" s="2"/>
    </row>
    <row r="1067" spans="2:13">
      <c r="B1067" s="2"/>
      <c r="C1067" s="1">
        <v>23.661783639999999</v>
      </c>
      <c r="D1067" s="1">
        <v>3.4825975520000001</v>
      </c>
      <c r="E1067" s="1"/>
      <c r="H1067" s="2">
        <v>26.712737300000001</v>
      </c>
      <c r="I1067" s="2">
        <v>42.411313200000002</v>
      </c>
      <c r="J1067" s="2">
        <v>66.673118500000001</v>
      </c>
      <c r="L1067" s="2"/>
      <c r="M1067" s="2"/>
    </row>
    <row r="1068" spans="2:13">
      <c r="B1068" s="2"/>
      <c r="C1068" s="1">
        <v>79.118145670000004</v>
      </c>
      <c r="D1068" s="1">
        <v>0.30340812</v>
      </c>
      <c r="E1068" s="1"/>
      <c r="H1068" s="2">
        <v>65.042035799999994</v>
      </c>
      <c r="I1068" s="2">
        <v>4.4463473599999999</v>
      </c>
      <c r="J1068" s="2">
        <v>6.1180755199999997</v>
      </c>
      <c r="L1068" s="2"/>
      <c r="M1068" s="2"/>
    </row>
    <row r="1069" spans="2:13">
      <c r="B1069" s="2"/>
      <c r="C1069" s="1">
        <v>5.7901634389999996</v>
      </c>
      <c r="D1069" s="1">
        <v>8.8581979410000002</v>
      </c>
      <c r="E1069" s="1"/>
      <c r="H1069" s="2">
        <v>8.7436481599999993</v>
      </c>
      <c r="I1069" s="2">
        <v>89.471080599999993</v>
      </c>
      <c r="J1069" s="2">
        <v>99.696821499999999</v>
      </c>
      <c r="L1069" s="2"/>
      <c r="M1069" s="2"/>
    </row>
    <row r="1070" spans="2:13">
      <c r="B1070" s="2"/>
      <c r="C1070" s="1">
        <v>147.809167</v>
      </c>
      <c r="D1070" s="1">
        <v>1.6291696879999999</v>
      </c>
      <c r="E1070" s="1"/>
      <c r="H1070" s="2">
        <v>113.06072399999999</v>
      </c>
      <c r="I1070" s="2">
        <v>36.410299000000002</v>
      </c>
      <c r="J1070" s="2">
        <v>21.7261205</v>
      </c>
      <c r="L1070" s="2"/>
      <c r="M1070" s="2"/>
    </row>
    <row r="1071" spans="2:13">
      <c r="B1071" s="2"/>
      <c r="C1071" s="1">
        <v>49.46091646</v>
      </c>
      <c r="D1071" s="1">
        <v>1.6357655170000001</v>
      </c>
      <c r="E1071" s="1"/>
      <c r="H1071" s="2">
        <v>23.804136</v>
      </c>
      <c r="I1071" s="2">
        <v>37.622939199999998</v>
      </c>
      <c r="J1071" s="2">
        <v>27.5661016</v>
      </c>
      <c r="L1071" s="2"/>
      <c r="M1071" s="2"/>
    </row>
    <row r="1072" spans="2:13">
      <c r="B1072" s="2"/>
      <c r="C1072" s="1">
        <v>42.52358821</v>
      </c>
      <c r="D1072" s="1">
        <v>1.92598198</v>
      </c>
      <c r="E1072" s="1"/>
      <c r="H1072" s="2">
        <v>33.909889900000003</v>
      </c>
      <c r="I1072" s="2">
        <v>36.052725600000002</v>
      </c>
      <c r="J1072" s="2">
        <v>28.435146499999998</v>
      </c>
      <c r="L1072" s="2"/>
      <c r="M1072" s="2"/>
    </row>
    <row r="1073" spans="2:13">
      <c r="B1073" s="2"/>
      <c r="C1073" s="1">
        <v>10.52976542</v>
      </c>
      <c r="D1073" s="1">
        <v>1.41810317</v>
      </c>
      <c r="E1073" s="1"/>
      <c r="H1073" s="2">
        <v>41.095146300000003</v>
      </c>
      <c r="I1073" s="2">
        <v>13.510055400000001</v>
      </c>
      <c r="J1073" s="2">
        <v>22.351832699999999</v>
      </c>
      <c r="L1073" s="2"/>
      <c r="M1073" s="2"/>
    </row>
    <row r="1074" spans="2:13">
      <c r="B1074" s="2"/>
      <c r="C1074" s="1">
        <v>13.42182828</v>
      </c>
      <c r="D1074" s="1">
        <v>88.595171070000006</v>
      </c>
      <c r="E1074" s="1"/>
      <c r="H1074" s="2">
        <v>29.7759882</v>
      </c>
      <c r="I1074" s="2">
        <v>11.6755485</v>
      </c>
      <c r="J1074" s="2">
        <v>6.5699788300000002</v>
      </c>
      <c r="L1074" s="2"/>
      <c r="M1074" s="2"/>
    </row>
    <row r="1075" spans="2:13">
      <c r="B1075" s="2"/>
      <c r="C1075" s="1">
        <v>3.6648896839999998</v>
      </c>
      <c r="D1075" s="1">
        <v>0.72554115699999999</v>
      </c>
      <c r="E1075" s="1"/>
      <c r="H1075" s="2">
        <v>9.4276750499999995</v>
      </c>
      <c r="I1075" s="2">
        <v>21.7342434</v>
      </c>
      <c r="J1075" s="2">
        <v>22.178023799999998</v>
      </c>
      <c r="L1075" s="2"/>
      <c r="M1075" s="2"/>
    </row>
    <row r="1076" spans="2:13">
      <c r="B1076" s="2"/>
      <c r="C1076" s="1">
        <v>21.826319949999998</v>
      </c>
      <c r="D1076" s="1">
        <v>7.9149944E-2</v>
      </c>
      <c r="E1076" s="1"/>
      <c r="H1076" s="2">
        <v>24.184811799999999</v>
      </c>
      <c r="I1076" s="2">
        <v>3.2181605000000002</v>
      </c>
      <c r="J1076" s="2">
        <v>4.1714151299999997</v>
      </c>
      <c r="L1076" s="2"/>
      <c r="M1076" s="2"/>
    </row>
    <row r="1077" spans="2:13">
      <c r="B1077" s="2"/>
      <c r="C1077" s="1">
        <v>4.0814916419999996</v>
      </c>
      <c r="D1077" s="1">
        <v>0.89043687400000004</v>
      </c>
      <c r="E1077" s="1"/>
      <c r="H1077" s="2">
        <v>5.22834471</v>
      </c>
      <c r="I1077" s="2">
        <v>28.885711100000002</v>
      </c>
      <c r="J1077" s="2">
        <v>24.715634600000001</v>
      </c>
      <c r="L1077" s="2"/>
      <c r="M1077" s="2"/>
    </row>
    <row r="1078" spans="2:13">
      <c r="B1078" s="2"/>
      <c r="C1078" s="1">
        <v>32.205142629999997</v>
      </c>
      <c r="D1078" s="1">
        <v>1.662148832</v>
      </c>
      <c r="E1078" s="1"/>
      <c r="H1078" s="2">
        <v>28.7767141</v>
      </c>
      <c r="I1078" s="2">
        <v>22.744776900000002</v>
      </c>
      <c r="J1078" s="2">
        <v>27.322769099999999</v>
      </c>
      <c r="L1078" s="2"/>
      <c r="M1078" s="2"/>
    </row>
    <row r="1079" spans="2:13">
      <c r="B1079" s="2"/>
      <c r="C1079" s="1">
        <v>30.073831160000001</v>
      </c>
      <c r="D1079" s="1">
        <v>0.70575367099999997</v>
      </c>
      <c r="E1079" s="1"/>
      <c r="H1079" s="2">
        <v>31.352224100000001</v>
      </c>
      <c r="I1079" s="2">
        <v>27.331044200000001</v>
      </c>
      <c r="J1079" s="2">
        <v>29.929903500000002</v>
      </c>
      <c r="L1079" s="2"/>
      <c r="M1079" s="2"/>
    </row>
    <row r="1080" spans="2:13">
      <c r="B1080" s="2"/>
      <c r="C1080" s="1">
        <v>21.596886990000002</v>
      </c>
      <c r="D1080" s="1">
        <v>0.81128692999999996</v>
      </c>
      <c r="E1080" s="1"/>
      <c r="H1080" s="2">
        <v>31.8994456</v>
      </c>
      <c r="I1080" s="2">
        <v>20.630429899999999</v>
      </c>
      <c r="J1080" s="2">
        <v>22.6994507</v>
      </c>
      <c r="L1080" s="2"/>
      <c r="M1080" s="2"/>
    </row>
    <row r="1081" spans="2:13">
      <c r="B1081" s="2"/>
      <c r="C1081" s="1">
        <v>15.35389533</v>
      </c>
      <c r="D1081" s="1">
        <v>0.36277057800000001</v>
      </c>
      <c r="E1081" s="1"/>
      <c r="H1081" s="2">
        <v>20.473222400000001</v>
      </c>
      <c r="I1081" s="2">
        <v>12.841548700000001</v>
      </c>
      <c r="J1081" s="2">
        <v>7.8909269499999999</v>
      </c>
      <c r="L1081" s="2"/>
      <c r="M1081" s="2"/>
    </row>
    <row r="1082" spans="2:13">
      <c r="B1082" s="2"/>
      <c r="C1082" s="1">
        <v>8.7969427840000005</v>
      </c>
      <c r="D1082" s="1">
        <v>8.6537272509999994</v>
      </c>
      <c r="E1082" s="1"/>
      <c r="H1082" s="2">
        <v>12.2530035</v>
      </c>
      <c r="I1082" s="2">
        <v>39.317526100000002</v>
      </c>
      <c r="J1082" s="2">
        <v>44.356047500000003</v>
      </c>
      <c r="L1082" s="2"/>
      <c r="M1082" s="2"/>
    </row>
    <row r="1083" spans="2:13">
      <c r="B1083" s="2"/>
      <c r="C1083" s="1">
        <v>54.749950009999999</v>
      </c>
      <c r="D1083" s="1">
        <v>0.19787486100000001</v>
      </c>
      <c r="E1083" s="1"/>
      <c r="H1083" s="2">
        <v>42.516732699999999</v>
      </c>
      <c r="I1083" s="2">
        <v>7.6178678499999997</v>
      </c>
      <c r="J1083" s="2">
        <v>7.1956911000000003</v>
      </c>
      <c r="L1083" s="2"/>
      <c r="M1083" s="2"/>
    </row>
    <row r="1084" spans="2:13">
      <c r="B1084" s="2"/>
      <c r="C1084" s="1">
        <v>6.007520982</v>
      </c>
      <c r="D1084" s="1">
        <v>1.6555530030000001</v>
      </c>
      <c r="E1084" s="1"/>
      <c r="H1084" s="2">
        <v>10.367468499999999</v>
      </c>
      <c r="I1084" s="2">
        <v>29.9895247</v>
      </c>
      <c r="J1084" s="2">
        <v>24.124684200000001</v>
      </c>
      <c r="L1084" s="2"/>
      <c r="M1084" s="2"/>
    </row>
    <row r="1085" spans="2:13">
      <c r="B1085" s="2"/>
      <c r="C1085" s="1">
        <v>34.759093759999999</v>
      </c>
      <c r="D1085" s="1">
        <v>0.20447069000000001</v>
      </c>
      <c r="E1085" s="1"/>
      <c r="H1085" s="2">
        <v>32.803550700000002</v>
      </c>
      <c r="I1085" s="2">
        <v>2.9227737899999999</v>
      </c>
      <c r="J1085" s="2">
        <v>2.8504670000000001</v>
      </c>
      <c r="L1085" s="2"/>
      <c r="M1085" s="2"/>
    </row>
    <row r="1086" spans="2:13">
      <c r="B1086" s="2"/>
      <c r="C1086" s="1">
        <v>5.7539371810000004</v>
      </c>
      <c r="D1086" s="1">
        <v>0.34298309199999999</v>
      </c>
      <c r="E1086" s="1"/>
      <c r="H1086" s="2">
        <v>3.9852001800000001</v>
      </c>
      <c r="I1086" s="2">
        <v>6.3741343199999996</v>
      </c>
      <c r="J1086" s="2">
        <v>6.9523585499999996</v>
      </c>
      <c r="L1086" s="2"/>
      <c r="M1086" s="2"/>
    </row>
    <row r="1087" spans="2:13">
      <c r="B1087" s="2"/>
      <c r="C1087" s="1">
        <v>11.36296933</v>
      </c>
      <c r="D1087" s="1">
        <v>0.90362853200000004</v>
      </c>
      <c r="E1087" s="1"/>
      <c r="H1087" s="2">
        <v>8.1488421599999992</v>
      </c>
      <c r="I1087" s="2">
        <v>20.677069899999999</v>
      </c>
      <c r="J1087" s="2">
        <v>12.792339699999999</v>
      </c>
      <c r="L1087" s="2"/>
      <c r="M1087" s="2"/>
    </row>
    <row r="1088" spans="2:13">
      <c r="B1088" s="2"/>
      <c r="C1088" s="1">
        <v>28.630818590000001</v>
      </c>
      <c r="D1088" s="1">
        <v>5.1777255279999999</v>
      </c>
      <c r="E1088" s="1"/>
      <c r="H1088" s="2">
        <v>17.885816299999998</v>
      </c>
      <c r="I1088" s="2">
        <v>45.225260400000003</v>
      </c>
      <c r="J1088" s="2">
        <v>65.004552399999994</v>
      </c>
      <c r="L1088" s="2"/>
      <c r="M1088" s="2"/>
    </row>
    <row r="1089" spans="2:13">
      <c r="B1089" s="2"/>
      <c r="C1089" s="1">
        <v>110.81008300000001</v>
      </c>
      <c r="D1089" s="1">
        <v>6.4771037810000003</v>
      </c>
      <c r="E1089" s="1"/>
      <c r="H1089" s="2">
        <v>67.010843600000001</v>
      </c>
      <c r="I1089" s="2">
        <v>203.117232</v>
      </c>
      <c r="J1089" s="2">
        <v>152.01331999999999</v>
      </c>
      <c r="L1089" s="2"/>
      <c r="M1089" s="2"/>
    </row>
    <row r="1090" spans="2:13">
      <c r="B1090" s="2"/>
      <c r="C1090" s="1">
        <v>105.25539019999999</v>
      </c>
      <c r="D1090" s="1">
        <v>3.8387723020000002</v>
      </c>
      <c r="E1090" s="1"/>
      <c r="H1090" s="2">
        <v>161.04967199999999</v>
      </c>
      <c r="I1090" s="2">
        <v>49.858167700000003</v>
      </c>
      <c r="J1090" s="2">
        <v>58.816953300000002</v>
      </c>
      <c r="L1090" s="2"/>
      <c r="M1090" s="2"/>
    </row>
    <row r="1091" spans="2:13">
      <c r="B1091" s="2"/>
      <c r="C1091" s="1">
        <v>89.865268630000003</v>
      </c>
      <c r="D1091" s="1">
        <v>1.0949075640000001</v>
      </c>
      <c r="E1091" s="1"/>
      <c r="H1091" s="2">
        <v>57.024050899999999</v>
      </c>
      <c r="I1091" s="2">
        <v>56.465502100000002</v>
      </c>
      <c r="J1091" s="2">
        <v>20.022792599999999</v>
      </c>
      <c r="L1091" s="2"/>
      <c r="M1091" s="2"/>
    </row>
    <row r="1092" spans="2:13">
      <c r="B1092" s="2"/>
      <c r="C1092" s="1">
        <v>17.461055959999999</v>
      </c>
      <c r="D1092" s="1">
        <v>9.537568297</v>
      </c>
      <c r="E1092" s="1"/>
      <c r="H1092" s="2">
        <v>40.089924199999999</v>
      </c>
      <c r="I1092" s="2">
        <v>44.121446800000001</v>
      </c>
      <c r="J1092" s="2">
        <v>39.7327291</v>
      </c>
      <c r="L1092" s="2"/>
      <c r="M1092" s="2"/>
    </row>
    <row r="1093" spans="2:13">
      <c r="B1093" s="2"/>
      <c r="C1093" s="1">
        <v>130.42056349999999</v>
      </c>
      <c r="D1093" s="1">
        <v>0.44192052300000001</v>
      </c>
      <c r="E1093" s="1"/>
      <c r="H1093" s="2">
        <v>52.099057299999998</v>
      </c>
      <c r="I1093" s="2">
        <v>9.2813614399999995</v>
      </c>
      <c r="J1093" s="2">
        <v>12.722816099999999</v>
      </c>
      <c r="L1093" s="2"/>
      <c r="M1093" s="2"/>
    </row>
    <row r="1094" spans="2:13">
      <c r="B1094" s="2"/>
      <c r="C1094" s="1">
        <v>12.65503917</v>
      </c>
      <c r="D1094" s="1">
        <v>2.0776860400000001</v>
      </c>
      <c r="E1094" s="1"/>
      <c r="H1094" s="2">
        <v>13.6151093</v>
      </c>
      <c r="I1094" s="2">
        <v>18.453896199999999</v>
      </c>
      <c r="J1094" s="2">
        <v>48.875080599999997</v>
      </c>
      <c r="L1094" s="2"/>
      <c r="M1094" s="2"/>
    </row>
    <row r="1095" spans="2:13">
      <c r="B1095" s="2"/>
      <c r="C1095" s="1">
        <v>46.031497450000003</v>
      </c>
      <c r="D1095" s="1">
        <v>0.850861902</v>
      </c>
      <c r="E1095" s="1"/>
      <c r="H1095" s="2">
        <v>45.800061800000002</v>
      </c>
      <c r="I1095" s="2">
        <v>12.406241899999999</v>
      </c>
      <c r="J1095" s="2">
        <v>12.722816099999999</v>
      </c>
      <c r="L1095" s="2"/>
      <c r="M1095" s="2"/>
    </row>
    <row r="1096" spans="2:13">
      <c r="B1096" s="2"/>
      <c r="C1096" s="1">
        <v>13.28296096</v>
      </c>
      <c r="D1096" s="1">
        <v>2.6713106230000001</v>
      </c>
      <c r="E1096" s="1"/>
      <c r="H1096" s="2">
        <v>16.309580400000002</v>
      </c>
      <c r="I1096" s="2">
        <v>44.152540199999997</v>
      </c>
      <c r="J1096" s="2">
        <v>61.006946200000002</v>
      </c>
      <c r="L1096" s="2"/>
      <c r="M1096" s="2"/>
    </row>
    <row r="1097" spans="2:13">
      <c r="B1097" s="2"/>
      <c r="C1097" s="1">
        <v>35.857956889999997</v>
      </c>
      <c r="D1097" s="1">
        <v>1.0553325920000001</v>
      </c>
      <c r="E1097" s="1"/>
      <c r="H1097" s="2">
        <v>58.677611599999999</v>
      </c>
      <c r="I1097" s="2">
        <v>18.236242799999999</v>
      </c>
      <c r="J1097" s="2">
        <v>19.536127499999999</v>
      </c>
      <c r="L1097" s="2"/>
      <c r="M1097" s="2"/>
    </row>
    <row r="1098" spans="2:13">
      <c r="B1098" s="2"/>
      <c r="C1098" s="1">
        <v>16.54332411</v>
      </c>
      <c r="D1098" s="1">
        <v>0.32319560600000002</v>
      </c>
      <c r="E1098" s="1"/>
      <c r="H1098" s="2">
        <v>24.3275653</v>
      </c>
      <c r="I1098" s="2">
        <v>4.9438407700000004</v>
      </c>
      <c r="J1098" s="2">
        <v>3.7195118200000001</v>
      </c>
      <c r="L1098" s="2"/>
      <c r="M1098" s="2"/>
    </row>
    <row r="1099" spans="2:13">
      <c r="B1099" s="2"/>
      <c r="C1099" s="1">
        <v>3.8882849369999999</v>
      </c>
      <c r="D1099" s="1">
        <v>2.5921606779999999</v>
      </c>
      <c r="E1099" s="1"/>
      <c r="H1099" s="2">
        <v>5.17481217</v>
      </c>
      <c r="I1099" s="2">
        <v>1.554667E-2</v>
      </c>
      <c r="J1099" s="2">
        <v>46.3374697</v>
      </c>
      <c r="L1099" s="2"/>
      <c r="M1099" s="2"/>
    </row>
    <row r="1100" spans="2:13">
      <c r="B1100" s="2"/>
      <c r="C1100" s="1">
        <v>6.03771E-3</v>
      </c>
      <c r="D1100" s="1">
        <v>1.5302322580000001</v>
      </c>
      <c r="E1100" s="1"/>
      <c r="H1100" s="2">
        <v>5.9480599999999998E-3</v>
      </c>
      <c r="I1100" s="2">
        <v>31.0311515</v>
      </c>
      <c r="J1100" s="2">
        <v>25.410870500000001</v>
      </c>
      <c r="L1100" s="2"/>
      <c r="M1100" s="2"/>
    </row>
    <row r="1101" spans="2:13">
      <c r="B1101" s="2"/>
      <c r="C1101" s="1">
        <v>20.002931669999999</v>
      </c>
      <c r="D1101" s="1">
        <v>3.3902559509999999</v>
      </c>
      <c r="E1101" s="1"/>
      <c r="H1101" s="2">
        <v>54.281995299999998</v>
      </c>
      <c r="I1101" s="2">
        <v>27.470964299999999</v>
      </c>
      <c r="J1101" s="2">
        <v>61.354564199999999</v>
      </c>
      <c r="L1101" s="2"/>
      <c r="M1101" s="2"/>
    </row>
    <row r="1102" spans="2:13">
      <c r="B1102" s="2"/>
      <c r="C1102" s="1">
        <v>33.515325599999997</v>
      </c>
      <c r="D1102" s="1">
        <v>102.82896940000001</v>
      </c>
      <c r="E1102" s="1"/>
      <c r="H1102" s="2">
        <v>32.684589500000001</v>
      </c>
      <c r="I1102" s="2">
        <v>50.511127799999997</v>
      </c>
      <c r="J1102" s="2">
        <v>27.392292699999999</v>
      </c>
      <c r="L1102" s="2"/>
      <c r="M1102" s="2"/>
    </row>
    <row r="1103" spans="2:13">
      <c r="B1103" s="2"/>
      <c r="C1103" s="1">
        <v>61.512184679999997</v>
      </c>
      <c r="D1103" s="1">
        <v>0.164895717</v>
      </c>
      <c r="E1103" s="1"/>
      <c r="H1103" s="2">
        <v>89.744328800000005</v>
      </c>
      <c r="I1103" s="2">
        <v>19.6509897</v>
      </c>
      <c r="J1103" s="2">
        <v>5.1447453200000002</v>
      </c>
      <c r="L1103" s="2"/>
      <c r="M1103" s="2"/>
    </row>
    <row r="1104" spans="2:13">
      <c r="B1104" s="2"/>
      <c r="C1104" s="1">
        <v>28.667044839999999</v>
      </c>
      <c r="D1104" s="1">
        <v>0.71894532799999999</v>
      </c>
      <c r="E1104" s="1"/>
      <c r="H1104" s="2">
        <v>34.201344800000001</v>
      </c>
      <c r="I1104" s="2">
        <v>5.8455475699999999</v>
      </c>
      <c r="J1104" s="2">
        <v>12.3404364</v>
      </c>
      <c r="L1104" s="2"/>
      <c r="M1104" s="2"/>
    </row>
    <row r="1105" spans="2:13">
      <c r="B1105" s="2"/>
      <c r="C1105" s="1">
        <v>4.4860181800000003</v>
      </c>
      <c r="D1105" s="1">
        <v>0.67277452699999996</v>
      </c>
      <c r="E1105" s="1"/>
      <c r="H1105" s="2">
        <v>5.4781632299999998</v>
      </c>
      <c r="I1105" s="2">
        <v>10.385174900000001</v>
      </c>
      <c r="J1105" s="2">
        <v>33.684177200000001</v>
      </c>
      <c r="L1105" s="2"/>
      <c r="M1105" s="2"/>
    </row>
    <row r="1106" spans="2:13">
      <c r="B1106" s="2"/>
      <c r="C1106" s="1">
        <v>15.148613210000001</v>
      </c>
      <c r="D1106" s="1">
        <v>0.28362063399999998</v>
      </c>
      <c r="E1106" s="1"/>
      <c r="H1106" s="2">
        <v>12.9846149</v>
      </c>
      <c r="I1106" s="2">
        <v>38.446912599999997</v>
      </c>
      <c r="J1106" s="2">
        <v>7.5085472299999996</v>
      </c>
      <c r="L1106" s="2"/>
      <c r="M1106" s="2"/>
    </row>
    <row r="1107" spans="2:13">
      <c r="B1107" s="2"/>
      <c r="C1107" s="1">
        <v>24.633854880000001</v>
      </c>
      <c r="D1107" s="1">
        <v>0.54085795299999995</v>
      </c>
      <c r="E1107" s="1"/>
      <c r="H1107" s="2">
        <v>25.665878800000002</v>
      </c>
      <c r="I1107" s="2">
        <v>8.9393347199999997</v>
      </c>
      <c r="J1107" s="2">
        <v>9.3856840399999992</v>
      </c>
      <c r="L1107" s="2"/>
      <c r="M1107" s="2"/>
    </row>
    <row r="1108" spans="2:13">
      <c r="B1108" s="2"/>
      <c r="C1108" s="1">
        <v>17.05652942</v>
      </c>
      <c r="D1108" s="1">
        <v>9.8937430000000007E-2</v>
      </c>
      <c r="E1108" s="1"/>
      <c r="H1108" s="2">
        <v>9.1600123500000006</v>
      </c>
      <c r="I1108" s="2">
        <v>14.1163755</v>
      </c>
      <c r="J1108" s="2">
        <v>1.9118986</v>
      </c>
      <c r="L1108" s="2"/>
      <c r="M1108" s="2"/>
    </row>
    <row r="1109" spans="2:13">
      <c r="B1109" s="2"/>
      <c r="C1109" s="1">
        <v>16.301815730000001</v>
      </c>
      <c r="D1109" s="1">
        <v>8.5745772999999997E-2</v>
      </c>
      <c r="E1109" s="1"/>
      <c r="H1109" s="2">
        <v>12.829965400000001</v>
      </c>
      <c r="I1109" s="2">
        <v>2.5030137200000002</v>
      </c>
      <c r="J1109" s="2">
        <v>3.8933207900000002</v>
      </c>
      <c r="L1109" s="2"/>
      <c r="M1109" s="2"/>
    </row>
    <row r="1110" spans="2:13">
      <c r="B1110" s="2"/>
      <c r="C1110" s="1">
        <v>2.3245181690000001</v>
      </c>
      <c r="D1110" s="1">
        <v>0.105533259</v>
      </c>
      <c r="E1110" s="1"/>
      <c r="H1110" s="2">
        <v>2.3970681699999998</v>
      </c>
      <c r="I1110" s="2">
        <v>3.7312005799999999</v>
      </c>
      <c r="J1110" s="2">
        <v>2.3638019099999998</v>
      </c>
      <c r="L1110" s="2"/>
      <c r="M1110" s="2"/>
    </row>
    <row r="1111" spans="2:13">
      <c r="B1111" s="2"/>
      <c r="C1111" s="1">
        <v>2.7531955450000001</v>
      </c>
      <c r="D1111" s="1">
        <v>7.0311533920000002</v>
      </c>
      <c r="E1111" s="1"/>
      <c r="H1111" s="2">
        <v>6.1562420700000002</v>
      </c>
      <c r="I1111" s="2">
        <v>3.4202672000000001</v>
      </c>
      <c r="J1111" s="2">
        <v>55.1322033</v>
      </c>
      <c r="L1111" s="2"/>
      <c r="M1111" s="2"/>
    </row>
    <row r="1112" spans="2:13">
      <c r="B1112" s="2"/>
      <c r="C1112" s="1">
        <v>3.5984748789999998</v>
      </c>
      <c r="D1112" s="1">
        <v>1.4510823129999999</v>
      </c>
      <c r="E1112" s="1"/>
      <c r="H1112" s="2">
        <v>3.1703159599999999</v>
      </c>
      <c r="I1112" s="2">
        <v>55.470515300000002</v>
      </c>
      <c r="J1112" s="2">
        <v>65.734550100000007</v>
      </c>
      <c r="L1112" s="2"/>
      <c r="M1112" s="2"/>
    </row>
    <row r="1113" spans="2:13">
      <c r="B1113" s="2"/>
      <c r="C1113" s="1">
        <v>55.335607840000002</v>
      </c>
      <c r="D1113" s="1">
        <v>1.1476741930000001</v>
      </c>
      <c r="E1113" s="1"/>
      <c r="H1113" s="2">
        <v>68.8190539</v>
      </c>
      <c r="I1113" s="2">
        <v>76.023211799999999</v>
      </c>
      <c r="J1113" s="2">
        <v>12.236151</v>
      </c>
      <c r="L1113" s="2"/>
      <c r="M1113" s="2"/>
    </row>
    <row r="1114" spans="2:13">
      <c r="B1114" s="2"/>
      <c r="C1114" s="1">
        <v>44.956785150000002</v>
      </c>
      <c r="D1114" s="1">
        <v>1.5895947159999999</v>
      </c>
      <c r="E1114" s="1"/>
      <c r="H1114" s="2">
        <v>58.207714899999999</v>
      </c>
      <c r="I1114" s="2">
        <v>14.3651222</v>
      </c>
      <c r="J1114" s="2">
        <v>26.071344499999999</v>
      </c>
      <c r="L1114" s="2"/>
      <c r="M1114" s="2"/>
    </row>
    <row r="1115" spans="2:13">
      <c r="B1115" s="2"/>
      <c r="C1115" s="1">
        <v>18.52973055</v>
      </c>
      <c r="D1115" s="1">
        <v>11.13375884</v>
      </c>
      <c r="E1115" s="1"/>
      <c r="H1115" s="2">
        <v>20.205559699999998</v>
      </c>
      <c r="I1115" s="2">
        <v>25.4032573</v>
      </c>
      <c r="J1115" s="2">
        <v>99.279679999999999</v>
      </c>
      <c r="L1115" s="2"/>
      <c r="M1115" s="2"/>
    </row>
    <row r="1116" spans="2:13">
      <c r="B1116" s="2"/>
      <c r="C1116" s="1">
        <v>16.344079700000002</v>
      </c>
      <c r="D1116" s="1">
        <v>17.86809994</v>
      </c>
      <c r="E1116" s="1"/>
      <c r="H1116" s="2">
        <v>28.877831199999999</v>
      </c>
      <c r="I1116" s="2">
        <v>80.282999099999998</v>
      </c>
      <c r="J1116" s="2">
        <v>64.378840100000005</v>
      </c>
      <c r="L1116" s="2"/>
      <c r="M1116" s="2"/>
    </row>
    <row r="1117" spans="2:13">
      <c r="B1117" s="2"/>
      <c r="C1117" s="1">
        <v>204.2315625</v>
      </c>
      <c r="D1117" s="1">
        <v>2.9879104000000001</v>
      </c>
      <c r="E1117" s="1"/>
      <c r="H1117" s="2">
        <v>138.49462800000001</v>
      </c>
      <c r="I1117" s="2">
        <v>74.266438199999996</v>
      </c>
      <c r="J1117" s="2">
        <v>26.314677100000001</v>
      </c>
      <c r="L1117" s="2"/>
      <c r="M1117" s="2"/>
    </row>
    <row r="1118" spans="2:13">
      <c r="B1118" s="2"/>
      <c r="C1118" s="1">
        <v>25.84139678</v>
      </c>
      <c r="D1118" s="1">
        <v>0.92341601799999995</v>
      </c>
      <c r="E1118" s="1"/>
      <c r="H1118" s="2">
        <v>77.122545599999995</v>
      </c>
      <c r="I1118" s="2">
        <v>21.127923299999999</v>
      </c>
      <c r="J1118" s="2">
        <v>18.284703</v>
      </c>
      <c r="L1118" s="2"/>
      <c r="M1118" s="2"/>
    </row>
    <row r="1119" spans="2:13">
      <c r="B1119" s="2"/>
      <c r="C1119" s="1">
        <v>71.903082780000005</v>
      </c>
      <c r="D1119" s="1">
        <v>5.1645338699999996</v>
      </c>
      <c r="E1119" s="1"/>
      <c r="H1119" s="2">
        <v>39.3880531</v>
      </c>
      <c r="I1119" s="2">
        <v>18.158509500000001</v>
      </c>
      <c r="J1119" s="2">
        <v>58.921238700000004</v>
      </c>
      <c r="L1119" s="2"/>
      <c r="M1119" s="2"/>
    </row>
    <row r="1120" spans="2:13">
      <c r="B1120" s="2"/>
      <c r="C1120" s="1">
        <v>29.10175993</v>
      </c>
      <c r="D1120" s="1">
        <v>0.40234555100000002</v>
      </c>
      <c r="E1120" s="1"/>
      <c r="H1120" s="2">
        <v>23.9468894</v>
      </c>
      <c r="I1120" s="2">
        <v>49.018647600000001</v>
      </c>
      <c r="J1120" s="2">
        <v>10.1504435</v>
      </c>
      <c r="L1120" s="2"/>
      <c r="M1120" s="2"/>
    </row>
    <row r="1121" spans="2:13">
      <c r="B1121" s="2"/>
      <c r="C1121" s="1">
        <v>43.706979279999999</v>
      </c>
      <c r="D1121" s="1">
        <v>2.071090211</v>
      </c>
      <c r="E1121" s="1"/>
      <c r="H1121" s="2">
        <v>56.072361299999997</v>
      </c>
      <c r="I1121" s="2">
        <v>10.120881600000001</v>
      </c>
      <c r="J1121" s="2">
        <v>19.397080299999999</v>
      </c>
      <c r="L1121" s="2"/>
      <c r="M1121" s="2"/>
    </row>
    <row r="1122" spans="2:13">
      <c r="B1122" s="2"/>
      <c r="C1122" s="1">
        <v>15.78257271</v>
      </c>
      <c r="D1122" s="1">
        <v>0.19127903199999999</v>
      </c>
      <c r="E1122" s="1"/>
      <c r="H1122" s="2">
        <v>15.899164300000001</v>
      </c>
      <c r="I1122" s="2">
        <v>26.957924200000001</v>
      </c>
      <c r="J1122" s="2">
        <v>4.5537948500000001</v>
      </c>
      <c r="L1122" s="2"/>
      <c r="M1122" s="2"/>
    </row>
    <row r="1123" spans="2:13">
      <c r="B1123" s="2"/>
      <c r="C1123" s="1">
        <v>53.288824300000002</v>
      </c>
      <c r="D1123" s="1">
        <v>2.2887525580000001</v>
      </c>
      <c r="E1123" s="1"/>
      <c r="H1123" s="2">
        <v>24.4405784</v>
      </c>
      <c r="I1123" s="2">
        <v>6.7783477200000002</v>
      </c>
      <c r="J1123" s="2">
        <v>34.066556900000002</v>
      </c>
      <c r="L1123" s="2"/>
      <c r="M1123" s="2"/>
    </row>
    <row r="1124" spans="2:13">
      <c r="B1124" s="2"/>
      <c r="C1124" s="1">
        <v>6.387896682</v>
      </c>
      <c r="D1124" s="1">
        <v>0.25723731900000002</v>
      </c>
      <c r="E1124" s="1"/>
      <c r="H1124" s="2">
        <v>6.8521650899999997</v>
      </c>
      <c r="I1124" s="2">
        <v>60.460996100000003</v>
      </c>
      <c r="J1124" s="2">
        <v>7.1609293000000003</v>
      </c>
      <c r="L1124" s="2"/>
      <c r="M1124" s="2"/>
    </row>
    <row r="1125" spans="2:13">
      <c r="B1125" s="2"/>
      <c r="C1125" s="1">
        <v>45.288859180000003</v>
      </c>
      <c r="D1125" s="1">
        <v>2.3085400439999999</v>
      </c>
      <c r="E1125" s="1"/>
      <c r="H1125" s="2">
        <v>41.606679499999998</v>
      </c>
      <c r="I1125" s="2">
        <v>9.4057347900000003</v>
      </c>
      <c r="J1125" s="2">
        <v>38.863684300000003</v>
      </c>
      <c r="L1125" s="2"/>
      <c r="M1125" s="2"/>
    </row>
    <row r="1126" spans="2:13">
      <c r="B1126" s="2"/>
      <c r="C1126" s="1">
        <v>8.3018506030000001</v>
      </c>
      <c r="D1126" s="1">
        <v>152.3768346</v>
      </c>
      <c r="E1126" s="1"/>
      <c r="H1126" s="2">
        <v>8.4462451600000001</v>
      </c>
      <c r="I1126" s="2">
        <v>29.802964599999999</v>
      </c>
      <c r="J1126" s="2">
        <v>21.413264300000002</v>
      </c>
      <c r="L1126" s="2"/>
      <c r="M1126" s="2"/>
    </row>
    <row r="1127" spans="2:13">
      <c r="B1127" s="2"/>
      <c r="C1127" s="1">
        <v>48.796768409999999</v>
      </c>
      <c r="D1127" s="1">
        <v>592.84627499999999</v>
      </c>
      <c r="E1127" s="1"/>
      <c r="H1127" s="2">
        <v>45.443178199999998</v>
      </c>
      <c r="I1127" s="2">
        <v>21.858616699999999</v>
      </c>
      <c r="J1127" s="2">
        <v>52.907448500000001</v>
      </c>
      <c r="L1127" s="2"/>
      <c r="M1127" s="2"/>
    </row>
    <row r="1128" spans="2:13">
      <c r="B1128" s="2"/>
      <c r="C1128" s="1">
        <v>11.79768442</v>
      </c>
      <c r="D1128" s="1">
        <v>1.233419966</v>
      </c>
      <c r="E1128" s="1"/>
      <c r="H1128" s="2">
        <v>26.3439576</v>
      </c>
      <c r="I1128" s="2">
        <v>67.068330399999994</v>
      </c>
      <c r="J1128" s="2">
        <v>20.127078000000001</v>
      </c>
      <c r="L1128" s="2"/>
      <c r="M1128" s="2"/>
    </row>
    <row r="1129" spans="2:13">
      <c r="B1129" s="2"/>
      <c r="C1129" s="1">
        <v>61.518222389999998</v>
      </c>
      <c r="D1129" s="1">
        <v>9.2275643479999996</v>
      </c>
      <c r="E1129" s="1"/>
      <c r="H1129" s="2">
        <v>53.752617899999997</v>
      </c>
      <c r="I1129" s="2">
        <v>13.9298155</v>
      </c>
      <c r="J1129" s="2">
        <v>90.728279000000001</v>
      </c>
      <c r="L1129" s="2"/>
      <c r="M1129" s="2"/>
    </row>
    <row r="1130" spans="2:13">
      <c r="B1130" s="2"/>
      <c r="C1130" s="1">
        <v>13.693525210000001</v>
      </c>
      <c r="D1130" s="1">
        <v>1.1608658510000001</v>
      </c>
      <c r="E1130" s="1"/>
      <c r="H1130" s="2">
        <v>27.485985100000001</v>
      </c>
      <c r="I1130" s="2">
        <v>103.836203</v>
      </c>
      <c r="J1130" s="2">
        <v>16.094709999999999</v>
      </c>
      <c r="L1130" s="2"/>
      <c r="M1130" s="2"/>
    </row>
    <row r="1131" spans="2:13">
      <c r="B1131" s="2"/>
      <c r="C1131" s="1">
        <v>196.27386139999999</v>
      </c>
      <c r="D1131" s="1">
        <v>0.75852030000000004</v>
      </c>
      <c r="E1131" s="1"/>
      <c r="H1131" s="2">
        <v>87.775520999999998</v>
      </c>
      <c r="I1131" s="2">
        <v>17.443362700000002</v>
      </c>
      <c r="J1131" s="2">
        <v>14.252335</v>
      </c>
      <c r="L1131" s="2"/>
      <c r="M1131" s="2"/>
    </row>
    <row r="1132" spans="2:13">
      <c r="B1132" s="2"/>
      <c r="C1132" s="1">
        <v>12.781831070000001</v>
      </c>
      <c r="D1132" s="1">
        <v>0.54085795299999995</v>
      </c>
      <c r="E1132" s="1"/>
      <c r="H1132" s="2">
        <v>21.121561</v>
      </c>
      <c r="I1132" s="2">
        <v>13.4478688</v>
      </c>
      <c r="J1132" s="2">
        <v>11.575677000000001</v>
      </c>
      <c r="L1132" s="2"/>
      <c r="M1132" s="2"/>
    </row>
    <row r="1133" spans="2:13">
      <c r="B1133" s="2"/>
      <c r="C1133" s="1">
        <v>18.523692839999999</v>
      </c>
      <c r="D1133" s="1">
        <v>1.582998887</v>
      </c>
      <c r="E1133" s="1"/>
      <c r="H1133" s="2">
        <v>21.9602374</v>
      </c>
      <c r="I1133" s="2">
        <v>7.5090411699999997</v>
      </c>
      <c r="J1133" s="2">
        <v>13.800431700000001</v>
      </c>
      <c r="L1133" s="2"/>
      <c r="M1133" s="2"/>
    </row>
    <row r="1134" spans="2:13">
      <c r="B1134" s="2"/>
      <c r="C1134" s="1">
        <v>10.48750145</v>
      </c>
      <c r="D1134" s="1">
        <v>2.8164188540000001</v>
      </c>
      <c r="E1134" s="1"/>
      <c r="H1134" s="2">
        <v>13.603213200000001</v>
      </c>
      <c r="I1134" s="2">
        <v>19.635442999999999</v>
      </c>
      <c r="J1134" s="2">
        <v>44.668903700000001</v>
      </c>
      <c r="L1134" s="2"/>
      <c r="M1134" s="2"/>
    </row>
    <row r="1135" spans="2:13">
      <c r="B1135" s="2"/>
      <c r="C1135" s="1">
        <v>20.52217469</v>
      </c>
      <c r="D1135" s="1">
        <v>2.9285479419999998</v>
      </c>
      <c r="E1135" s="1"/>
      <c r="H1135" s="2">
        <v>22.656160400000001</v>
      </c>
      <c r="I1135" s="2">
        <v>31.653018200000002</v>
      </c>
      <c r="J1135" s="2">
        <v>23.811827999999998</v>
      </c>
      <c r="L1135" s="2"/>
      <c r="M1135" s="2"/>
    </row>
    <row r="1136" spans="2:13">
      <c r="B1136" s="2"/>
      <c r="C1136" s="1">
        <v>64.543114869999997</v>
      </c>
      <c r="D1136" s="1">
        <v>11.34482536</v>
      </c>
      <c r="E1136" s="1"/>
      <c r="H1136" s="2">
        <v>42.564317099999997</v>
      </c>
      <c r="I1136" s="2">
        <v>19.1068563</v>
      </c>
      <c r="J1136" s="2">
        <v>91.006373400000001</v>
      </c>
      <c r="L1136" s="2"/>
      <c r="M1136" s="2"/>
    </row>
    <row r="1137" spans="2:13">
      <c r="B1137" s="2"/>
      <c r="C1137" s="1">
        <v>45.620933200000003</v>
      </c>
      <c r="D1137" s="1">
        <v>0.69915784199999997</v>
      </c>
      <c r="E1137" s="1"/>
      <c r="H1137" s="2">
        <v>34.879423699999997</v>
      </c>
      <c r="I1137" s="2">
        <v>129.736953</v>
      </c>
      <c r="J1137" s="2">
        <v>9.1771132800000004</v>
      </c>
      <c r="L1137" s="2"/>
      <c r="M1137" s="2"/>
    </row>
    <row r="1138" spans="2:13">
      <c r="B1138" s="2"/>
      <c r="C1138" s="1">
        <v>224.57864359999999</v>
      </c>
      <c r="D1138" s="1">
        <v>394.5624727</v>
      </c>
      <c r="E1138" s="1"/>
      <c r="H1138" s="2">
        <v>109.34913400000001</v>
      </c>
      <c r="I1138" s="2">
        <v>16.2462692</v>
      </c>
      <c r="J1138" s="2">
        <v>182.11703199999999</v>
      </c>
      <c r="L1138" s="2"/>
      <c r="M1138" s="2"/>
    </row>
    <row r="1139" spans="2:13">
      <c r="B1139" s="2"/>
      <c r="C1139" s="1">
        <v>19.70104619</v>
      </c>
      <c r="D1139" s="1">
        <v>0.32979143500000002</v>
      </c>
      <c r="E1139" s="1"/>
      <c r="H1139" s="2">
        <v>11.670093700000001</v>
      </c>
      <c r="I1139" s="2">
        <v>167.48426599999999</v>
      </c>
      <c r="J1139" s="2">
        <v>6.2918844800000002</v>
      </c>
      <c r="L1139" s="2"/>
      <c r="M1139" s="2"/>
    </row>
    <row r="1140" spans="2:13">
      <c r="B1140" s="2"/>
      <c r="C1140" s="1">
        <v>186.32975379999999</v>
      </c>
      <c r="D1140" s="1">
        <v>0.42872886500000001</v>
      </c>
      <c r="E1140" s="1"/>
      <c r="H1140" s="2">
        <v>154.14397399999999</v>
      </c>
      <c r="I1140" s="2">
        <v>4.3997073499999999</v>
      </c>
      <c r="J1140" s="2">
        <v>5.2490306999999996</v>
      </c>
      <c r="L1140" s="2"/>
      <c r="M1140" s="2"/>
    </row>
    <row r="1141" spans="2:13">
      <c r="B1141" s="2"/>
      <c r="C1141" s="1">
        <v>7.7282681970000002</v>
      </c>
      <c r="D1141" s="1">
        <v>2.0908776969999998</v>
      </c>
      <c r="E1141" s="1"/>
      <c r="H1141" s="2">
        <v>9.13622011</v>
      </c>
      <c r="I1141" s="2">
        <v>3.8244805899999998</v>
      </c>
      <c r="J1141" s="2">
        <v>41.262248</v>
      </c>
      <c r="L1141" s="2"/>
      <c r="M1141" s="2"/>
    </row>
    <row r="1142" spans="2:13">
      <c r="B1142" s="2"/>
      <c r="C1142" s="1">
        <v>9.2497709990000008</v>
      </c>
      <c r="D1142" s="1">
        <v>1.292782425</v>
      </c>
      <c r="E1142" s="1"/>
      <c r="H1142" s="2">
        <v>5.9480599700000001</v>
      </c>
      <c r="I1142" s="2">
        <v>33.285418499999999</v>
      </c>
      <c r="J1142" s="2">
        <v>26.036582800000001</v>
      </c>
      <c r="L1142" s="2"/>
      <c r="M1142" s="2"/>
    </row>
    <row r="1143" spans="2:13">
      <c r="B1143" s="2"/>
      <c r="C1143" s="1">
        <v>66.016315989999995</v>
      </c>
      <c r="D1143" s="1">
        <v>0.17149154599999999</v>
      </c>
      <c r="E1143" s="1"/>
      <c r="H1143" s="2">
        <v>44.759151299999999</v>
      </c>
      <c r="I1143" s="2">
        <v>28.730244500000001</v>
      </c>
      <c r="J1143" s="2">
        <v>4.51903305</v>
      </c>
      <c r="L1143" s="2"/>
      <c r="M1143" s="2"/>
    </row>
    <row r="1144" spans="2:13">
      <c r="B1144" s="2"/>
      <c r="C1144" s="1">
        <v>44.437542129999997</v>
      </c>
      <c r="D1144" s="1">
        <v>0.28362063399999998</v>
      </c>
      <c r="E1144" s="1"/>
      <c r="H1144" s="2">
        <v>34.540384199999998</v>
      </c>
      <c r="I1144" s="2">
        <v>2.79840043</v>
      </c>
      <c r="J1144" s="2">
        <v>6.0833137300000004</v>
      </c>
      <c r="L1144" s="2"/>
      <c r="M1144" s="2"/>
    </row>
    <row r="1145" spans="2:13">
      <c r="B1145" s="2"/>
      <c r="C1145" s="1">
        <v>4.3290377319999997</v>
      </c>
      <c r="D1145" s="1">
        <v>12.980590879999999</v>
      </c>
      <c r="E1145" s="1"/>
      <c r="H1145" s="2">
        <v>4.6454348400000001</v>
      </c>
      <c r="I1145" s="2">
        <v>8.3796546299999992</v>
      </c>
      <c r="J1145" s="2">
        <v>123.369602</v>
      </c>
      <c r="L1145" s="2"/>
      <c r="M1145" s="2"/>
    </row>
    <row r="1146" spans="2:13">
      <c r="B1146" s="2"/>
      <c r="C1146" s="1">
        <v>4.6913003040000003</v>
      </c>
      <c r="D1146" s="1">
        <v>0.17808737499999999</v>
      </c>
      <c r="E1146" s="1"/>
      <c r="H1146" s="2">
        <v>7.4707633199999997</v>
      </c>
      <c r="I1146" s="2">
        <v>78.526225499999995</v>
      </c>
      <c r="J1146" s="2">
        <v>4.4147476799999996</v>
      </c>
      <c r="L1146" s="2"/>
      <c r="M1146" s="2"/>
    </row>
    <row r="1147" spans="2:13">
      <c r="B1147" s="2"/>
      <c r="C1147" s="1">
        <v>217.09792150000001</v>
      </c>
      <c r="D1147" s="1">
        <v>0.20447069000000001</v>
      </c>
      <c r="E1147" s="1"/>
      <c r="H1147" s="2">
        <v>126.491443</v>
      </c>
      <c r="I1147" s="2">
        <v>7.2602944599999999</v>
      </c>
      <c r="J1147" s="2">
        <v>4.9014127700000003</v>
      </c>
      <c r="L1147" s="2"/>
      <c r="M1147" s="2"/>
    </row>
    <row r="1148" spans="2:13">
      <c r="B1148" s="2"/>
      <c r="C1148" s="1">
        <v>5.633182991</v>
      </c>
      <c r="D1148" s="1">
        <v>1.3785281979999999</v>
      </c>
      <c r="E1148" s="1"/>
      <c r="H1148" s="2">
        <v>5.9778002700000004</v>
      </c>
      <c r="I1148" s="2">
        <v>4.19760065</v>
      </c>
      <c r="J1148" s="2">
        <v>35.317981400000001</v>
      </c>
      <c r="L1148" s="2"/>
      <c r="M1148" s="2"/>
    </row>
    <row r="1149" spans="2:13">
      <c r="B1149" s="2"/>
      <c r="C1149" s="1">
        <v>7.5471369109999999</v>
      </c>
      <c r="D1149" s="1">
        <v>0.79809527199999997</v>
      </c>
      <c r="E1149" s="1"/>
      <c r="H1149" s="2">
        <v>6.6915674699999999</v>
      </c>
      <c r="I1149" s="2">
        <v>22.2783768</v>
      </c>
      <c r="J1149" s="2">
        <v>14.8432855</v>
      </c>
      <c r="L1149" s="2"/>
      <c r="M1149" s="2"/>
    </row>
    <row r="1150" spans="2:13">
      <c r="B1150" s="2"/>
      <c r="C1150" s="1">
        <v>36.347011369999997</v>
      </c>
      <c r="D1150" s="1">
        <v>1.371932369</v>
      </c>
      <c r="E1150" s="1"/>
      <c r="H1150" s="2">
        <v>42.272862199999999</v>
      </c>
      <c r="I1150" s="2">
        <v>9.8254948599999992</v>
      </c>
      <c r="J1150" s="2">
        <v>16.616136900000001</v>
      </c>
      <c r="L1150" s="2"/>
      <c r="M1150" s="2"/>
    </row>
    <row r="1151" spans="2:13">
      <c r="B1151" s="2"/>
      <c r="C1151" s="1">
        <v>10.18561598</v>
      </c>
      <c r="D1151" s="1">
        <v>0.65298704100000005</v>
      </c>
      <c r="E1151" s="1"/>
      <c r="H1151" s="2">
        <v>19.045687999999998</v>
      </c>
      <c r="I1151" s="2">
        <v>12.779362000000001</v>
      </c>
      <c r="J1151" s="2">
        <v>13.418051999999999</v>
      </c>
      <c r="L1151" s="2"/>
      <c r="M1151" s="2"/>
    </row>
    <row r="1152" spans="2:13">
      <c r="B1152" s="2"/>
      <c r="C1152" s="1">
        <v>16.712379980000001</v>
      </c>
      <c r="D1152" s="1">
        <v>15.638709840000001</v>
      </c>
      <c r="E1152" s="1"/>
      <c r="H1152" s="2">
        <v>22.739433300000002</v>
      </c>
      <c r="I1152" s="2">
        <v>12.0020285</v>
      </c>
      <c r="J1152" s="2">
        <v>46.650325799999997</v>
      </c>
      <c r="L1152" s="2"/>
      <c r="M1152" s="2"/>
    </row>
    <row r="1153" spans="2:13">
      <c r="B1153" s="2"/>
      <c r="C1153" s="1">
        <v>11.11542324</v>
      </c>
      <c r="D1153" s="1">
        <v>3.9706888760000001</v>
      </c>
      <c r="E1153" s="1"/>
      <c r="H1153" s="2">
        <v>19.658338199999999</v>
      </c>
      <c r="I1153" s="2">
        <v>44.401286900000002</v>
      </c>
      <c r="J1153" s="2">
        <v>16.894231300000001</v>
      </c>
      <c r="L1153" s="2"/>
      <c r="M1153" s="2"/>
    </row>
    <row r="1154" spans="2:13">
      <c r="B1154" s="2"/>
      <c r="C1154" s="1">
        <v>50.831476530000003</v>
      </c>
      <c r="D1154" s="1">
        <v>3.5947266400000002</v>
      </c>
      <c r="E1154" s="1"/>
      <c r="H1154" s="2">
        <v>61.2531216</v>
      </c>
      <c r="I1154" s="2">
        <v>22.3250168</v>
      </c>
      <c r="J1154" s="2">
        <v>74.529283599999999</v>
      </c>
      <c r="L1154" s="2"/>
      <c r="M1154" s="2"/>
    </row>
    <row r="1155" spans="2:13">
      <c r="B1155" s="2"/>
      <c r="C1155" s="1">
        <v>38.82850998</v>
      </c>
      <c r="D1155" s="1">
        <v>6.7013619569999996</v>
      </c>
      <c r="E1155" s="1"/>
      <c r="H1155" s="2">
        <v>24.589279900000001</v>
      </c>
      <c r="I1155" s="2">
        <v>71.965531200000001</v>
      </c>
      <c r="J1155" s="2">
        <v>66.151691600000007</v>
      </c>
      <c r="L1155" s="2"/>
      <c r="M1155" s="2"/>
    </row>
    <row r="1156" spans="2:13">
      <c r="B1156" s="2"/>
      <c r="C1156" s="1">
        <v>47.794508630000003</v>
      </c>
      <c r="D1156" s="1">
        <v>1.299378253</v>
      </c>
      <c r="E1156" s="1"/>
      <c r="H1156" s="2">
        <v>75.516569399999995</v>
      </c>
      <c r="I1156" s="2">
        <v>46.997580599999999</v>
      </c>
      <c r="J1156" s="2">
        <v>22.143262</v>
      </c>
      <c r="L1156" s="2"/>
      <c r="M1156" s="2"/>
    </row>
    <row r="1157" spans="2:13">
      <c r="B1157" s="2"/>
      <c r="C1157" s="1">
        <v>158.3147816</v>
      </c>
      <c r="D1157" s="1">
        <v>0.38915389299999997</v>
      </c>
      <c r="E1157" s="1"/>
      <c r="H1157" s="2">
        <v>71.382667699999999</v>
      </c>
      <c r="I1157" s="2">
        <v>35.104378799999999</v>
      </c>
      <c r="J1157" s="2">
        <v>13.5223374</v>
      </c>
      <c r="L1157" s="2"/>
      <c r="M1157" s="2"/>
    </row>
    <row r="1158" spans="2:13">
      <c r="B1158" s="2"/>
      <c r="C1158" s="1">
        <v>34.282114710000002</v>
      </c>
      <c r="D1158" s="1">
        <v>0.68596618499999995</v>
      </c>
      <c r="E1158" s="1"/>
      <c r="H1158" s="2">
        <v>22.489614700000001</v>
      </c>
      <c r="I1158" s="2">
        <v>12.561708599999999</v>
      </c>
      <c r="J1158" s="2">
        <v>7.6823561900000001</v>
      </c>
      <c r="L1158" s="2"/>
      <c r="M1158" s="2"/>
    </row>
    <row r="1159" spans="2:13">
      <c r="B1159" s="2"/>
      <c r="C1159" s="1">
        <v>6.3456327149999998</v>
      </c>
      <c r="D1159" s="1">
        <v>29.60867502</v>
      </c>
      <c r="E1159" s="1"/>
      <c r="H1159" s="2">
        <v>12.681263899999999</v>
      </c>
      <c r="I1159" s="2">
        <v>10.556188300000001</v>
      </c>
      <c r="J1159" s="2">
        <v>5.9790283500000001</v>
      </c>
      <c r="L1159" s="2"/>
      <c r="M1159" s="2"/>
    </row>
    <row r="1160" spans="2:13">
      <c r="B1160" s="2"/>
      <c r="C1160" s="1">
        <v>14.309371580000001</v>
      </c>
      <c r="D1160" s="1">
        <v>7.9149944E-2</v>
      </c>
      <c r="E1160" s="1"/>
      <c r="H1160" s="2">
        <v>8.5652063599999995</v>
      </c>
      <c r="I1160" s="2">
        <v>7.3069344699999998</v>
      </c>
      <c r="J1160" s="2">
        <v>2.4680872800000002</v>
      </c>
      <c r="L1160" s="2"/>
      <c r="M1160" s="2"/>
    </row>
    <row r="1161" spans="2:13">
      <c r="B1161" s="2"/>
      <c r="C1161" s="1">
        <v>10.34259642</v>
      </c>
      <c r="D1161" s="1">
        <v>141.07818</v>
      </c>
      <c r="E1161" s="1"/>
      <c r="H1161" s="2">
        <v>9.6239610300000002</v>
      </c>
      <c r="I1161" s="2">
        <v>1.83450695</v>
      </c>
      <c r="J1161" s="2">
        <v>10.324252400000001</v>
      </c>
      <c r="L1161" s="2"/>
      <c r="M1161" s="2"/>
    </row>
    <row r="1162" spans="2:13">
      <c r="B1162" s="2"/>
      <c r="C1162" s="1">
        <v>4.6369609179999998</v>
      </c>
      <c r="D1162" s="1">
        <v>0.21766234700000001</v>
      </c>
      <c r="E1162" s="1"/>
      <c r="H1162" s="2">
        <v>4.0268366000000002</v>
      </c>
      <c r="I1162" s="2">
        <v>14.0541888</v>
      </c>
      <c r="J1162" s="2">
        <v>3.8237972</v>
      </c>
      <c r="L1162" s="2"/>
      <c r="M1162" s="2"/>
    </row>
    <row r="1163" spans="2:13">
      <c r="B1163" s="2"/>
      <c r="C1163" s="1">
        <v>4.9388463949999997</v>
      </c>
      <c r="D1163" s="1">
        <v>234.6927767</v>
      </c>
      <c r="E1163" s="1"/>
      <c r="H1163" s="2">
        <v>13.6983821</v>
      </c>
      <c r="I1163" s="2">
        <v>6.9182677400000001</v>
      </c>
      <c r="J1163" s="2">
        <v>21.413264300000002</v>
      </c>
      <c r="L1163" s="2"/>
      <c r="M1163" s="2"/>
    </row>
    <row r="1164" spans="2:13">
      <c r="B1164" s="2"/>
      <c r="C1164" s="1">
        <v>5.3071466760000003</v>
      </c>
      <c r="D1164" s="1">
        <v>12.703566070000001</v>
      </c>
      <c r="E1164" s="1"/>
      <c r="H1164" s="2">
        <v>5.0974873900000004</v>
      </c>
      <c r="I1164" s="2">
        <v>36.736778999999999</v>
      </c>
      <c r="J1164" s="2">
        <v>53.150781100000003</v>
      </c>
      <c r="L1164" s="2"/>
      <c r="M1164" s="2"/>
    </row>
    <row r="1165" spans="2:13">
      <c r="B1165" s="2"/>
      <c r="C1165" s="1">
        <v>15.746346450000001</v>
      </c>
      <c r="D1165" s="1">
        <v>1.7149154609999999</v>
      </c>
      <c r="E1165" s="1"/>
      <c r="H1165" s="2">
        <v>40.066132000000003</v>
      </c>
      <c r="I1165" s="2">
        <v>63.166116500000001</v>
      </c>
      <c r="J1165" s="2">
        <v>31.841802099999999</v>
      </c>
      <c r="L1165" s="2"/>
      <c r="M1165" s="2"/>
    </row>
    <row r="1166" spans="2:13">
      <c r="B1166" s="2"/>
      <c r="C1166" s="1">
        <v>60.141624620000002</v>
      </c>
      <c r="D1166" s="1">
        <v>18.864070080000001</v>
      </c>
      <c r="E1166" s="1"/>
      <c r="H1166" s="2">
        <v>51.605368300000002</v>
      </c>
      <c r="I1166" s="2">
        <v>25.978484000000002</v>
      </c>
      <c r="J1166" s="2">
        <v>19.466603899999999</v>
      </c>
      <c r="L1166" s="2"/>
      <c r="M1166" s="2"/>
    </row>
    <row r="1167" spans="2:13">
      <c r="B1167" s="2"/>
      <c r="C1167" s="1">
        <v>44.503956940000002</v>
      </c>
      <c r="D1167" s="1">
        <v>0.42872886500000001</v>
      </c>
      <c r="E1167" s="1"/>
      <c r="H1167" s="2">
        <v>40.256469899999999</v>
      </c>
      <c r="I1167" s="2">
        <v>26.584804099999999</v>
      </c>
      <c r="J1167" s="2">
        <v>14.426144000000001</v>
      </c>
      <c r="L1167" s="2"/>
      <c r="M1167" s="2"/>
    </row>
    <row r="1168" spans="2:13">
      <c r="B1168" s="2"/>
      <c r="C1168" s="1">
        <v>39.450394060000001</v>
      </c>
      <c r="D1168" s="1">
        <v>9.4254392090000003</v>
      </c>
      <c r="E1168" s="1"/>
      <c r="H1168" s="2">
        <v>28.318713500000001</v>
      </c>
      <c r="I1168" s="2">
        <v>10.494001600000001</v>
      </c>
      <c r="J1168" s="2">
        <v>37.8208305</v>
      </c>
      <c r="L1168" s="2"/>
      <c r="M1168" s="2"/>
    </row>
    <row r="1169" spans="2:13">
      <c r="B1169" s="2"/>
      <c r="C1169" s="1">
        <v>7.3539302070000003</v>
      </c>
      <c r="D1169" s="1">
        <v>0.15170406</v>
      </c>
      <c r="E1169" s="1"/>
      <c r="H1169" s="2">
        <v>16.702152399999999</v>
      </c>
      <c r="I1169" s="2">
        <v>44.245820199999997</v>
      </c>
      <c r="J1169" s="2">
        <v>6.3961698599999997</v>
      </c>
      <c r="L1169" s="2"/>
      <c r="M1169" s="2"/>
    </row>
    <row r="1170" spans="2:13">
      <c r="B1170" s="2"/>
      <c r="C1170" s="1">
        <v>63.37179922</v>
      </c>
      <c r="D1170" s="1">
        <v>94.505033580000003</v>
      </c>
      <c r="E1170" s="1"/>
      <c r="H1170" s="2">
        <v>54.6269828</v>
      </c>
      <c r="I1170" s="2">
        <v>4.8039207499999996</v>
      </c>
      <c r="J1170" s="2">
        <v>49.187936700000002</v>
      </c>
      <c r="L1170" s="2"/>
      <c r="M1170" s="2"/>
    </row>
    <row r="1171" spans="2:13">
      <c r="B1171" s="2"/>
      <c r="C1171" s="1">
        <v>4.0875293509999997</v>
      </c>
      <c r="D1171" s="1">
        <v>0.25723731900000002</v>
      </c>
      <c r="E1171" s="1"/>
      <c r="H1171" s="2">
        <v>8.0358290199999995</v>
      </c>
      <c r="I1171" s="2">
        <v>71.530224399999994</v>
      </c>
      <c r="J1171" s="2">
        <v>10.1504435</v>
      </c>
      <c r="L1171" s="2"/>
      <c r="M1171" s="2"/>
    </row>
    <row r="1172" spans="2:13">
      <c r="B1172" s="2"/>
      <c r="C1172" s="1">
        <v>98.493155549999997</v>
      </c>
      <c r="D1172" s="1">
        <v>2.565777363</v>
      </c>
      <c r="E1172" s="1"/>
      <c r="H1172" s="2">
        <v>63.596657200000003</v>
      </c>
      <c r="I1172" s="2">
        <v>11.1936017</v>
      </c>
      <c r="J1172" s="2">
        <v>16.3728044</v>
      </c>
      <c r="L1172" s="2"/>
      <c r="M1172" s="2"/>
    </row>
    <row r="1173" spans="2:13">
      <c r="B1173" s="2"/>
      <c r="C1173" s="1">
        <v>9.2980726750000002</v>
      </c>
      <c r="D1173" s="1">
        <v>135.08257169999999</v>
      </c>
      <c r="E1173" s="1"/>
      <c r="H1173" s="2">
        <v>10.2901437</v>
      </c>
      <c r="I1173" s="2">
        <v>17.769842799999999</v>
      </c>
      <c r="J1173" s="2">
        <v>16.998516599999999</v>
      </c>
      <c r="L1173" s="2"/>
      <c r="M1173" s="2"/>
    </row>
    <row r="1174" spans="2:13">
      <c r="B1174" s="2"/>
      <c r="C1174" s="1">
        <v>60.226152550000002</v>
      </c>
      <c r="D1174" s="1">
        <v>10.065234589999999</v>
      </c>
      <c r="E1174" s="1"/>
      <c r="H1174" s="2">
        <v>35.045969300000003</v>
      </c>
      <c r="I1174" s="2">
        <v>16.8836826</v>
      </c>
      <c r="J1174" s="2">
        <v>99.175394699999998</v>
      </c>
      <c r="L1174" s="2"/>
      <c r="M1174" s="2"/>
    </row>
    <row r="1175" spans="2:13">
      <c r="B1175" s="2"/>
      <c r="C1175" s="1">
        <v>28.661007139999999</v>
      </c>
      <c r="D1175" s="1">
        <v>1.0421409340000001</v>
      </c>
      <c r="E1175" s="1"/>
      <c r="H1175" s="2">
        <v>22.0078219</v>
      </c>
      <c r="I1175" s="2">
        <v>82.3817995</v>
      </c>
      <c r="J1175" s="2">
        <v>13.5570992</v>
      </c>
      <c r="L1175" s="2"/>
      <c r="M1175" s="2"/>
    </row>
    <row r="1176" spans="2:13">
      <c r="B1176" s="2"/>
      <c r="C1176" s="1">
        <v>209.0073908</v>
      </c>
      <c r="D1176" s="1">
        <v>64.876571069999997</v>
      </c>
      <c r="E1176" s="1"/>
      <c r="H1176" s="2">
        <v>123.410348</v>
      </c>
      <c r="I1176" s="2">
        <v>14.5205889</v>
      </c>
      <c r="J1176" s="2">
        <v>104.91109</v>
      </c>
      <c r="L1176" s="2"/>
      <c r="M1176" s="2"/>
    </row>
    <row r="1177" spans="2:13">
      <c r="B1177" s="2"/>
      <c r="C1177" s="1">
        <v>11.61051542</v>
      </c>
      <c r="D1177" s="1">
        <v>1.4840614569999999</v>
      </c>
      <c r="E1177" s="1"/>
      <c r="H1177" s="2">
        <v>19.842728099999999</v>
      </c>
      <c r="I1177" s="2">
        <v>158.17181099999999</v>
      </c>
      <c r="J1177" s="2">
        <v>34.379413</v>
      </c>
      <c r="L1177" s="2"/>
      <c r="M1177" s="2"/>
    </row>
    <row r="1178" spans="2:13">
      <c r="B1178" s="2"/>
      <c r="C1178" s="1">
        <v>117.4576012</v>
      </c>
      <c r="D1178" s="1">
        <v>0.93001184599999998</v>
      </c>
      <c r="E1178" s="1"/>
      <c r="H1178" s="2">
        <v>136.8946</v>
      </c>
      <c r="I1178" s="2">
        <v>25.247790599999998</v>
      </c>
      <c r="J1178" s="2">
        <v>18.0761322</v>
      </c>
      <c r="L1178" s="2"/>
      <c r="M1178" s="2"/>
    </row>
    <row r="1179" spans="2:13">
      <c r="B1179" s="2"/>
      <c r="C1179" s="1">
        <v>21.11990793</v>
      </c>
      <c r="D1179" s="1">
        <v>3.7728140149999998</v>
      </c>
      <c r="E1179" s="1"/>
      <c r="H1179" s="2">
        <v>42.802239499999999</v>
      </c>
      <c r="I1179" s="2">
        <v>18.609362900000001</v>
      </c>
      <c r="J1179" s="2">
        <v>97.263496099999998</v>
      </c>
      <c r="L1179" s="2"/>
      <c r="M1179" s="2"/>
    </row>
    <row r="1180" spans="2:13">
      <c r="B1180" s="2"/>
      <c r="C1180" s="1">
        <v>24.603666329999999</v>
      </c>
      <c r="D1180" s="1">
        <v>5.1579380419999996</v>
      </c>
      <c r="E1180" s="1"/>
      <c r="H1180" s="2">
        <v>21.775847599999999</v>
      </c>
      <c r="I1180" s="2">
        <v>121.59049899999999</v>
      </c>
      <c r="J1180" s="2">
        <v>6.6047406200000003</v>
      </c>
      <c r="L1180" s="2"/>
      <c r="M1180" s="2"/>
    </row>
    <row r="1181" spans="2:13">
      <c r="B1181" s="2"/>
      <c r="C1181" s="1">
        <v>105.48482319999999</v>
      </c>
      <c r="D1181" s="1">
        <v>2.4338607890000001</v>
      </c>
      <c r="E1181" s="1"/>
      <c r="H1181" s="2">
        <v>76.230336600000001</v>
      </c>
      <c r="I1181" s="2">
        <v>13.354588700000001</v>
      </c>
      <c r="J1181" s="2">
        <v>54.089349499999997</v>
      </c>
      <c r="L1181" s="2"/>
      <c r="M1181" s="2"/>
    </row>
    <row r="1182" spans="2:13">
      <c r="B1182" s="2"/>
      <c r="C1182" s="1">
        <v>8.7063771410000008</v>
      </c>
      <c r="D1182" s="1">
        <v>54.237499380000003</v>
      </c>
      <c r="E1182" s="1"/>
      <c r="H1182" s="2">
        <v>7.7860104999999997</v>
      </c>
      <c r="I1182" s="2">
        <v>41.385233100000001</v>
      </c>
      <c r="J1182" s="2">
        <v>9.3856840399999992</v>
      </c>
      <c r="L1182" s="2"/>
      <c r="M1182" s="2"/>
    </row>
    <row r="1183" spans="2:13">
      <c r="B1183" s="2"/>
      <c r="C1183" s="1">
        <v>48.651863390000003</v>
      </c>
      <c r="D1183" s="1">
        <v>0.230854004</v>
      </c>
      <c r="E1183" s="1"/>
      <c r="H1183" s="2">
        <v>45.2409441</v>
      </c>
      <c r="I1183" s="2">
        <v>11.9087485</v>
      </c>
      <c r="J1183" s="2">
        <v>7.2652146799999997</v>
      </c>
      <c r="L1183" s="2"/>
      <c r="M1183" s="2"/>
    </row>
    <row r="1184" spans="2:13">
      <c r="B1184" s="2"/>
      <c r="C1184" s="1">
        <v>7.9033617740000004</v>
      </c>
      <c r="D1184" s="1">
        <v>0.29021646299999998</v>
      </c>
      <c r="E1184" s="1"/>
      <c r="H1184" s="2">
        <v>13.09168</v>
      </c>
      <c r="I1184" s="2">
        <v>13.028108700000001</v>
      </c>
      <c r="J1184" s="2">
        <v>4.7276038099999997</v>
      </c>
      <c r="L1184" s="2"/>
      <c r="M1184" s="2"/>
    </row>
    <row r="1185" spans="2:13">
      <c r="B1185" s="2"/>
      <c r="C1185" s="1">
        <v>7.1124218250000002</v>
      </c>
      <c r="D1185" s="1">
        <v>1.741298776</v>
      </c>
      <c r="E1185" s="1"/>
      <c r="H1185" s="2">
        <v>10.6767676</v>
      </c>
      <c r="I1185" s="2">
        <v>8.7216813500000008</v>
      </c>
      <c r="J1185" s="2">
        <v>36.917023899999997</v>
      </c>
      <c r="L1185" s="2"/>
      <c r="M1185" s="2"/>
    </row>
    <row r="1186" spans="2:13">
      <c r="B1186" s="2"/>
      <c r="C1186" s="1">
        <v>12.0391928</v>
      </c>
      <c r="D1186" s="1">
        <v>0.52766629600000003</v>
      </c>
      <c r="E1186" s="1"/>
      <c r="H1186" s="2">
        <v>6.5012295499999997</v>
      </c>
      <c r="I1186" s="2">
        <v>30.689124799999998</v>
      </c>
      <c r="J1186" s="2">
        <v>2.8504670000000001</v>
      </c>
      <c r="L1186" s="2"/>
      <c r="M1186" s="2"/>
    </row>
    <row r="1187" spans="2:13">
      <c r="B1187" s="2"/>
      <c r="C1187" s="1">
        <v>63.764250339999997</v>
      </c>
      <c r="D1187" s="1">
        <v>0.56064543899999997</v>
      </c>
      <c r="E1187" s="1"/>
      <c r="H1187" s="2">
        <v>46.049880299999998</v>
      </c>
      <c r="I1187" s="2">
        <v>2.2698136899999999</v>
      </c>
      <c r="J1187" s="2">
        <v>5.66617221</v>
      </c>
      <c r="L1187" s="2"/>
      <c r="M1187" s="2"/>
    </row>
    <row r="1188" spans="2:13">
      <c r="B1188" s="2"/>
      <c r="C1188" s="1">
        <v>6.9373282490000001</v>
      </c>
      <c r="D1188" s="1">
        <v>0.19787486100000001</v>
      </c>
      <c r="E1188" s="1"/>
      <c r="H1188" s="2">
        <v>4.7703441</v>
      </c>
      <c r="I1188" s="2">
        <v>8.7372280199999999</v>
      </c>
      <c r="J1188" s="2">
        <v>2.8504670000000001</v>
      </c>
      <c r="L1188" s="2"/>
      <c r="M1188" s="2"/>
    </row>
    <row r="1189" spans="2:13">
      <c r="B1189" s="2"/>
      <c r="C1189" s="1">
        <v>7.4746843969999999</v>
      </c>
      <c r="D1189" s="1">
        <v>5.052404782</v>
      </c>
      <c r="E1189" s="1"/>
      <c r="H1189" s="2">
        <v>11.6879378</v>
      </c>
      <c r="I1189" s="2">
        <v>3.56018722</v>
      </c>
      <c r="J1189" s="2">
        <v>44.217000400000003</v>
      </c>
      <c r="L1189" s="2"/>
      <c r="M1189" s="2"/>
    </row>
    <row r="1190" spans="2:13">
      <c r="B1190" s="2"/>
      <c r="C1190" s="1">
        <v>5.427900867</v>
      </c>
      <c r="D1190" s="1">
        <v>0.83107441599999998</v>
      </c>
      <c r="E1190" s="1"/>
      <c r="H1190" s="2">
        <v>5.0082664899999996</v>
      </c>
      <c r="I1190" s="2">
        <v>57.569315600000003</v>
      </c>
      <c r="J1190" s="2">
        <v>10.7761557</v>
      </c>
      <c r="L1190" s="2"/>
      <c r="M1190" s="2"/>
    </row>
    <row r="1191" spans="2:13">
      <c r="B1191" s="2"/>
      <c r="C1191" s="1">
        <v>77.186078620000004</v>
      </c>
      <c r="D1191" s="1">
        <v>1.437890656</v>
      </c>
      <c r="E1191" s="1"/>
      <c r="H1191" s="2">
        <v>46.4246081</v>
      </c>
      <c r="I1191" s="2">
        <v>11.5511751</v>
      </c>
      <c r="J1191" s="2">
        <v>23.638019100000001</v>
      </c>
      <c r="L1191" s="2"/>
      <c r="M1191" s="2"/>
    </row>
    <row r="1192" spans="2:13">
      <c r="B1192" s="2"/>
      <c r="C1192" s="1">
        <v>12.93277381</v>
      </c>
      <c r="D1192" s="1">
        <v>2.7240772519999998</v>
      </c>
      <c r="E1192" s="1"/>
      <c r="H1192" s="2">
        <v>15.607709399999999</v>
      </c>
      <c r="I1192" s="2">
        <v>23.335550300000001</v>
      </c>
      <c r="J1192" s="2">
        <v>52.907448500000001</v>
      </c>
      <c r="L1192" s="2"/>
      <c r="M1192" s="2"/>
    </row>
    <row r="1193" spans="2:13">
      <c r="B1193" s="2"/>
      <c r="C1193" s="1">
        <v>20.250477759999999</v>
      </c>
      <c r="D1193" s="1">
        <v>1.437890656</v>
      </c>
      <c r="E1193" s="1"/>
      <c r="H1193" s="2">
        <v>31.798328600000001</v>
      </c>
      <c r="I1193" s="2">
        <v>44.758860300000002</v>
      </c>
      <c r="J1193" s="2">
        <v>12.131865700000001</v>
      </c>
      <c r="L1193" s="2"/>
      <c r="M1193" s="2"/>
    </row>
    <row r="1194" spans="2:13">
      <c r="B1194" s="2"/>
      <c r="C1194" s="1">
        <v>61.451807590000001</v>
      </c>
      <c r="D1194" s="1">
        <v>1.2532074529999999</v>
      </c>
      <c r="E1194" s="1"/>
      <c r="H1194" s="2">
        <v>53.859682999999997</v>
      </c>
      <c r="I1194" s="2">
        <v>24.8591239</v>
      </c>
      <c r="J1194" s="2">
        <v>9.7680637600000004</v>
      </c>
      <c r="L1194" s="2"/>
      <c r="M1194" s="2"/>
    </row>
    <row r="1195" spans="2:13">
      <c r="B1195" s="2"/>
      <c r="C1195" s="1">
        <v>40.95982145</v>
      </c>
      <c r="D1195" s="1">
        <v>1.536828087</v>
      </c>
      <c r="E1195" s="1"/>
      <c r="H1195" s="2">
        <v>16.612931499999998</v>
      </c>
      <c r="I1195" s="2">
        <v>18.671549599999999</v>
      </c>
      <c r="J1195" s="2">
        <v>31.841802099999999</v>
      </c>
      <c r="L1195" s="2"/>
      <c r="M1195" s="2"/>
    </row>
    <row r="1196" spans="2:13">
      <c r="B1196" s="2"/>
      <c r="C1196" s="1">
        <v>22.786315760000001</v>
      </c>
      <c r="D1196" s="1">
        <v>0.33638726400000002</v>
      </c>
      <c r="E1196" s="1"/>
      <c r="H1196" s="2">
        <v>17.4218677</v>
      </c>
      <c r="I1196" s="2">
        <v>30.222724700000001</v>
      </c>
      <c r="J1196" s="2">
        <v>6.9175967500000004</v>
      </c>
      <c r="L1196" s="2"/>
      <c r="M1196" s="2"/>
    </row>
    <row r="1197" spans="2:13">
      <c r="B1197" s="2"/>
      <c r="C1197" s="1">
        <v>49.636010040000002</v>
      </c>
      <c r="D1197" s="1">
        <v>60.681624020000001</v>
      </c>
      <c r="E1197" s="1"/>
      <c r="H1197" s="2">
        <v>47.162167500000002</v>
      </c>
      <c r="I1197" s="2">
        <v>7.7111478599999996</v>
      </c>
      <c r="J1197" s="2">
        <v>48.701271599999998</v>
      </c>
      <c r="L1197" s="2"/>
      <c r="M1197" s="2"/>
    </row>
    <row r="1198" spans="2:13">
      <c r="B1198" s="2"/>
      <c r="C1198" s="1">
        <v>12.165984699999999</v>
      </c>
      <c r="D1198" s="1">
        <v>0.59362458299999998</v>
      </c>
      <c r="E1198" s="1"/>
      <c r="H1198" s="2">
        <v>7.6789454199999998</v>
      </c>
      <c r="I1198" s="2">
        <v>37.001072399999998</v>
      </c>
      <c r="J1198" s="2">
        <v>13.313766599999999</v>
      </c>
      <c r="L1198" s="2"/>
      <c r="M1198" s="2"/>
    </row>
    <row r="1199" spans="2:13">
      <c r="B1199" s="2"/>
      <c r="C1199" s="1">
        <v>33.684381459999997</v>
      </c>
      <c r="D1199" s="1">
        <v>0.158299889</v>
      </c>
      <c r="E1199" s="1"/>
      <c r="H1199" s="2">
        <v>48.387467899999997</v>
      </c>
      <c r="I1199" s="2">
        <v>7.9288012300000004</v>
      </c>
      <c r="J1199" s="2">
        <v>4.8318891900000001</v>
      </c>
      <c r="L1199" s="2"/>
      <c r="M1199" s="2"/>
    </row>
    <row r="1200" spans="2:13">
      <c r="B1200" s="2"/>
      <c r="C1200" s="1">
        <v>6.3758212629999997</v>
      </c>
      <c r="D1200" s="1">
        <v>2.4470524469999999</v>
      </c>
      <c r="E1200" s="1"/>
      <c r="H1200" s="2">
        <v>13.496148099999999</v>
      </c>
      <c r="I1200" s="2">
        <v>5.4724275200000001</v>
      </c>
      <c r="J1200" s="2">
        <v>51.864594799999999</v>
      </c>
      <c r="L1200" s="2"/>
      <c r="M1200" s="2"/>
    </row>
    <row r="1201" spans="2:13">
      <c r="B1201" s="2"/>
      <c r="C1201" s="1">
        <v>1.255843582</v>
      </c>
      <c r="D1201" s="1">
        <v>1.108099221</v>
      </c>
      <c r="E1201" s="1"/>
      <c r="H1201" s="2">
        <v>5.9183196699999998</v>
      </c>
      <c r="I1201" s="2">
        <v>42.613419899999997</v>
      </c>
      <c r="J1201" s="2">
        <v>23.985637000000001</v>
      </c>
      <c r="L1201" s="2"/>
      <c r="M1201" s="2"/>
    </row>
    <row r="1202" spans="2:13">
      <c r="B1202" s="2"/>
      <c r="C1202" s="1">
        <v>62.26689837</v>
      </c>
      <c r="D1202" s="1">
        <v>0.32319560600000002</v>
      </c>
      <c r="E1202" s="1"/>
      <c r="H1202" s="2">
        <v>59.4330152</v>
      </c>
      <c r="I1202" s="2">
        <v>21.998536699999999</v>
      </c>
      <c r="J1202" s="2">
        <v>4.4842712599999999</v>
      </c>
      <c r="L1202" s="2"/>
      <c r="M1202" s="2"/>
    </row>
    <row r="1203" spans="2:13">
      <c r="B1203" s="2"/>
      <c r="C1203" s="1">
        <v>27.501766910000001</v>
      </c>
      <c r="D1203" s="1">
        <v>1.648957174</v>
      </c>
      <c r="E1203" s="1"/>
      <c r="H1203" s="2">
        <v>26.599724200000001</v>
      </c>
      <c r="I1203" s="2">
        <v>5.67453421</v>
      </c>
      <c r="J1203" s="2">
        <v>43.313193699999999</v>
      </c>
      <c r="L1203" s="2"/>
      <c r="M1203" s="2"/>
    </row>
    <row r="1204" spans="2:13">
      <c r="B1204" s="2"/>
      <c r="C1204" s="1">
        <v>4.818092204</v>
      </c>
      <c r="D1204" s="1">
        <v>2.4272649610000001</v>
      </c>
      <c r="E1204" s="1"/>
      <c r="H1204" s="2">
        <v>5.1093835099999998</v>
      </c>
      <c r="I1204" s="2">
        <v>45.131980300000002</v>
      </c>
      <c r="J1204" s="2">
        <v>23.881351599999999</v>
      </c>
      <c r="L1204" s="2"/>
      <c r="M1204" s="2"/>
    </row>
    <row r="1205" spans="2:13">
      <c r="B1205" s="2"/>
      <c r="C1205" s="1">
        <v>57.152958400000003</v>
      </c>
      <c r="D1205" s="1">
        <v>3.1066353169999998</v>
      </c>
      <c r="E1205" s="1"/>
      <c r="H1205" s="2">
        <v>45.645412200000003</v>
      </c>
      <c r="I1205" s="2">
        <v>20.2728565</v>
      </c>
      <c r="J1205" s="2">
        <v>36.256549800000002</v>
      </c>
      <c r="L1205" s="2"/>
      <c r="M1205" s="2"/>
    </row>
    <row r="1206" spans="2:13">
      <c r="B1206" s="2"/>
      <c r="C1206" s="1">
        <v>43.399056100000003</v>
      </c>
      <c r="D1206" s="1">
        <v>0.81788275899999996</v>
      </c>
      <c r="E1206" s="1"/>
      <c r="H1206" s="2">
        <v>34.254877399999998</v>
      </c>
      <c r="I1206" s="2">
        <v>39.488539500000002</v>
      </c>
      <c r="J1206" s="2">
        <v>12.792339699999999</v>
      </c>
      <c r="L1206" s="2"/>
      <c r="M1206" s="2"/>
    </row>
    <row r="1207" spans="2:13">
      <c r="B1207" s="2"/>
      <c r="C1207" s="1">
        <v>58.318236339999999</v>
      </c>
      <c r="D1207" s="1">
        <v>1.068524249</v>
      </c>
      <c r="E1207" s="1"/>
      <c r="H1207" s="2">
        <v>52.449992799999997</v>
      </c>
      <c r="I1207" s="2">
        <v>10.494001600000001</v>
      </c>
      <c r="J1207" s="2">
        <v>23.7770662</v>
      </c>
      <c r="L1207" s="2"/>
      <c r="M1207" s="2"/>
    </row>
    <row r="1208" spans="2:13">
      <c r="B1208" s="2"/>
      <c r="C1208" s="1">
        <v>24.814986170000001</v>
      </c>
      <c r="D1208" s="1">
        <v>122.1481517</v>
      </c>
      <c r="E1208" s="1"/>
      <c r="H1208" s="2">
        <v>17.2910103</v>
      </c>
      <c r="I1208" s="2">
        <v>27.2222176</v>
      </c>
      <c r="J1208" s="2">
        <v>11.8885331</v>
      </c>
      <c r="L1208" s="2"/>
      <c r="M1208" s="2"/>
    </row>
    <row r="1209" spans="2:13">
      <c r="B1209" s="2"/>
      <c r="C1209" s="1">
        <v>29.802134240000001</v>
      </c>
      <c r="D1209" s="1">
        <v>1.92598198</v>
      </c>
      <c r="E1209" s="1"/>
      <c r="H1209" s="2">
        <v>23.3401873</v>
      </c>
      <c r="I1209" s="2">
        <v>14.5827756</v>
      </c>
      <c r="J1209" s="2">
        <v>24.3332549</v>
      </c>
      <c r="L1209" s="2"/>
      <c r="M1209" s="2"/>
    </row>
    <row r="1210" spans="2:13">
      <c r="B1210" s="2"/>
      <c r="C1210" s="1">
        <v>16.700304559999999</v>
      </c>
      <c r="D1210" s="1">
        <v>35.558112510000001</v>
      </c>
      <c r="E1210" s="1"/>
      <c r="H1210" s="2">
        <v>17.7311668</v>
      </c>
      <c r="I1210" s="2">
        <v>22.527123499999998</v>
      </c>
      <c r="J1210" s="2">
        <v>16.3032808</v>
      </c>
      <c r="L1210" s="2"/>
      <c r="M1210" s="2"/>
    </row>
    <row r="1211" spans="2:13">
      <c r="B1211" s="2"/>
      <c r="C1211" s="1">
        <v>20.002931669999999</v>
      </c>
      <c r="D1211" s="1">
        <v>499.66700300000002</v>
      </c>
      <c r="E1211" s="1"/>
      <c r="H1211" s="2">
        <v>27.5335696</v>
      </c>
      <c r="I1211" s="2">
        <v>12.3440552</v>
      </c>
      <c r="J1211" s="2">
        <v>92.362083299999995</v>
      </c>
      <c r="L1211" s="2"/>
      <c r="M1211" s="2"/>
    </row>
    <row r="1212" spans="2:13">
      <c r="B1212" s="2"/>
      <c r="C1212" s="1">
        <v>8.5131704359999993</v>
      </c>
      <c r="D1212" s="1">
        <v>198.5740188</v>
      </c>
      <c r="E1212" s="1"/>
      <c r="H1212" s="2">
        <v>13.5318364</v>
      </c>
      <c r="I1212" s="2">
        <v>69.182677400000003</v>
      </c>
      <c r="J1212" s="2">
        <v>12.3056746</v>
      </c>
      <c r="L1212" s="2"/>
      <c r="M1212" s="2"/>
    </row>
    <row r="1213" spans="2:13">
      <c r="B1213" s="2"/>
      <c r="C1213" s="1">
        <v>96.977690460000005</v>
      </c>
      <c r="D1213" s="1">
        <v>2.7108855950000001</v>
      </c>
      <c r="E1213" s="1"/>
      <c r="H1213" s="2">
        <v>81.904785799999999</v>
      </c>
      <c r="I1213" s="2">
        <v>7.8666145500000004</v>
      </c>
      <c r="J1213" s="2">
        <v>49.813648999999998</v>
      </c>
      <c r="L1213" s="2"/>
      <c r="M1213" s="2"/>
    </row>
    <row r="1214" spans="2:13">
      <c r="B1214" s="2"/>
      <c r="C1214" s="1">
        <v>10.25203078</v>
      </c>
      <c r="D1214" s="1">
        <v>1.490657286</v>
      </c>
      <c r="E1214" s="1"/>
      <c r="H1214" s="2">
        <v>16.589139299999999</v>
      </c>
      <c r="I1214" s="2">
        <v>48.1791275</v>
      </c>
      <c r="J1214" s="2">
        <v>21.169931800000001</v>
      </c>
      <c r="L1214" s="2"/>
      <c r="M1214" s="2"/>
    </row>
    <row r="1215" spans="2:13">
      <c r="B1215" s="2"/>
      <c r="C1215" s="1">
        <v>65.044244759999998</v>
      </c>
      <c r="D1215" s="1">
        <v>0.18468320399999999</v>
      </c>
      <c r="E1215" s="1"/>
      <c r="H1215" s="2">
        <v>50.766691799999997</v>
      </c>
      <c r="I1215" s="2">
        <v>26.771364200000001</v>
      </c>
      <c r="J1215" s="2">
        <v>8.4818774300000008</v>
      </c>
      <c r="L1215" s="2"/>
      <c r="M1215" s="2"/>
    </row>
    <row r="1216" spans="2:13">
      <c r="B1216" s="2"/>
      <c r="C1216" s="1">
        <v>34.028530910000001</v>
      </c>
      <c r="D1216" s="1">
        <v>0.76511612900000003</v>
      </c>
      <c r="E1216" s="1"/>
      <c r="H1216" s="2">
        <v>24.232396300000001</v>
      </c>
      <c r="I1216" s="2">
        <v>9.4368281300000003</v>
      </c>
      <c r="J1216" s="2">
        <v>11.2628208</v>
      </c>
      <c r="L1216" s="2"/>
      <c r="M1216" s="2"/>
    </row>
    <row r="1217" spans="2:13">
      <c r="B1217" s="2"/>
      <c r="C1217" s="1">
        <v>3.9365866129999998</v>
      </c>
      <c r="D1217" s="1">
        <v>0.83107441599999998</v>
      </c>
      <c r="E1217" s="1"/>
      <c r="H1217" s="2">
        <v>10.307987900000001</v>
      </c>
      <c r="I1217" s="2">
        <v>32.865658400000001</v>
      </c>
      <c r="J1217" s="2">
        <v>15.7818539</v>
      </c>
      <c r="L1217" s="2"/>
      <c r="M1217" s="2"/>
    </row>
    <row r="1218" spans="2:13">
      <c r="B1218" s="2"/>
      <c r="C1218" s="1">
        <v>30.562885640000001</v>
      </c>
      <c r="D1218" s="1">
        <v>0.21766234700000001</v>
      </c>
      <c r="E1218" s="1"/>
      <c r="H1218" s="2">
        <v>13.180900899999999</v>
      </c>
      <c r="I1218" s="2">
        <v>15.468935699999999</v>
      </c>
      <c r="J1218" s="2">
        <v>3.26760852</v>
      </c>
      <c r="L1218" s="2"/>
      <c r="M1218" s="2"/>
    </row>
    <row r="1219" spans="2:13">
      <c r="B1219" s="2"/>
      <c r="C1219" s="1">
        <v>7.5531746210000001</v>
      </c>
      <c r="D1219" s="1">
        <v>3.7266432140000001</v>
      </c>
      <c r="E1219" s="1"/>
      <c r="H1219" s="2">
        <v>18.902934599999998</v>
      </c>
      <c r="I1219" s="2">
        <v>3.0937871499999998</v>
      </c>
      <c r="J1219" s="2">
        <v>30.068950699999998</v>
      </c>
      <c r="L1219" s="2"/>
      <c r="M1219" s="2"/>
    </row>
    <row r="1220" spans="2:13">
      <c r="B1220" s="2"/>
      <c r="C1220" s="1">
        <v>9.9863715610000003</v>
      </c>
      <c r="D1220" s="1">
        <v>13.21804071</v>
      </c>
      <c r="E1220" s="1"/>
      <c r="H1220" s="2">
        <v>6.4179567100000003</v>
      </c>
      <c r="I1220" s="2">
        <v>36.5657657</v>
      </c>
      <c r="J1220" s="2">
        <v>45.607472100000003</v>
      </c>
      <c r="L1220" s="2"/>
      <c r="M1220" s="2"/>
    </row>
    <row r="1221" spans="2:13">
      <c r="B1221" s="2"/>
      <c r="C1221" s="1">
        <v>24.21725292</v>
      </c>
      <c r="D1221" s="1">
        <v>2.0513027250000002</v>
      </c>
      <c r="E1221" s="1"/>
      <c r="H1221" s="2">
        <v>41.1189386</v>
      </c>
      <c r="I1221" s="2">
        <v>48.692167599999998</v>
      </c>
      <c r="J1221" s="2">
        <v>66.464547699999997</v>
      </c>
      <c r="L1221" s="2"/>
      <c r="M1221" s="2"/>
    </row>
    <row r="1222" spans="2:13">
      <c r="B1222" s="2"/>
      <c r="C1222" s="1">
        <v>58.77710227</v>
      </c>
      <c r="D1222" s="1">
        <v>4.5181426580000004</v>
      </c>
      <c r="E1222" s="1"/>
      <c r="H1222" s="2">
        <v>57.327401999999999</v>
      </c>
      <c r="I1222" s="2">
        <v>74.795024900000001</v>
      </c>
      <c r="J1222" s="2">
        <v>53.706969800000003</v>
      </c>
      <c r="L1222" s="2"/>
      <c r="M1222" s="2"/>
    </row>
    <row r="1223" spans="2:13">
      <c r="B1223" s="2"/>
      <c r="C1223" s="1">
        <v>48.22922372</v>
      </c>
      <c r="D1223" s="1">
        <v>0.25723731900000002</v>
      </c>
      <c r="E1223" s="1"/>
      <c r="H1223" s="2">
        <v>78.811794599999999</v>
      </c>
      <c r="I1223" s="2">
        <v>41.074299699999997</v>
      </c>
      <c r="J1223" s="2">
        <v>10.602346799999999</v>
      </c>
      <c r="L1223" s="2"/>
      <c r="M1223" s="2"/>
    </row>
    <row r="1224" spans="2:13">
      <c r="B1224" s="2"/>
      <c r="C1224" s="1">
        <v>49.738651099999998</v>
      </c>
      <c r="D1224" s="1">
        <v>1.002565962</v>
      </c>
      <c r="E1224" s="1"/>
      <c r="H1224" s="2">
        <v>81.095849599999994</v>
      </c>
      <c r="I1224" s="2">
        <v>7.7422411999999996</v>
      </c>
      <c r="J1224" s="2">
        <v>47.241276300000003</v>
      </c>
      <c r="L1224" s="2"/>
      <c r="M1224" s="2"/>
    </row>
    <row r="1225" spans="2:13">
      <c r="B1225" s="2"/>
      <c r="C1225" s="1">
        <v>7.4384581399999998</v>
      </c>
      <c r="D1225" s="1">
        <v>0.18468320399999999</v>
      </c>
      <c r="E1225" s="1"/>
      <c r="H1225" s="2">
        <v>12.621783300000001</v>
      </c>
      <c r="I1225" s="2">
        <v>36.4880323</v>
      </c>
      <c r="J1225" s="2">
        <v>3.4414174800000001</v>
      </c>
      <c r="L1225" s="2"/>
      <c r="M1225" s="2"/>
    </row>
    <row r="1226" spans="2:13">
      <c r="B1226" s="2"/>
      <c r="C1226" s="1">
        <v>33.581740400000001</v>
      </c>
      <c r="D1226" s="1">
        <v>1.246611624</v>
      </c>
      <c r="E1226" s="1"/>
      <c r="H1226" s="2">
        <v>48.268506700000003</v>
      </c>
      <c r="I1226" s="2">
        <v>6.1875742899999997</v>
      </c>
      <c r="J1226" s="2">
        <v>19.049462399999999</v>
      </c>
      <c r="L1226" s="2"/>
      <c r="M1226" s="2"/>
    </row>
    <row r="1227" spans="2:13">
      <c r="B1227" s="2"/>
      <c r="C1227" s="1">
        <v>5.9894078530000003</v>
      </c>
      <c r="D1227" s="1">
        <v>0.51447463800000004</v>
      </c>
      <c r="E1227" s="1"/>
      <c r="H1227" s="2">
        <v>5.9183196699999998</v>
      </c>
      <c r="I1227" s="2">
        <v>18.811469599999999</v>
      </c>
      <c r="J1227" s="2">
        <v>8.3775920500000005</v>
      </c>
      <c r="L1227" s="2"/>
      <c r="M1227" s="2"/>
    </row>
    <row r="1228" spans="2:13">
      <c r="B1228" s="2"/>
      <c r="C1228" s="1">
        <v>15.233141140000001</v>
      </c>
      <c r="D1228" s="1">
        <v>1.3059740820000001</v>
      </c>
      <c r="E1228" s="1"/>
      <c r="H1228" s="2">
        <v>24.285928899999998</v>
      </c>
      <c r="I1228" s="2">
        <v>15.329015699999999</v>
      </c>
      <c r="J1228" s="2">
        <v>25.306585099999999</v>
      </c>
      <c r="L1228" s="2"/>
      <c r="M1228" s="2"/>
    </row>
    <row r="1229" spans="2:13">
      <c r="B1229" s="2"/>
      <c r="C1229" s="1">
        <v>6.5448771299999997</v>
      </c>
      <c r="D1229" s="1">
        <v>113.27016620000001</v>
      </c>
      <c r="E1229" s="1"/>
      <c r="H1229" s="2">
        <v>9.2789735499999999</v>
      </c>
      <c r="I1229" s="2">
        <v>47.526167399999999</v>
      </c>
      <c r="J1229" s="2">
        <v>12.0275803</v>
      </c>
      <c r="L1229" s="2"/>
      <c r="M1229" s="2"/>
    </row>
    <row r="1230" spans="2:13">
      <c r="B1230" s="2"/>
      <c r="C1230" s="1">
        <v>32.337972239999999</v>
      </c>
      <c r="D1230" s="1">
        <v>0.49468715200000002</v>
      </c>
      <c r="E1230" s="1"/>
      <c r="H1230" s="2">
        <v>43.646864100000002</v>
      </c>
      <c r="I1230" s="2">
        <v>16.184082499999999</v>
      </c>
      <c r="J1230" s="2">
        <v>17.276610999999999</v>
      </c>
      <c r="L1230" s="2"/>
      <c r="M1230" s="2"/>
    </row>
    <row r="1231" spans="2:13">
      <c r="B1231" s="2"/>
      <c r="C1231" s="1">
        <v>9.4731662510000003</v>
      </c>
      <c r="D1231" s="1">
        <v>0.36936640700000001</v>
      </c>
      <c r="E1231" s="1"/>
      <c r="H1231" s="2">
        <v>17.3445429</v>
      </c>
      <c r="I1231" s="2">
        <v>6.5140543400000004</v>
      </c>
      <c r="J1231" s="2">
        <v>4.1366533299999997</v>
      </c>
      <c r="L1231" s="2"/>
      <c r="M1231" s="2"/>
    </row>
    <row r="1232" spans="2:13">
      <c r="B1232" s="2"/>
      <c r="C1232" s="1">
        <v>7.9939274170000001</v>
      </c>
      <c r="D1232" s="1">
        <v>1.5038489429999999</v>
      </c>
      <c r="E1232" s="1"/>
      <c r="H1232" s="2">
        <v>15.5601249</v>
      </c>
      <c r="I1232" s="2">
        <v>8.0842679200000003</v>
      </c>
      <c r="J1232" s="2">
        <v>24.81992</v>
      </c>
      <c r="L1232" s="2"/>
      <c r="M1232" s="2"/>
    </row>
    <row r="1233" spans="2:13">
      <c r="B1233" s="2"/>
      <c r="C1233" s="1">
        <v>9.1471299370000008</v>
      </c>
      <c r="D1233" s="1">
        <v>0.60022041100000001</v>
      </c>
      <c r="E1233" s="1"/>
      <c r="H1233" s="2">
        <v>6.07296923</v>
      </c>
      <c r="I1233" s="2">
        <v>51.319554599999996</v>
      </c>
      <c r="J1233" s="2">
        <v>6.0137901400000002</v>
      </c>
      <c r="L1233" s="2"/>
      <c r="M1233" s="2"/>
    </row>
    <row r="1234" spans="2:13">
      <c r="B1234" s="2"/>
      <c r="C1234" s="1">
        <v>32.603631460000003</v>
      </c>
      <c r="D1234" s="1">
        <v>6.5826370399999998</v>
      </c>
      <c r="E1234" s="1"/>
      <c r="H1234" s="2">
        <v>32.345550099999997</v>
      </c>
      <c r="I1234" s="2">
        <v>6.1409342899999997</v>
      </c>
      <c r="J1234" s="2">
        <v>105.29347</v>
      </c>
      <c r="L1234" s="2"/>
      <c r="M1234" s="2"/>
    </row>
    <row r="1235" spans="2:13">
      <c r="B1235" s="2"/>
      <c r="C1235" s="1">
        <v>6.2369539439999997</v>
      </c>
      <c r="D1235" s="1">
        <v>0.13191657400000001</v>
      </c>
      <c r="E1235" s="1"/>
      <c r="H1235" s="2">
        <v>9.6358571499999996</v>
      </c>
      <c r="I1235" s="2">
        <v>59.870222599999998</v>
      </c>
      <c r="J1235" s="2">
        <v>4.1018915399999996</v>
      </c>
      <c r="L1235" s="2"/>
      <c r="M1235" s="2"/>
    </row>
    <row r="1236" spans="2:13">
      <c r="B1236" s="2"/>
      <c r="C1236" s="1">
        <v>88.265275610000003</v>
      </c>
      <c r="D1236" s="1">
        <v>4.2675011669999998</v>
      </c>
      <c r="E1236" s="1"/>
      <c r="H1236" s="2">
        <v>80.923355900000004</v>
      </c>
      <c r="I1236" s="2">
        <v>12.686082000000001</v>
      </c>
      <c r="J1236" s="2">
        <v>55.9664863</v>
      </c>
      <c r="L1236" s="2"/>
      <c r="M1236" s="2"/>
    </row>
    <row r="1237" spans="2:13">
      <c r="B1237" s="2"/>
      <c r="C1237" s="1">
        <v>6.5146885819999998</v>
      </c>
      <c r="D1237" s="1">
        <v>0.55404961100000005</v>
      </c>
      <c r="E1237" s="1"/>
      <c r="H1237" s="2">
        <v>8.0358290199999995</v>
      </c>
      <c r="I1237" s="2">
        <v>73.489104699999999</v>
      </c>
      <c r="J1237" s="2">
        <v>9.8723491400000007</v>
      </c>
      <c r="L1237" s="2"/>
      <c r="M1237" s="2"/>
    </row>
    <row r="1238" spans="2:13">
      <c r="B1238" s="2"/>
      <c r="C1238" s="1">
        <v>50.125064510000001</v>
      </c>
      <c r="D1238" s="1">
        <v>1.681936318</v>
      </c>
      <c r="E1238" s="1"/>
      <c r="H1238" s="2">
        <v>55.572724299999997</v>
      </c>
      <c r="I1238" s="2">
        <v>11.2713351</v>
      </c>
      <c r="J1238" s="2">
        <v>15.3994742</v>
      </c>
      <c r="L1238" s="2"/>
      <c r="M1238" s="2"/>
    </row>
    <row r="1239" spans="2:13">
      <c r="B1239" s="2"/>
      <c r="C1239" s="1">
        <v>18.312373000000001</v>
      </c>
      <c r="D1239" s="1">
        <v>0.91022435999999995</v>
      </c>
      <c r="E1239" s="1"/>
      <c r="H1239" s="2">
        <v>12.3184322</v>
      </c>
      <c r="I1239" s="2">
        <v>17.956402799999999</v>
      </c>
      <c r="J1239" s="2">
        <v>18.354226600000001</v>
      </c>
      <c r="L1239" s="2"/>
      <c r="M1239" s="2"/>
    </row>
    <row r="1240" spans="2:13">
      <c r="B1240" s="2"/>
      <c r="C1240" s="1">
        <v>28.582516909999999</v>
      </c>
      <c r="D1240" s="1">
        <v>0.52766629600000003</v>
      </c>
      <c r="E1240" s="1"/>
      <c r="H1240" s="2">
        <v>19.634546</v>
      </c>
      <c r="I1240" s="2">
        <v>24.4549105</v>
      </c>
      <c r="J1240" s="2">
        <v>8.1690212899999999</v>
      </c>
      <c r="L1240" s="2"/>
      <c r="M1240" s="2"/>
    </row>
    <row r="1241" spans="2:13">
      <c r="B1241" s="2"/>
      <c r="C1241" s="1">
        <v>35.236072810000003</v>
      </c>
      <c r="D1241" s="1">
        <v>0.77171195800000003</v>
      </c>
      <c r="E1241" s="1"/>
      <c r="H1241" s="2">
        <v>25.7075152</v>
      </c>
      <c r="I1241" s="2">
        <v>9.6233881599999993</v>
      </c>
      <c r="J1241" s="2">
        <v>12.3056746</v>
      </c>
      <c r="L1241" s="2"/>
      <c r="M1241" s="2"/>
    </row>
    <row r="1242" spans="2:13">
      <c r="B1242" s="2"/>
      <c r="C1242" s="1">
        <v>13.1139051</v>
      </c>
      <c r="D1242" s="1">
        <v>1.767682091</v>
      </c>
      <c r="E1242" s="1"/>
      <c r="H1242" s="2">
        <v>11.7533665</v>
      </c>
      <c r="I1242" s="2">
        <v>11.5511751</v>
      </c>
      <c r="J1242" s="2">
        <v>57.009340100000003</v>
      </c>
      <c r="L1242" s="2"/>
      <c r="M1242" s="2"/>
    </row>
    <row r="1243" spans="2:13">
      <c r="B1243" s="2"/>
      <c r="C1243" s="1">
        <v>34.330416380000003</v>
      </c>
      <c r="D1243" s="1">
        <v>2.0381110680000001</v>
      </c>
      <c r="E1243" s="1"/>
      <c r="H1243" s="2">
        <v>14.3705129</v>
      </c>
      <c r="I1243" s="2">
        <v>54.211235100000003</v>
      </c>
      <c r="J1243" s="2">
        <v>16.268519000000001</v>
      </c>
      <c r="L1243" s="2"/>
      <c r="M1243" s="2"/>
    </row>
    <row r="1244" spans="2:13">
      <c r="B1244" s="2"/>
      <c r="C1244" s="1">
        <v>20.642928879999999</v>
      </c>
      <c r="D1244" s="1">
        <v>0.51447463800000004</v>
      </c>
      <c r="E1244" s="1"/>
      <c r="H1244" s="2">
        <v>59.712573999999996</v>
      </c>
      <c r="I1244" s="2">
        <v>29.663044599999999</v>
      </c>
      <c r="J1244" s="2">
        <v>9.1075897000000001</v>
      </c>
      <c r="L1244" s="2"/>
      <c r="M1244" s="2"/>
    </row>
    <row r="1245" spans="2:13">
      <c r="B1245" s="2"/>
      <c r="C1245" s="1">
        <v>33.225515540000004</v>
      </c>
      <c r="D1245" s="1">
        <v>0.46830383799999997</v>
      </c>
      <c r="E1245" s="1"/>
      <c r="H1245" s="2">
        <v>23.239070300000002</v>
      </c>
      <c r="I1245" s="2">
        <v>11.0692284</v>
      </c>
      <c r="J1245" s="2">
        <v>14.2175732</v>
      </c>
      <c r="L1245" s="2"/>
      <c r="M1245" s="2"/>
    </row>
    <row r="1246" spans="2:13">
      <c r="B1246" s="2"/>
      <c r="C1246" s="1">
        <v>4.9690349429999996</v>
      </c>
      <c r="D1246" s="1">
        <v>0.65958287000000004</v>
      </c>
      <c r="E1246" s="1"/>
      <c r="H1246" s="2">
        <v>12.544458499999999</v>
      </c>
      <c r="I1246" s="2">
        <v>13.7432555</v>
      </c>
      <c r="J1246" s="2">
        <v>8.7947335599999992</v>
      </c>
      <c r="L1246" s="2"/>
      <c r="M1246" s="2"/>
    </row>
    <row r="1247" spans="2:13">
      <c r="B1247" s="2"/>
      <c r="C1247" s="1">
        <v>7.2271383059999996</v>
      </c>
      <c r="D1247" s="1">
        <v>0.74532864300000001</v>
      </c>
      <c r="E1247" s="1"/>
      <c r="H1247" s="2">
        <v>18.4746743</v>
      </c>
      <c r="I1247" s="2">
        <v>18.687096199999999</v>
      </c>
      <c r="J1247" s="2">
        <v>15.1561416</v>
      </c>
      <c r="L1247" s="2"/>
      <c r="M1247" s="2"/>
    </row>
    <row r="1248" spans="2:13">
      <c r="B1248" s="2"/>
      <c r="C1248" s="1">
        <v>12.461832469999999</v>
      </c>
      <c r="D1248" s="1">
        <v>1.101503393</v>
      </c>
      <c r="E1248" s="1"/>
      <c r="H1248" s="2">
        <v>14.287240000000001</v>
      </c>
      <c r="I1248" s="2">
        <v>16.0597092</v>
      </c>
      <c r="J1248" s="2">
        <v>16.3728044</v>
      </c>
      <c r="L1248" s="2"/>
      <c r="M1248" s="2"/>
    </row>
    <row r="1249" spans="2:13">
      <c r="B1249" s="2"/>
      <c r="C1249" s="1">
        <v>22.357638390000002</v>
      </c>
      <c r="D1249" s="1">
        <v>0.70575367099999997</v>
      </c>
      <c r="E1249" s="1"/>
      <c r="H1249" s="2">
        <v>19.105168599999999</v>
      </c>
      <c r="I1249" s="2">
        <v>25.4965373</v>
      </c>
      <c r="J1249" s="2">
        <v>12.792339699999999</v>
      </c>
      <c r="L1249" s="2"/>
      <c r="M1249" s="2"/>
    </row>
    <row r="1250" spans="2:13">
      <c r="B1250" s="2"/>
      <c r="C1250" s="1">
        <v>40.120579820000003</v>
      </c>
      <c r="D1250" s="1">
        <v>1.2004408230000001</v>
      </c>
      <c r="E1250" s="1"/>
      <c r="H1250" s="2">
        <v>30.061495099999998</v>
      </c>
      <c r="I1250" s="2">
        <v>20.443869800000002</v>
      </c>
      <c r="J1250" s="2">
        <v>22.734212400000001</v>
      </c>
      <c r="L1250" s="2"/>
      <c r="M1250" s="2"/>
    </row>
    <row r="1251" spans="2:13">
      <c r="B1251" s="2"/>
      <c r="C1251" s="1">
        <v>16.11464673</v>
      </c>
      <c r="D1251" s="1">
        <v>4.8281466069999999</v>
      </c>
      <c r="E1251" s="1"/>
      <c r="H1251" s="2">
        <v>18.010725600000001</v>
      </c>
      <c r="I1251" s="2">
        <v>41.556246399999999</v>
      </c>
      <c r="J1251" s="2">
        <v>40.045585199999998</v>
      </c>
      <c r="L1251" s="2"/>
      <c r="M1251" s="2"/>
    </row>
    <row r="1252" spans="2:13">
      <c r="B1252" s="2"/>
      <c r="C1252" s="1">
        <v>28.552328360000001</v>
      </c>
      <c r="D1252" s="1">
        <v>0.96299098999999999</v>
      </c>
      <c r="E1252" s="1"/>
      <c r="H1252" s="2">
        <v>30.0198587</v>
      </c>
      <c r="I1252" s="2">
        <v>55.579341999999997</v>
      </c>
      <c r="J1252" s="2">
        <v>13.452813799999999</v>
      </c>
      <c r="L1252" s="2"/>
      <c r="M1252" s="2"/>
    </row>
    <row r="1253" spans="2:13">
      <c r="B1253" s="2"/>
      <c r="C1253" s="1">
        <v>50.928079879999999</v>
      </c>
      <c r="D1253" s="1">
        <v>4.6104842599999998</v>
      </c>
      <c r="E1253" s="1"/>
      <c r="H1253" s="2">
        <v>64.155774800000003</v>
      </c>
      <c r="I1253" s="2">
        <v>17.396722700000002</v>
      </c>
      <c r="J1253" s="2">
        <v>45.016521599999997</v>
      </c>
      <c r="L1253" s="2"/>
      <c r="M1253" s="2"/>
    </row>
    <row r="1254" spans="2:13">
      <c r="B1254" s="2"/>
      <c r="C1254" s="1">
        <v>36.256445720000002</v>
      </c>
      <c r="D1254" s="1">
        <v>0.38255806399999998</v>
      </c>
      <c r="E1254" s="1"/>
      <c r="H1254" s="2">
        <v>18.789921400000001</v>
      </c>
      <c r="I1254" s="2">
        <v>71.297024399999998</v>
      </c>
      <c r="J1254" s="2">
        <v>7.4737854400000003</v>
      </c>
      <c r="L1254" s="2"/>
      <c r="M1254" s="2"/>
    </row>
    <row r="1255" spans="2:13">
      <c r="B1255" s="2"/>
      <c r="C1255" s="1">
        <v>42.034533740000001</v>
      </c>
      <c r="D1255" s="1">
        <v>0.63319955500000003</v>
      </c>
      <c r="E1255" s="1"/>
      <c r="H1255" s="2">
        <v>36.824439300000002</v>
      </c>
      <c r="I1255" s="2">
        <v>9.4368281300000003</v>
      </c>
      <c r="J1255" s="2">
        <v>11.8885331</v>
      </c>
      <c r="L1255" s="2"/>
      <c r="M1255" s="2"/>
    </row>
    <row r="1256" spans="2:13">
      <c r="B1256" s="2"/>
      <c r="C1256" s="1">
        <v>6.9373282490000001</v>
      </c>
      <c r="D1256" s="1">
        <v>3.9574972E-2</v>
      </c>
      <c r="E1256" s="1"/>
      <c r="H1256" s="2">
        <v>11.902068</v>
      </c>
      <c r="I1256" s="2">
        <v>17.287896</v>
      </c>
      <c r="J1256" s="2">
        <v>0.72999765000000005</v>
      </c>
      <c r="L1256" s="2"/>
      <c r="M1256" s="2"/>
    </row>
    <row r="1257" spans="2:13">
      <c r="B1257" s="2"/>
      <c r="C1257" s="1">
        <v>11.44145956</v>
      </c>
      <c r="D1257" s="1">
        <v>0.40894137899999999</v>
      </c>
      <c r="E1257" s="1"/>
      <c r="H1257" s="2">
        <v>14.3348245</v>
      </c>
      <c r="I1257" s="2">
        <v>1.2748268599999999</v>
      </c>
      <c r="J1257" s="2">
        <v>5.8399811799999997</v>
      </c>
      <c r="L1257" s="2"/>
      <c r="M1257" s="2"/>
    </row>
    <row r="1258" spans="2:13">
      <c r="B1258" s="2"/>
      <c r="C1258" s="1">
        <v>1.6603701209999999</v>
      </c>
      <c r="D1258" s="1">
        <v>0.65298704100000005</v>
      </c>
      <c r="E1258" s="1"/>
      <c r="H1258" s="2">
        <v>1.2253003499999999</v>
      </c>
      <c r="I1258" s="2">
        <v>17.940856100000001</v>
      </c>
      <c r="J1258" s="2">
        <v>19.779460100000001</v>
      </c>
      <c r="L1258" s="2"/>
      <c r="M1258" s="2"/>
    </row>
    <row r="1259" spans="2:13">
      <c r="B1259" s="2"/>
      <c r="C1259" s="1">
        <v>4.3230000229999996</v>
      </c>
      <c r="D1259" s="1">
        <v>0.55404961100000005</v>
      </c>
      <c r="E1259" s="1"/>
      <c r="H1259" s="2">
        <v>6.9532821</v>
      </c>
      <c r="I1259" s="2">
        <v>13.7121621</v>
      </c>
      <c r="J1259" s="2">
        <v>11.089011899999999</v>
      </c>
      <c r="L1259" s="2"/>
      <c r="M1259" s="2"/>
    </row>
    <row r="1260" spans="2:13">
      <c r="B1260" s="2"/>
      <c r="C1260" s="1">
        <v>11.085234700000001</v>
      </c>
      <c r="D1260" s="1">
        <v>4.2675011669999998</v>
      </c>
      <c r="E1260" s="1"/>
      <c r="H1260" s="2">
        <v>22.382549699999998</v>
      </c>
      <c r="I1260" s="2">
        <v>12.732722000000001</v>
      </c>
      <c r="J1260" s="2">
        <v>55.584106599999998</v>
      </c>
      <c r="L1260" s="2"/>
      <c r="M1260" s="2"/>
    </row>
    <row r="1261" spans="2:13">
      <c r="B1261" s="2"/>
      <c r="C1261" s="1">
        <v>18.80142747</v>
      </c>
      <c r="D1261" s="1">
        <v>7.7369070620000002</v>
      </c>
      <c r="E1261" s="1"/>
      <c r="H1261" s="2">
        <v>15.470904000000001</v>
      </c>
      <c r="I1261" s="2">
        <v>46.966487299999997</v>
      </c>
      <c r="J1261" s="2">
        <v>136.89194000000001</v>
      </c>
      <c r="L1261" s="2"/>
      <c r="M1261" s="2"/>
    </row>
    <row r="1262" spans="2:13">
      <c r="B1262" s="2"/>
      <c r="C1262" s="1">
        <v>86.079624760000002</v>
      </c>
      <c r="D1262" s="1">
        <v>0.81128692999999996</v>
      </c>
      <c r="E1262" s="1"/>
      <c r="H1262" s="2">
        <v>68.2718323</v>
      </c>
      <c r="I1262" s="2">
        <v>113.537324</v>
      </c>
      <c r="J1262" s="2">
        <v>19.640412900000001</v>
      </c>
      <c r="L1262" s="2"/>
      <c r="M1262" s="2"/>
    </row>
    <row r="1263" spans="2:13">
      <c r="B1263" s="2"/>
      <c r="C1263" s="1">
        <v>50.765061719999999</v>
      </c>
      <c r="D1263" s="1">
        <v>0.19127903199999999</v>
      </c>
      <c r="E1263" s="1"/>
      <c r="H1263" s="2">
        <v>148.469525</v>
      </c>
      <c r="I1263" s="2">
        <v>26.304964099999999</v>
      </c>
      <c r="J1263" s="2">
        <v>4.3104623000000002</v>
      </c>
      <c r="L1263" s="2"/>
      <c r="M1263" s="2"/>
    </row>
    <row r="1264" spans="2:13">
      <c r="B1264" s="2"/>
      <c r="C1264" s="1">
        <v>24.519138399999999</v>
      </c>
      <c r="D1264" s="1">
        <v>0.17808737499999999</v>
      </c>
      <c r="E1264" s="1"/>
      <c r="H1264" s="2">
        <v>34.8556314</v>
      </c>
      <c r="I1264" s="2">
        <v>4.0887739700000001</v>
      </c>
      <c r="J1264" s="2">
        <v>3.5109410699999999</v>
      </c>
      <c r="L1264" s="2"/>
      <c r="M1264" s="2"/>
    </row>
    <row r="1265" spans="2:13">
      <c r="B1265" s="2"/>
      <c r="C1265" s="1">
        <v>2.680743031</v>
      </c>
      <c r="D1265" s="1">
        <v>0.52766629600000003</v>
      </c>
      <c r="E1265" s="1"/>
      <c r="H1265" s="2">
        <v>4.7703441</v>
      </c>
      <c r="I1265" s="2">
        <v>2.2853603499999999</v>
      </c>
      <c r="J1265" s="2">
        <v>9.8723491400000007</v>
      </c>
      <c r="L1265" s="2"/>
      <c r="M1265" s="2"/>
    </row>
    <row r="1266" spans="2:13">
      <c r="B1266" s="2"/>
      <c r="C1266" s="1">
        <v>4.1418687370000002</v>
      </c>
      <c r="D1266" s="1">
        <v>3.6277057840000002</v>
      </c>
      <c r="E1266" s="1"/>
      <c r="H1266" s="2">
        <v>4.8952533599999999</v>
      </c>
      <c r="I1266" s="2">
        <v>13.028108700000001</v>
      </c>
      <c r="J1266" s="2">
        <v>29.999427099999998</v>
      </c>
      <c r="L1266" s="2"/>
      <c r="M1266" s="2"/>
    </row>
    <row r="1267" spans="2:13">
      <c r="B1267" s="2"/>
      <c r="C1267" s="1">
        <v>5.4762025430000003</v>
      </c>
      <c r="D1267" s="1">
        <v>121.9304893</v>
      </c>
      <c r="E1267" s="1"/>
      <c r="H1267" s="2">
        <v>13.186849</v>
      </c>
      <c r="I1267" s="2">
        <v>21.796430000000001</v>
      </c>
      <c r="J1267" s="2">
        <v>9.90711093</v>
      </c>
      <c r="L1267" s="2"/>
      <c r="M1267" s="2"/>
    </row>
    <row r="1268" spans="2:13">
      <c r="B1268" s="2"/>
      <c r="C1268" s="1">
        <v>28.91459094</v>
      </c>
      <c r="D1268" s="1">
        <v>5.7185834809999996</v>
      </c>
      <c r="E1268" s="1"/>
      <c r="H1268" s="2">
        <v>37.532258400000003</v>
      </c>
      <c r="I1268" s="2">
        <v>8.3485613000000001</v>
      </c>
      <c r="J1268" s="2">
        <v>77.5535596</v>
      </c>
      <c r="L1268" s="2"/>
      <c r="M1268" s="2"/>
    </row>
    <row r="1269" spans="2:13">
      <c r="B1269" s="2"/>
      <c r="C1269" s="1">
        <v>15.77049729</v>
      </c>
      <c r="D1269" s="1">
        <v>0.99597013300000004</v>
      </c>
      <c r="E1269" s="1"/>
      <c r="H1269" s="2">
        <v>11.2537295</v>
      </c>
      <c r="I1269" s="2">
        <v>68.436437299999994</v>
      </c>
      <c r="J1269" s="2">
        <v>14.460905800000001</v>
      </c>
      <c r="L1269" s="2"/>
      <c r="M1269" s="2"/>
    </row>
    <row r="1270" spans="2:13">
      <c r="B1270" s="2"/>
      <c r="C1270" s="1">
        <v>188.12295349999999</v>
      </c>
      <c r="D1270" s="1">
        <v>1.0751200780000001</v>
      </c>
      <c r="E1270" s="1"/>
      <c r="H1270" s="2">
        <v>77.318831599999996</v>
      </c>
      <c r="I1270" s="2">
        <v>16.666029300000002</v>
      </c>
      <c r="J1270" s="2">
        <v>10.637108599999999</v>
      </c>
      <c r="L1270" s="2"/>
      <c r="M1270" s="2"/>
    </row>
    <row r="1271" spans="2:13">
      <c r="B1271" s="2"/>
      <c r="C1271" s="1">
        <v>27.598370259999999</v>
      </c>
      <c r="D1271" s="1">
        <v>152.706626</v>
      </c>
      <c r="E1271" s="1"/>
      <c r="H1271" s="2">
        <v>17.082828200000002</v>
      </c>
      <c r="I1271" s="2">
        <v>8.8926947100000007</v>
      </c>
      <c r="J1271" s="2">
        <v>14.495667600000001</v>
      </c>
      <c r="L1271" s="2"/>
      <c r="M1271" s="2"/>
    </row>
    <row r="1272" spans="2:13">
      <c r="B1272" s="2"/>
      <c r="C1272" s="1">
        <v>7.5773254589999999</v>
      </c>
      <c r="D1272" s="1">
        <v>160.27863740000001</v>
      </c>
      <c r="E1272" s="1"/>
      <c r="H1272" s="2">
        <v>14.186123</v>
      </c>
      <c r="I1272" s="2">
        <v>9.3280014500000004</v>
      </c>
      <c r="J1272" s="2">
        <v>82.906875700000001</v>
      </c>
      <c r="L1272" s="2"/>
      <c r="M1272" s="2"/>
    </row>
    <row r="1273" spans="2:13">
      <c r="B1273" s="2"/>
      <c r="C1273" s="1">
        <v>9.3282612230000002</v>
      </c>
      <c r="D1273" s="1">
        <v>1.002565962</v>
      </c>
      <c r="E1273" s="1"/>
      <c r="H1273" s="2">
        <v>16.315528499999999</v>
      </c>
      <c r="I1273" s="2">
        <v>115.231911</v>
      </c>
      <c r="J1273" s="2">
        <v>17.207087399999999</v>
      </c>
      <c r="L1273" s="2"/>
      <c r="M1273" s="2"/>
    </row>
    <row r="1274" spans="2:13">
      <c r="B1274" s="2"/>
      <c r="C1274" s="1">
        <v>126.3692604</v>
      </c>
      <c r="D1274" s="1">
        <v>0.56064543899999997</v>
      </c>
      <c r="E1274" s="1"/>
      <c r="H1274" s="2">
        <v>123.321127</v>
      </c>
      <c r="I1274" s="2">
        <v>30.564751399999999</v>
      </c>
      <c r="J1274" s="2">
        <v>5.5966486299999998</v>
      </c>
      <c r="L1274" s="2"/>
      <c r="M1274" s="2"/>
    </row>
    <row r="1275" spans="2:13">
      <c r="B1275" s="2"/>
      <c r="C1275" s="1">
        <v>18.747088089999998</v>
      </c>
      <c r="D1275" s="1">
        <v>0.50128298100000002</v>
      </c>
      <c r="E1275" s="1"/>
      <c r="H1275" s="2">
        <v>22.114887</v>
      </c>
      <c r="I1275" s="2">
        <v>4.3841606799999999</v>
      </c>
      <c r="J1275" s="2">
        <v>8.4471156300000008</v>
      </c>
      <c r="L1275" s="2"/>
      <c r="M1275" s="2"/>
    </row>
    <row r="1276" spans="2:13">
      <c r="B1276" s="2"/>
      <c r="C1276" s="1">
        <v>12.23239951</v>
      </c>
      <c r="D1276" s="1">
        <v>1.1146950499999999</v>
      </c>
      <c r="E1276" s="1"/>
      <c r="H1276" s="2">
        <v>10.6708196</v>
      </c>
      <c r="I1276" s="2">
        <v>7.5556811699999997</v>
      </c>
      <c r="J1276" s="2">
        <v>17.902323299999999</v>
      </c>
      <c r="L1276" s="2"/>
      <c r="M1276" s="2"/>
    </row>
    <row r="1277" spans="2:13">
      <c r="B1277" s="2"/>
      <c r="C1277" s="1">
        <v>6.5267640010000001</v>
      </c>
      <c r="D1277" s="1">
        <v>0.57383709699999996</v>
      </c>
      <c r="E1277" s="1"/>
      <c r="H1277" s="2">
        <v>10.5994429</v>
      </c>
      <c r="I1277" s="2">
        <v>23.5065636</v>
      </c>
      <c r="J1277" s="2">
        <v>11.054250100000001</v>
      </c>
      <c r="L1277" s="2"/>
      <c r="M1277" s="2"/>
    </row>
    <row r="1278" spans="2:13">
      <c r="B1278" s="2"/>
      <c r="C1278" s="1">
        <v>28.05723618</v>
      </c>
      <c r="D1278" s="1">
        <v>0.60681624000000001</v>
      </c>
      <c r="E1278" s="1"/>
      <c r="H1278" s="2">
        <v>33.755240299999997</v>
      </c>
      <c r="I1278" s="2">
        <v>14.8159756</v>
      </c>
      <c r="J1278" s="2">
        <v>7.7518797800000003</v>
      </c>
      <c r="L1278" s="2"/>
      <c r="M1278" s="2"/>
    </row>
    <row r="1279" spans="2:13">
      <c r="B1279" s="2"/>
      <c r="C1279" s="1">
        <v>8.3380768599999993</v>
      </c>
      <c r="D1279" s="1">
        <v>0.76511612900000003</v>
      </c>
      <c r="E1279" s="1"/>
      <c r="H1279" s="2">
        <v>11.812847100000001</v>
      </c>
      <c r="I1279" s="2">
        <v>19.044669599999999</v>
      </c>
      <c r="J1279" s="2">
        <v>8.6904481800000006</v>
      </c>
      <c r="L1279" s="2"/>
      <c r="M1279" s="2"/>
    </row>
    <row r="1280" spans="2:13">
      <c r="B1280" s="2"/>
      <c r="C1280" s="1">
        <v>7.957701159</v>
      </c>
      <c r="D1280" s="1">
        <v>1.154270022</v>
      </c>
      <c r="E1280" s="1"/>
      <c r="H1280" s="2">
        <v>11.6106131</v>
      </c>
      <c r="I1280" s="2">
        <v>9.0481613999999997</v>
      </c>
      <c r="J1280" s="2">
        <v>8.0299741200000003</v>
      </c>
      <c r="L1280" s="2"/>
      <c r="M1280" s="2"/>
    </row>
    <row r="1281" spans="2:13">
      <c r="B1281" s="2"/>
      <c r="C1281" s="1">
        <v>9.5395810559999994</v>
      </c>
      <c r="D1281" s="1">
        <v>4.6170800879999998</v>
      </c>
      <c r="E1281" s="1"/>
      <c r="H1281" s="2">
        <v>12.2767958</v>
      </c>
      <c r="I1281" s="2">
        <v>7.9598945700000003</v>
      </c>
      <c r="J1281" s="2">
        <v>17.554705299999998</v>
      </c>
      <c r="L1281" s="2"/>
      <c r="M1281" s="2"/>
    </row>
    <row r="1282" spans="2:13">
      <c r="B1282" s="2"/>
      <c r="C1282" s="1">
        <v>6.4060098099999996</v>
      </c>
      <c r="D1282" s="1">
        <v>2.4272649610000001</v>
      </c>
      <c r="E1282" s="1"/>
      <c r="H1282" s="2">
        <v>8.3927126199999993</v>
      </c>
      <c r="I1282" s="2">
        <v>20.801443200000001</v>
      </c>
      <c r="J1282" s="2">
        <v>42.583196100000002</v>
      </c>
      <c r="L1282" s="2"/>
      <c r="M1282" s="2"/>
    </row>
    <row r="1283" spans="2:13">
      <c r="B1283" s="2"/>
      <c r="C1283" s="1">
        <v>42.396796309999999</v>
      </c>
      <c r="D1283" s="1">
        <v>8.3767024459999995</v>
      </c>
      <c r="E1283" s="1"/>
      <c r="H1283" s="2">
        <v>27.5335696</v>
      </c>
      <c r="I1283" s="2">
        <v>44.821047</v>
      </c>
      <c r="J1283" s="2">
        <v>85.444486499999996</v>
      </c>
      <c r="L1283" s="2"/>
      <c r="M1283" s="2"/>
    </row>
    <row r="1284" spans="2:13">
      <c r="B1284" s="2"/>
      <c r="C1284" s="1">
        <v>42.644342399999999</v>
      </c>
      <c r="D1284" s="1">
        <v>1016.087411</v>
      </c>
      <c r="E1284" s="1"/>
      <c r="H1284" s="2">
        <v>61.514836199999998</v>
      </c>
      <c r="I1284" s="2">
        <v>83.983106399999997</v>
      </c>
      <c r="J1284" s="2">
        <v>62.745035899999998</v>
      </c>
      <c r="L1284" s="2"/>
      <c r="M1284" s="2"/>
    </row>
    <row r="1285" spans="2:13">
      <c r="B1285" s="2"/>
      <c r="C1285" s="1">
        <v>138.81297979999999</v>
      </c>
      <c r="D1285" s="1">
        <v>2.5723731920000001</v>
      </c>
      <c r="E1285" s="1"/>
      <c r="H1285" s="2">
        <v>90.481888299999994</v>
      </c>
      <c r="I1285" s="2">
        <v>79.490119000000007</v>
      </c>
      <c r="J1285" s="2">
        <v>27.878957799999998</v>
      </c>
      <c r="L1285" s="2"/>
      <c r="M1285" s="2"/>
    </row>
    <row r="1286" spans="2:13">
      <c r="B1286" s="2"/>
      <c r="C1286" s="1">
        <v>31.776465250000001</v>
      </c>
      <c r="D1286" s="1">
        <v>1.4510823129999999</v>
      </c>
      <c r="E1286" s="1"/>
      <c r="H1286" s="2">
        <v>71.882304700000006</v>
      </c>
      <c r="I1286" s="2">
        <v>43.701686799999997</v>
      </c>
      <c r="J1286" s="2">
        <v>21.865167599999999</v>
      </c>
      <c r="L1286" s="2"/>
      <c r="M1286" s="2"/>
    </row>
    <row r="1287" spans="2:13">
      <c r="B1287" s="2"/>
      <c r="C1287" s="1">
        <v>22.949333920000001</v>
      </c>
      <c r="D1287" s="1">
        <v>836.13341649999995</v>
      </c>
      <c r="E1287" s="1"/>
      <c r="H1287" s="2">
        <v>44.342787100000002</v>
      </c>
      <c r="I1287" s="2">
        <v>21.8275234</v>
      </c>
      <c r="J1287" s="2">
        <v>211.97741199999999</v>
      </c>
      <c r="L1287" s="2"/>
      <c r="M1287" s="2"/>
    </row>
    <row r="1288" spans="2:13">
      <c r="B1288" s="2"/>
      <c r="C1288" s="1">
        <v>43.362829840000003</v>
      </c>
      <c r="D1288" s="1">
        <v>0.949799332</v>
      </c>
      <c r="E1288" s="1"/>
      <c r="H1288" s="2">
        <v>24.422734200000001</v>
      </c>
      <c r="I1288" s="2">
        <v>164.46821199999999</v>
      </c>
      <c r="J1288" s="2">
        <v>7.8561651599999998</v>
      </c>
      <c r="L1288" s="2"/>
      <c r="M1288" s="2"/>
    </row>
    <row r="1289" spans="2:13">
      <c r="B1289" s="2"/>
      <c r="C1289" s="1">
        <v>178.49884449999999</v>
      </c>
      <c r="D1289" s="1">
        <v>8.0864859829999993</v>
      </c>
      <c r="E1289" s="1"/>
      <c r="H1289" s="2">
        <v>189.68363199999999</v>
      </c>
      <c r="I1289" s="2">
        <v>14.1008289</v>
      </c>
      <c r="J1289" s="2">
        <v>34.379413</v>
      </c>
      <c r="L1289" s="2"/>
      <c r="M1289" s="2"/>
    </row>
    <row r="1290" spans="2:13">
      <c r="B1290" s="2"/>
      <c r="C1290" s="1">
        <v>20.09349731</v>
      </c>
      <c r="D1290" s="1">
        <v>0.40894137899999999</v>
      </c>
      <c r="E1290" s="1"/>
      <c r="H1290" s="2">
        <v>13.7221744</v>
      </c>
      <c r="I1290" s="2">
        <v>40.265872899999998</v>
      </c>
      <c r="J1290" s="2">
        <v>7.5085472299999996</v>
      </c>
      <c r="L1290" s="2"/>
      <c r="M1290" s="2"/>
    </row>
    <row r="1291" spans="2:13">
      <c r="B1291" s="2"/>
      <c r="C1291" s="1">
        <v>67.417064600000003</v>
      </c>
      <c r="D1291" s="1">
        <v>6.457316295</v>
      </c>
      <c r="E1291" s="1"/>
      <c r="H1291" s="2">
        <v>50.130249399999997</v>
      </c>
      <c r="I1291" s="2">
        <v>6.7938943900000002</v>
      </c>
      <c r="J1291" s="2">
        <v>80.960215300000002</v>
      </c>
      <c r="L1291" s="2"/>
      <c r="M1291" s="2"/>
    </row>
    <row r="1292" spans="2:13">
      <c r="B1292" s="2"/>
      <c r="C1292" s="1">
        <v>7.3539302070000003</v>
      </c>
      <c r="D1292" s="1">
        <v>0.63319955500000003</v>
      </c>
      <c r="E1292" s="1"/>
      <c r="H1292" s="2">
        <v>7.2447370400000004</v>
      </c>
      <c r="I1292" s="2">
        <v>68.918384000000003</v>
      </c>
      <c r="J1292" s="2">
        <v>7.9604505400000001</v>
      </c>
      <c r="L1292" s="2"/>
      <c r="M1292" s="2"/>
    </row>
    <row r="1293" spans="2:13">
      <c r="B1293" s="2"/>
      <c r="C1293" s="1">
        <v>123.06663330000001</v>
      </c>
      <c r="D1293" s="1">
        <v>0.164895717</v>
      </c>
      <c r="E1293" s="1"/>
      <c r="H1293" s="2">
        <v>95.085686699999997</v>
      </c>
      <c r="I1293" s="2">
        <v>9.1103480799999996</v>
      </c>
      <c r="J1293" s="2">
        <v>4.4842712599999999</v>
      </c>
      <c r="L1293" s="2"/>
      <c r="M1293" s="2"/>
    </row>
    <row r="1294" spans="2:13">
      <c r="B1294" s="2"/>
      <c r="C1294" s="1">
        <v>16.47690931</v>
      </c>
      <c r="D1294" s="1">
        <v>11.885683309999999</v>
      </c>
      <c r="E1294" s="1"/>
      <c r="H1294" s="2">
        <v>11.354846500000001</v>
      </c>
      <c r="I1294" s="2">
        <v>6.9338144100000001</v>
      </c>
      <c r="J1294" s="2">
        <v>205.442195</v>
      </c>
      <c r="L1294" s="2"/>
      <c r="M1294" s="2"/>
    </row>
    <row r="1295" spans="2:13">
      <c r="B1295" s="2"/>
      <c r="C1295" s="1">
        <v>6.2067653959999998</v>
      </c>
      <c r="D1295" s="1">
        <v>2.3876899890000001</v>
      </c>
      <c r="E1295" s="1"/>
      <c r="H1295" s="2">
        <v>4.8179285800000002</v>
      </c>
      <c r="I1295" s="2">
        <v>197.131764</v>
      </c>
      <c r="J1295" s="2">
        <v>40.115108800000002</v>
      </c>
      <c r="L1295" s="2"/>
      <c r="M1295" s="2"/>
    </row>
    <row r="1296" spans="2:13">
      <c r="B1296" s="2"/>
      <c r="C1296" s="1">
        <v>166.70116010000001</v>
      </c>
      <c r="D1296" s="1">
        <v>130.03676279999999</v>
      </c>
      <c r="E1296" s="1"/>
      <c r="H1296" s="2">
        <v>209.93677700000001</v>
      </c>
      <c r="I1296" s="2">
        <v>27.2222176</v>
      </c>
      <c r="J1296" s="2">
        <v>2.4333254900000001</v>
      </c>
      <c r="L1296" s="2"/>
      <c r="M1296" s="2"/>
    </row>
    <row r="1297" spans="2:13">
      <c r="B1297" s="2"/>
      <c r="C1297" s="1">
        <v>26.264036449999999</v>
      </c>
      <c r="D1297" s="1">
        <v>2.6581189649999999</v>
      </c>
      <c r="E1297" s="1"/>
      <c r="H1297" s="2">
        <v>41.130834700000001</v>
      </c>
      <c r="I1297" s="2">
        <v>5.5346141900000001</v>
      </c>
      <c r="J1297" s="2">
        <v>51.586500399999998</v>
      </c>
      <c r="L1297" s="2"/>
      <c r="M1297" s="2"/>
    </row>
    <row r="1298" spans="2:13">
      <c r="B1298" s="2"/>
      <c r="C1298" s="1">
        <v>8.8814707169999991</v>
      </c>
      <c r="D1298" s="1">
        <v>0.28362063399999998</v>
      </c>
      <c r="E1298" s="1"/>
      <c r="H1298" s="2">
        <v>4.6275906600000001</v>
      </c>
      <c r="I1298" s="2">
        <v>30.378191399999999</v>
      </c>
      <c r="J1298" s="2">
        <v>5.7009340100000001</v>
      </c>
      <c r="L1298" s="2"/>
      <c r="M1298" s="2"/>
    </row>
    <row r="1299" spans="2:13">
      <c r="B1299" s="2"/>
      <c r="C1299" s="1">
        <v>90.619982320000005</v>
      </c>
      <c r="D1299" s="1">
        <v>207.22115020000001</v>
      </c>
      <c r="E1299" s="1"/>
      <c r="H1299" s="2">
        <v>61.276913800000003</v>
      </c>
      <c r="I1299" s="2">
        <v>6.1409342899999997</v>
      </c>
      <c r="J1299" s="2">
        <v>12.0971039</v>
      </c>
      <c r="L1299" s="2"/>
      <c r="M1299" s="2"/>
    </row>
    <row r="1300" spans="2:13">
      <c r="B1300" s="2"/>
      <c r="C1300" s="1">
        <v>4.4558296329999996</v>
      </c>
      <c r="D1300" s="1">
        <v>0.27702480499999999</v>
      </c>
      <c r="E1300" s="1"/>
      <c r="H1300" s="2">
        <v>8.2142708199999994</v>
      </c>
      <c r="I1300" s="2">
        <v>9.7322148399999993</v>
      </c>
      <c r="J1300" s="2">
        <v>6.6742641999999996</v>
      </c>
      <c r="L1300" s="2"/>
      <c r="M1300" s="2"/>
    </row>
    <row r="1301" spans="2:13">
      <c r="B1301" s="2"/>
      <c r="C1301" s="1">
        <v>15.38408388</v>
      </c>
      <c r="D1301" s="1">
        <v>5.4613461619999999</v>
      </c>
      <c r="E1301" s="1"/>
      <c r="H1301" s="2">
        <v>15.2329816</v>
      </c>
      <c r="I1301" s="2">
        <v>5.64344088</v>
      </c>
      <c r="J1301" s="2">
        <v>44.390809300000001</v>
      </c>
      <c r="L1301" s="2"/>
      <c r="M1301" s="2"/>
    </row>
    <row r="1302" spans="2:13">
      <c r="B1302" s="2"/>
      <c r="C1302" s="1">
        <v>5.4097877380000003</v>
      </c>
      <c r="D1302" s="1">
        <v>0.42213303699999999</v>
      </c>
      <c r="E1302" s="1"/>
      <c r="H1302" s="2">
        <v>9.1183759299999991</v>
      </c>
      <c r="I1302" s="2">
        <v>60.725289400000001</v>
      </c>
      <c r="J1302" s="2">
        <v>5.2142689100000004</v>
      </c>
      <c r="L1302" s="2"/>
      <c r="M1302" s="2"/>
    </row>
    <row r="1303" spans="2:13">
      <c r="B1303" s="2"/>
      <c r="C1303" s="1">
        <v>38.019456910000002</v>
      </c>
      <c r="D1303" s="1">
        <v>1.8138528920000001</v>
      </c>
      <c r="E1303" s="1"/>
      <c r="H1303" s="2">
        <v>63.477696000000002</v>
      </c>
      <c r="I1303" s="2">
        <v>4.5396273699999998</v>
      </c>
      <c r="J1303" s="2">
        <v>35.874170100000001</v>
      </c>
      <c r="L1303" s="2"/>
      <c r="M1303" s="2"/>
    </row>
    <row r="1304" spans="2:13">
      <c r="B1304" s="2"/>
      <c r="C1304" s="1">
        <v>13.33730035</v>
      </c>
      <c r="D1304" s="1">
        <v>0.33638726400000002</v>
      </c>
      <c r="E1304" s="1"/>
      <c r="H1304" s="2">
        <v>5.7934104099999999</v>
      </c>
      <c r="I1304" s="2">
        <v>47.961474099999997</v>
      </c>
      <c r="J1304" s="2">
        <v>9.7680637600000004</v>
      </c>
      <c r="L1304" s="2"/>
      <c r="M1304" s="2"/>
    </row>
    <row r="1305" spans="2:13">
      <c r="B1305" s="2"/>
      <c r="C1305" s="1">
        <v>18.113128589999999</v>
      </c>
      <c r="D1305" s="1">
        <v>0.857457731</v>
      </c>
      <c r="E1305" s="1"/>
      <c r="H1305" s="2">
        <v>47.643960399999997</v>
      </c>
      <c r="I1305" s="2">
        <v>8.48848132</v>
      </c>
      <c r="J1305" s="2">
        <v>15.7123303</v>
      </c>
      <c r="L1305" s="2"/>
      <c r="M1305" s="2"/>
    </row>
    <row r="1306" spans="2:13">
      <c r="B1306" s="2"/>
      <c r="C1306" s="1">
        <v>5.6090321530000002</v>
      </c>
      <c r="D1306" s="1">
        <v>3.3242976639999999</v>
      </c>
      <c r="E1306" s="1"/>
      <c r="H1306" s="2">
        <v>12.5385104</v>
      </c>
      <c r="I1306" s="2">
        <v>10.836028300000001</v>
      </c>
      <c r="J1306" s="2">
        <v>37.160356399999998</v>
      </c>
      <c r="L1306" s="2"/>
      <c r="M1306" s="2"/>
    </row>
    <row r="1307" spans="2:13">
      <c r="B1307" s="2"/>
      <c r="C1307" s="1">
        <v>28.962892610000001</v>
      </c>
      <c r="D1307" s="1">
        <v>0.60022041100000001</v>
      </c>
      <c r="E1307" s="1"/>
      <c r="H1307" s="2">
        <v>17.362387099999999</v>
      </c>
      <c r="I1307" s="2">
        <v>46.811020599999999</v>
      </c>
      <c r="J1307" s="2">
        <v>7.92568874</v>
      </c>
      <c r="L1307" s="2"/>
      <c r="M1307" s="2"/>
    </row>
    <row r="1308" spans="2:13">
      <c r="B1308" s="2"/>
      <c r="C1308" s="1">
        <v>77.252493430000001</v>
      </c>
      <c r="D1308" s="1">
        <v>181.8601889</v>
      </c>
      <c r="E1308" s="1"/>
      <c r="H1308" s="2">
        <v>57.827038999999999</v>
      </c>
      <c r="I1308" s="2">
        <v>6.9027210700000001</v>
      </c>
      <c r="J1308" s="2">
        <v>7.3347382699999999</v>
      </c>
      <c r="L1308" s="2"/>
      <c r="M1308" s="2"/>
    </row>
    <row r="1309" spans="2:13">
      <c r="B1309" s="2"/>
      <c r="C1309" s="1">
        <v>11.731269620000001</v>
      </c>
      <c r="D1309" s="1">
        <v>259.90203400000001</v>
      </c>
      <c r="E1309" s="1"/>
      <c r="H1309" s="2">
        <v>11.360794500000001</v>
      </c>
      <c r="I1309" s="2">
        <v>6.4052276600000004</v>
      </c>
      <c r="J1309" s="2">
        <v>16.268519000000001</v>
      </c>
      <c r="L1309" s="2"/>
      <c r="M1309" s="2"/>
    </row>
    <row r="1310" spans="2:13">
      <c r="B1310" s="2"/>
      <c r="C1310" s="1">
        <v>23.480652360000001</v>
      </c>
      <c r="D1310" s="1">
        <v>92.302026799999993</v>
      </c>
      <c r="E1310" s="1"/>
      <c r="H1310" s="2">
        <v>11.003910899999999</v>
      </c>
      <c r="I1310" s="2">
        <v>12.965922000000001</v>
      </c>
      <c r="J1310" s="2">
        <v>3.4761792699999998</v>
      </c>
      <c r="L1310" s="2"/>
      <c r="M1310" s="2"/>
    </row>
    <row r="1311" spans="2:13">
      <c r="B1311" s="2"/>
      <c r="C1311" s="1">
        <v>22.321412129999999</v>
      </c>
      <c r="D1311" s="1">
        <v>3.5551516680000002</v>
      </c>
      <c r="E1311" s="1"/>
      <c r="H1311" s="2">
        <v>21.3773275</v>
      </c>
      <c r="I1311" s="2">
        <v>6.8560810600000002</v>
      </c>
      <c r="J1311" s="2">
        <v>28.7480026</v>
      </c>
      <c r="L1311" s="2"/>
      <c r="M1311" s="2"/>
    </row>
    <row r="1312" spans="2:13">
      <c r="B1312" s="2"/>
      <c r="C1312" s="1">
        <v>8.6882640129999995</v>
      </c>
      <c r="D1312" s="1">
        <v>1.21363248</v>
      </c>
      <c r="E1312" s="1"/>
      <c r="H1312" s="2">
        <v>5.3829942700000002</v>
      </c>
      <c r="I1312" s="2">
        <v>35.695152200000003</v>
      </c>
      <c r="J1312" s="2">
        <v>7.4390236400000003</v>
      </c>
      <c r="L1312" s="2"/>
      <c r="M1312" s="2"/>
    </row>
    <row r="1313" spans="2:13">
      <c r="B1313" s="2"/>
      <c r="C1313" s="1">
        <v>72.434401219999998</v>
      </c>
      <c r="D1313" s="1">
        <v>0.91022435999999995</v>
      </c>
      <c r="E1313" s="1"/>
      <c r="H1313" s="2">
        <v>41.993303400000002</v>
      </c>
      <c r="I1313" s="2">
        <v>5.73672089</v>
      </c>
      <c r="J1313" s="2">
        <v>20.022792599999999</v>
      </c>
      <c r="L1313" s="2"/>
      <c r="M1313" s="2"/>
    </row>
    <row r="1314" spans="2:13">
      <c r="B1314" s="2"/>
      <c r="C1314" s="1">
        <v>10.98863134</v>
      </c>
      <c r="D1314" s="1">
        <v>178.74036190000001</v>
      </c>
      <c r="E1314" s="1"/>
      <c r="H1314" s="2">
        <v>9.1124278699999994</v>
      </c>
      <c r="I1314" s="2">
        <v>15.375655699999999</v>
      </c>
      <c r="J1314" s="2">
        <v>131.26052899999999</v>
      </c>
      <c r="L1314" s="2"/>
      <c r="M1314" s="2"/>
    </row>
    <row r="1315" spans="2:13">
      <c r="B1315" s="2"/>
      <c r="C1315" s="1">
        <v>30.913072790000001</v>
      </c>
      <c r="D1315" s="1">
        <v>0.41553720799999999</v>
      </c>
      <c r="E1315" s="1"/>
      <c r="H1315" s="2">
        <v>19.818935799999998</v>
      </c>
      <c r="I1315" s="2">
        <v>132.98620700000001</v>
      </c>
      <c r="J1315" s="2">
        <v>6.3614080700000004</v>
      </c>
      <c r="L1315" s="2"/>
      <c r="M1315" s="2"/>
    </row>
    <row r="1316" spans="2:13">
      <c r="B1316" s="2"/>
      <c r="C1316" s="1">
        <v>177.30941569999999</v>
      </c>
      <c r="D1316" s="1">
        <v>2.7108855950000001</v>
      </c>
      <c r="E1316" s="1"/>
      <c r="H1316" s="2">
        <v>143.99063599999999</v>
      </c>
      <c r="I1316" s="2">
        <v>12.0953085</v>
      </c>
      <c r="J1316" s="2">
        <v>16.511851499999999</v>
      </c>
      <c r="L1316" s="2"/>
      <c r="M1316" s="2"/>
    </row>
    <row r="1317" spans="2:13">
      <c r="B1317" s="2"/>
      <c r="C1317" s="1">
        <v>14.925217959999999</v>
      </c>
      <c r="D1317" s="1">
        <v>1.108099221</v>
      </c>
      <c r="E1317" s="1"/>
      <c r="H1317" s="2">
        <v>8.6782195000000009</v>
      </c>
      <c r="I1317" s="2">
        <v>21.672056699999999</v>
      </c>
      <c r="J1317" s="2">
        <v>8.1690212899999999</v>
      </c>
      <c r="L1317" s="2"/>
      <c r="M1317" s="2"/>
    </row>
    <row r="1318" spans="2:13">
      <c r="B1318" s="2"/>
      <c r="C1318" s="1">
        <v>22.71990096</v>
      </c>
      <c r="D1318" s="1">
        <v>1.8864070079999999</v>
      </c>
      <c r="E1318" s="1"/>
      <c r="H1318" s="2">
        <v>22.608575900000002</v>
      </c>
      <c r="I1318" s="2">
        <v>10.898215</v>
      </c>
      <c r="J1318" s="2">
        <v>26.349438899999999</v>
      </c>
      <c r="L1318" s="2"/>
      <c r="M1318" s="2"/>
    </row>
    <row r="1319" spans="2:13">
      <c r="B1319" s="2"/>
      <c r="C1319" s="1">
        <v>34.97041359</v>
      </c>
      <c r="D1319" s="1">
        <v>1.6555530030000001</v>
      </c>
      <c r="E1319" s="1"/>
      <c r="H1319" s="2">
        <v>12.9786669</v>
      </c>
      <c r="I1319" s="2">
        <v>36.783419000000002</v>
      </c>
      <c r="J1319" s="2">
        <v>15.434236</v>
      </c>
      <c r="L1319" s="2"/>
      <c r="M1319" s="2"/>
    </row>
    <row r="1320" spans="2:13">
      <c r="B1320" s="2"/>
      <c r="C1320" s="1">
        <v>35.688901029999997</v>
      </c>
      <c r="D1320" s="1">
        <v>0.54745378200000006</v>
      </c>
      <c r="E1320" s="1"/>
      <c r="H1320" s="2">
        <v>51.498303200000002</v>
      </c>
      <c r="I1320" s="2">
        <v>17.863122799999999</v>
      </c>
      <c r="J1320" s="2">
        <v>4.0671297500000003</v>
      </c>
      <c r="L1320" s="2"/>
      <c r="M1320" s="2"/>
    </row>
    <row r="1321" spans="2:13">
      <c r="B1321" s="2"/>
      <c r="C1321" s="1">
        <v>6.2429916529999998</v>
      </c>
      <c r="D1321" s="1">
        <v>2.519606563</v>
      </c>
      <c r="E1321" s="1"/>
      <c r="H1321" s="2">
        <v>23.875512700000002</v>
      </c>
      <c r="I1321" s="2">
        <v>4.5707207099999998</v>
      </c>
      <c r="J1321" s="2">
        <v>46.441755100000002</v>
      </c>
      <c r="L1321" s="2"/>
      <c r="M1321" s="2"/>
    </row>
    <row r="1322" spans="2:13">
      <c r="B1322" s="2"/>
      <c r="C1322" s="1">
        <v>5.4762025430000003</v>
      </c>
      <c r="D1322" s="1">
        <v>1.2598032809999999</v>
      </c>
      <c r="E1322" s="1"/>
      <c r="H1322" s="2">
        <v>4.9904223099999996</v>
      </c>
      <c r="I1322" s="2">
        <v>41.509606400000003</v>
      </c>
      <c r="J1322" s="2">
        <v>24.7503964</v>
      </c>
      <c r="L1322" s="2"/>
      <c r="M1322" s="2"/>
    </row>
    <row r="1323" spans="2:13">
      <c r="B1323" s="2"/>
      <c r="C1323" s="1">
        <v>45.729611970000001</v>
      </c>
      <c r="D1323" s="1">
        <v>436.24811010000002</v>
      </c>
      <c r="E1323" s="1"/>
      <c r="H1323" s="2">
        <v>47.947311399999997</v>
      </c>
      <c r="I1323" s="2">
        <v>50.511127799999997</v>
      </c>
      <c r="J1323" s="2">
        <v>70.914057200000002</v>
      </c>
      <c r="L1323" s="2"/>
      <c r="M1323" s="2"/>
    </row>
    <row r="1324" spans="2:13">
      <c r="B1324" s="2"/>
      <c r="C1324" s="1">
        <v>15.613516840000001</v>
      </c>
      <c r="D1324" s="1">
        <v>0.70575367099999997</v>
      </c>
      <c r="E1324" s="1"/>
      <c r="H1324" s="2">
        <v>40.167248999999998</v>
      </c>
      <c r="I1324" s="2">
        <v>67.799023899999995</v>
      </c>
      <c r="J1324" s="2">
        <v>15.4689978</v>
      </c>
      <c r="L1324" s="2"/>
      <c r="M1324" s="2"/>
    </row>
    <row r="1325" spans="2:13">
      <c r="B1325" s="2"/>
      <c r="C1325" s="1">
        <v>74.734768549999998</v>
      </c>
      <c r="D1325" s="1">
        <v>1.121290879</v>
      </c>
      <c r="E1325" s="1"/>
      <c r="H1325" s="2">
        <v>69.746951199999998</v>
      </c>
      <c r="I1325" s="2">
        <v>14.4894956</v>
      </c>
      <c r="J1325" s="2">
        <v>24.8894436</v>
      </c>
      <c r="L1325" s="2"/>
      <c r="M1325" s="2"/>
    </row>
    <row r="1326" spans="2:13">
      <c r="B1326" s="2"/>
      <c r="C1326" s="1">
        <v>19.079162109999999</v>
      </c>
      <c r="D1326" s="1">
        <v>212.08227590000001</v>
      </c>
      <c r="E1326" s="1"/>
      <c r="H1326" s="2">
        <v>15.2032413</v>
      </c>
      <c r="I1326" s="2">
        <v>31.139978200000002</v>
      </c>
      <c r="J1326" s="2">
        <v>14.7737619</v>
      </c>
      <c r="L1326" s="2"/>
      <c r="M1326" s="2"/>
    </row>
    <row r="1327" spans="2:13">
      <c r="B1327" s="2"/>
      <c r="C1327" s="1">
        <v>21.584811569999999</v>
      </c>
      <c r="D1327" s="1">
        <v>1.2004408230000001</v>
      </c>
      <c r="E1327" s="1"/>
      <c r="H1327" s="2">
        <v>28.235440700000002</v>
      </c>
      <c r="I1327" s="2">
        <v>15.049175699999999</v>
      </c>
      <c r="J1327" s="2">
        <v>28.504670000000001</v>
      </c>
      <c r="L1327" s="2"/>
      <c r="M1327" s="2"/>
    </row>
    <row r="1328" spans="2:13">
      <c r="B1328" s="2"/>
      <c r="C1328" s="1">
        <v>23.903292029999999</v>
      </c>
      <c r="D1328" s="1">
        <v>0.75852030000000004</v>
      </c>
      <c r="E1328" s="1"/>
      <c r="H1328" s="2">
        <v>19.598857599999999</v>
      </c>
      <c r="I1328" s="2">
        <v>21.112376600000001</v>
      </c>
      <c r="J1328" s="2">
        <v>18.0066086</v>
      </c>
      <c r="L1328" s="2"/>
      <c r="M1328" s="2"/>
    </row>
    <row r="1329" spans="2:13">
      <c r="B1329" s="2"/>
      <c r="C1329" s="1">
        <v>37.035310250000002</v>
      </c>
      <c r="D1329" s="1">
        <v>0.89703270300000004</v>
      </c>
      <c r="E1329" s="1"/>
      <c r="H1329" s="2">
        <v>24.809358100000001</v>
      </c>
      <c r="I1329" s="2">
        <v>24.657017199999999</v>
      </c>
      <c r="J1329" s="2">
        <v>28.365622900000002</v>
      </c>
      <c r="L1329" s="2"/>
      <c r="M1329" s="2"/>
    </row>
    <row r="1330" spans="2:13">
      <c r="B1330" s="2"/>
      <c r="C1330" s="1">
        <v>28.419498749999999</v>
      </c>
      <c r="D1330" s="1">
        <v>1.741298776</v>
      </c>
      <c r="E1330" s="1"/>
      <c r="H1330" s="2">
        <v>18.920778800000001</v>
      </c>
      <c r="I1330" s="2">
        <v>30.518111399999999</v>
      </c>
      <c r="J1330" s="2">
        <v>33.023703099999999</v>
      </c>
      <c r="L1330" s="2"/>
      <c r="M1330" s="2"/>
    </row>
    <row r="1331" spans="2:13">
      <c r="B1331" s="2"/>
      <c r="C1331" s="1">
        <v>12.69126543</v>
      </c>
      <c r="D1331" s="1">
        <v>9.2341601999999995E-2</v>
      </c>
      <c r="E1331" s="1"/>
      <c r="H1331" s="2">
        <v>30.864483199999999</v>
      </c>
      <c r="I1331" s="2">
        <v>30.269364700000001</v>
      </c>
      <c r="J1331" s="2">
        <v>2.8852288000000001</v>
      </c>
      <c r="L1331" s="2"/>
      <c r="M1331" s="2"/>
    </row>
    <row r="1332" spans="2:13">
      <c r="B1332" s="2"/>
      <c r="C1332" s="1">
        <v>63.226894190000003</v>
      </c>
      <c r="D1332" s="1">
        <v>0.34957892099999999</v>
      </c>
      <c r="E1332" s="1"/>
      <c r="H1332" s="2">
        <v>31.084561399999998</v>
      </c>
      <c r="I1332" s="2">
        <v>2.19208034</v>
      </c>
      <c r="J1332" s="2">
        <v>16.755184100000001</v>
      </c>
      <c r="L1332" s="2"/>
      <c r="M1332" s="2"/>
    </row>
    <row r="1333" spans="2:13">
      <c r="B1333" s="2"/>
      <c r="C1333" s="1">
        <v>3.5562109130000001</v>
      </c>
      <c r="D1333" s="1">
        <v>0.39574972200000003</v>
      </c>
      <c r="E1333" s="1"/>
      <c r="H1333" s="2">
        <v>3.9792521199999999</v>
      </c>
      <c r="I1333" s="2">
        <v>16.588295899999999</v>
      </c>
      <c r="J1333" s="2">
        <v>8.2733066700000002</v>
      </c>
      <c r="L1333" s="2"/>
      <c r="M1333" s="2"/>
    </row>
    <row r="1334" spans="2:13">
      <c r="B1334" s="2"/>
      <c r="C1334" s="1">
        <v>14.93729338</v>
      </c>
      <c r="D1334" s="1">
        <v>0.50787881000000001</v>
      </c>
      <c r="E1334" s="1"/>
      <c r="H1334" s="2">
        <v>17.362387099999999</v>
      </c>
      <c r="I1334" s="2">
        <v>6.7783477200000002</v>
      </c>
      <c r="J1334" s="2">
        <v>11.7842477</v>
      </c>
      <c r="L1334" s="2"/>
      <c r="M1334" s="2"/>
    </row>
    <row r="1335" spans="2:13">
      <c r="B1335" s="2"/>
      <c r="C1335" s="1">
        <v>5.8082765670000001</v>
      </c>
      <c r="D1335" s="1">
        <v>1.2202283089999999</v>
      </c>
      <c r="E1335" s="1"/>
      <c r="H1335" s="2">
        <v>12.2827438</v>
      </c>
      <c r="I1335" s="2">
        <v>11.4578951</v>
      </c>
      <c r="J1335" s="2">
        <v>22.977544999999999</v>
      </c>
      <c r="L1335" s="2"/>
      <c r="M1335" s="2"/>
    </row>
    <row r="1336" spans="2:13">
      <c r="B1336" s="2"/>
      <c r="C1336" s="1">
        <v>7.4384581399999998</v>
      </c>
      <c r="D1336" s="1">
        <v>0.36936640700000001</v>
      </c>
      <c r="E1336" s="1"/>
      <c r="H1336" s="2">
        <v>13.585369</v>
      </c>
      <c r="I1336" s="2">
        <v>28.9945378</v>
      </c>
      <c r="J1336" s="2">
        <v>2.6071344500000002</v>
      </c>
      <c r="L1336" s="2"/>
      <c r="M1336" s="2"/>
    </row>
    <row r="1337" spans="2:13">
      <c r="B1337" s="2"/>
      <c r="C1337" s="1">
        <v>12.07541906</v>
      </c>
      <c r="D1337" s="1">
        <v>0.49468715200000002</v>
      </c>
      <c r="E1337" s="1"/>
      <c r="H1337" s="2">
        <v>27.848816800000002</v>
      </c>
      <c r="I1337" s="2">
        <v>3.63792056</v>
      </c>
      <c r="J1337" s="2">
        <v>14.252335</v>
      </c>
      <c r="L1337" s="2"/>
      <c r="M1337" s="2"/>
    </row>
    <row r="1338" spans="2:13">
      <c r="B1338" s="2"/>
      <c r="C1338" s="1">
        <v>9.4792039609999996</v>
      </c>
      <c r="D1338" s="1">
        <v>2.0249194099999999</v>
      </c>
      <c r="E1338" s="1"/>
      <c r="H1338" s="2">
        <v>4.73465574</v>
      </c>
      <c r="I1338" s="2">
        <v>10.758295</v>
      </c>
      <c r="J1338" s="2">
        <v>41.818436699999999</v>
      </c>
      <c r="L1338" s="2"/>
      <c r="M1338" s="2"/>
    </row>
    <row r="1339" spans="2:13">
      <c r="B1339" s="2"/>
      <c r="C1339" s="1">
        <v>5.6392207000000001</v>
      </c>
      <c r="D1339" s="1">
        <v>0.12532074500000001</v>
      </c>
      <c r="E1339" s="1"/>
      <c r="H1339" s="2">
        <v>14.287240000000001</v>
      </c>
      <c r="I1339" s="2">
        <v>51.490568000000003</v>
      </c>
      <c r="J1339" s="2">
        <v>1.3904717099999999</v>
      </c>
      <c r="L1339" s="2"/>
      <c r="M1339" s="2"/>
    </row>
    <row r="1340" spans="2:13">
      <c r="B1340" s="2"/>
      <c r="C1340" s="1">
        <v>48.138658079999999</v>
      </c>
      <c r="D1340" s="1">
        <v>0.58043292499999999</v>
      </c>
      <c r="E1340" s="1"/>
      <c r="H1340" s="2">
        <v>61.3304464</v>
      </c>
      <c r="I1340" s="2">
        <v>1.11936017</v>
      </c>
      <c r="J1340" s="2">
        <v>7.5433090199999997</v>
      </c>
      <c r="L1340" s="2"/>
      <c r="M1340" s="2"/>
    </row>
    <row r="1341" spans="2:13">
      <c r="B1341" s="2"/>
      <c r="C1341" s="1">
        <v>4.2626229279999999</v>
      </c>
      <c r="D1341" s="1">
        <v>2.5855648489999998</v>
      </c>
      <c r="E1341" s="1"/>
      <c r="H1341" s="2">
        <v>1.68924903</v>
      </c>
      <c r="I1341" s="2">
        <v>9.2036280999999995</v>
      </c>
      <c r="J1341" s="2">
        <v>0.48666510000000002</v>
      </c>
      <c r="L1341" s="2"/>
      <c r="M1341" s="2"/>
    </row>
    <row r="1342" spans="2:13">
      <c r="B1342" s="2"/>
      <c r="C1342" s="1">
        <v>13.30107409</v>
      </c>
      <c r="D1342" s="1">
        <v>98.587851540000003</v>
      </c>
      <c r="E1342" s="1"/>
      <c r="H1342" s="2">
        <v>11.152612400000001</v>
      </c>
      <c r="I1342" s="2">
        <v>0.2021067</v>
      </c>
      <c r="J1342" s="2">
        <v>48.214606500000002</v>
      </c>
      <c r="L1342" s="2"/>
      <c r="M1342" s="2"/>
    </row>
    <row r="1343" spans="2:13">
      <c r="B1343" s="2"/>
      <c r="C1343" s="1">
        <v>0.51924302</v>
      </c>
      <c r="D1343" s="1">
        <v>0.77830778599999995</v>
      </c>
      <c r="E1343" s="1"/>
      <c r="H1343" s="2">
        <v>0.93979347999999996</v>
      </c>
      <c r="I1343" s="2">
        <v>69.058304100000001</v>
      </c>
      <c r="J1343" s="2">
        <v>37.056071000000003</v>
      </c>
      <c r="L1343" s="2"/>
      <c r="M1343" s="2"/>
    </row>
    <row r="1344" spans="2:13">
      <c r="B1344" s="2"/>
      <c r="C1344" s="1">
        <v>46.29715667</v>
      </c>
      <c r="D1344" s="1">
        <v>0.35617474999999998</v>
      </c>
      <c r="E1344" s="1"/>
      <c r="H1344" s="2">
        <v>56.911037800000003</v>
      </c>
      <c r="I1344" s="2">
        <v>31.8551249</v>
      </c>
      <c r="J1344" s="2">
        <v>14.530429399999999</v>
      </c>
      <c r="L1344" s="2"/>
      <c r="M1344" s="2"/>
    </row>
    <row r="1345" spans="2:13">
      <c r="B1345" s="2"/>
      <c r="C1345" s="1">
        <v>42.608116150000001</v>
      </c>
      <c r="D1345" s="1">
        <v>0.30340812</v>
      </c>
      <c r="E1345" s="1"/>
      <c r="H1345" s="2">
        <v>40.910756499999998</v>
      </c>
      <c r="I1345" s="2">
        <v>9.6078414900000002</v>
      </c>
      <c r="J1345" s="2">
        <v>5.5271250399999996</v>
      </c>
      <c r="L1345" s="2"/>
      <c r="M1345" s="2"/>
    </row>
    <row r="1346" spans="2:13">
      <c r="B1346" s="2"/>
      <c r="C1346" s="1">
        <v>31.057977820000001</v>
      </c>
      <c r="D1346" s="1">
        <v>0.53426212500000003</v>
      </c>
      <c r="E1346" s="1"/>
      <c r="H1346" s="2">
        <v>20.3245209</v>
      </c>
      <c r="I1346" s="2">
        <v>5.9077342499999999</v>
      </c>
      <c r="J1346" s="2">
        <v>13.904717099999999</v>
      </c>
      <c r="L1346" s="2"/>
      <c r="M1346" s="2"/>
    </row>
    <row r="1347" spans="2:13">
      <c r="B1347" s="2"/>
      <c r="C1347" s="1">
        <v>9.4429777040000005</v>
      </c>
      <c r="D1347" s="1">
        <v>5.2173005000000003</v>
      </c>
      <c r="E1347" s="1"/>
      <c r="H1347" s="2">
        <v>6.2276187900000002</v>
      </c>
      <c r="I1347" s="2">
        <v>7.1514677799999999</v>
      </c>
      <c r="J1347" s="2">
        <v>3.7542736099999998</v>
      </c>
      <c r="L1347" s="2"/>
      <c r="M1347" s="2"/>
    </row>
    <row r="1348" spans="2:13">
      <c r="B1348" s="2"/>
      <c r="C1348" s="1">
        <v>13.295036380000001</v>
      </c>
      <c r="D1348" s="1">
        <v>4.35324694</v>
      </c>
      <c r="E1348" s="1"/>
      <c r="H1348" s="2">
        <v>12.437393399999999</v>
      </c>
      <c r="I1348" s="2">
        <v>7.2292011199999999</v>
      </c>
      <c r="J1348" s="2">
        <v>77.1364181</v>
      </c>
      <c r="L1348" s="2"/>
      <c r="M1348" s="2"/>
    </row>
    <row r="1349" spans="2:13">
      <c r="B1349" s="2"/>
      <c r="C1349" s="1">
        <v>15.9697417</v>
      </c>
      <c r="D1349" s="1">
        <v>1.0223534480000001</v>
      </c>
      <c r="E1349" s="1"/>
      <c r="H1349" s="2">
        <v>7.0722433000000002</v>
      </c>
      <c r="I1349" s="2">
        <v>82.692732800000002</v>
      </c>
      <c r="J1349" s="2">
        <v>61.215516999999998</v>
      </c>
      <c r="L1349" s="2"/>
      <c r="M1349" s="2"/>
    </row>
    <row r="1350" spans="2:13">
      <c r="B1350" s="2"/>
      <c r="C1350" s="1">
        <v>84.853969719999995</v>
      </c>
      <c r="D1350" s="1">
        <v>0.74532864300000001</v>
      </c>
      <c r="E1350" s="1"/>
      <c r="H1350" s="2">
        <v>76.028102500000003</v>
      </c>
      <c r="I1350" s="2">
        <v>53.029688200000002</v>
      </c>
      <c r="J1350" s="2">
        <v>10.428537800000001</v>
      </c>
      <c r="L1350" s="2"/>
      <c r="M1350" s="2"/>
    </row>
    <row r="1351" spans="2:13">
      <c r="B1351" s="2"/>
      <c r="C1351" s="1">
        <v>112.0900774</v>
      </c>
      <c r="D1351" s="1">
        <v>0.66617869799999996</v>
      </c>
      <c r="E1351" s="1"/>
      <c r="H1351" s="2">
        <v>71.686018799999999</v>
      </c>
      <c r="I1351" s="2">
        <v>13.1369354</v>
      </c>
      <c r="J1351" s="2">
        <v>17.867561500000001</v>
      </c>
      <c r="L1351" s="2"/>
      <c r="M1351" s="2"/>
    </row>
    <row r="1352" spans="2:13">
      <c r="B1352" s="2"/>
      <c r="C1352" s="1">
        <v>16.6640783</v>
      </c>
      <c r="D1352" s="1">
        <v>0.36936640700000001</v>
      </c>
      <c r="E1352" s="1"/>
      <c r="H1352" s="2">
        <v>13.044095499999999</v>
      </c>
      <c r="I1352" s="2">
        <v>32.881205100000003</v>
      </c>
      <c r="J1352" s="2">
        <v>8.6556863899999996</v>
      </c>
      <c r="L1352" s="2"/>
      <c r="M1352" s="2"/>
    </row>
    <row r="1353" spans="2:13">
      <c r="B1353" s="2"/>
      <c r="C1353" s="1">
        <v>5.7116732150000002</v>
      </c>
      <c r="D1353" s="1">
        <v>3.0472728579999999</v>
      </c>
      <c r="E1353" s="1"/>
      <c r="H1353" s="2">
        <v>18.218907699999999</v>
      </c>
      <c r="I1353" s="2">
        <v>10.074241600000001</v>
      </c>
      <c r="J1353" s="2">
        <v>3.4761792699999998</v>
      </c>
      <c r="L1353" s="2"/>
      <c r="M1353" s="2"/>
    </row>
    <row r="1354" spans="2:13">
      <c r="B1354" s="2"/>
      <c r="C1354" s="1">
        <v>8.9297723940000004</v>
      </c>
      <c r="D1354" s="1">
        <v>3.6606849270000001</v>
      </c>
      <c r="E1354" s="1"/>
      <c r="H1354" s="2">
        <v>10.91469</v>
      </c>
      <c r="I1354" s="2">
        <v>3.3891738600000001</v>
      </c>
      <c r="J1354" s="2">
        <v>30.1037125</v>
      </c>
      <c r="L1354" s="2"/>
      <c r="M1354" s="2"/>
    </row>
    <row r="1355" spans="2:13">
      <c r="B1355" s="2"/>
      <c r="C1355" s="1">
        <v>10.72297212</v>
      </c>
      <c r="D1355" s="1">
        <v>12.037387369999999</v>
      </c>
      <c r="E1355" s="1"/>
      <c r="H1355" s="2">
        <v>6.7926844900000001</v>
      </c>
      <c r="I1355" s="2">
        <v>51.117447900000002</v>
      </c>
      <c r="J1355" s="2">
        <v>48.318891899999997</v>
      </c>
      <c r="L1355" s="2"/>
      <c r="M1355" s="2"/>
    </row>
    <row r="1356" spans="2:13">
      <c r="B1356" s="2"/>
      <c r="C1356" s="1">
        <v>55.776360629999999</v>
      </c>
      <c r="D1356" s="1">
        <v>0.64639121200000005</v>
      </c>
      <c r="E1356" s="1"/>
      <c r="H1356" s="2">
        <v>45.538347100000003</v>
      </c>
      <c r="I1356" s="2">
        <v>92.176201000000006</v>
      </c>
      <c r="J1356" s="2">
        <v>157.297112</v>
      </c>
      <c r="L1356" s="2"/>
      <c r="M1356" s="2"/>
    </row>
    <row r="1357" spans="2:13">
      <c r="B1357" s="2"/>
      <c r="C1357" s="1">
        <v>56.241264260000001</v>
      </c>
      <c r="D1357" s="1">
        <v>2.104069355</v>
      </c>
      <c r="E1357" s="1"/>
      <c r="H1357" s="2">
        <v>66.195959400000007</v>
      </c>
      <c r="I1357" s="2">
        <v>166.14725200000001</v>
      </c>
      <c r="J1357" s="2">
        <v>12.8618633</v>
      </c>
      <c r="L1357" s="2"/>
      <c r="M1357" s="2"/>
    </row>
    <row r="1358" spans="2:13">
      <c r="B1358" s="2"/>
      <c r="C1358" s="1">
        <v>157.94044360000001</v>
      </c>
      <c r="D1358" s="1">
        <v>3.3242976639999999</v>
      </c>
      <c r="E1358" s="1"/>
      <c r="H1358" s="2">
        <v>148.27918700000001</v>
      </c>
      <c r="I1358" s="2">
        <v>11.3024284</v>
      </c>
      <c r="J1358" s="2">
        <v>27.496578</v>
      </c>
      <c r="L1358" s="2"/>
      <c r="M1358" s="2"/>
    </row>
    <row r="1359" spans="2:13">
      <c r="B1359" s="2"/>
      <c r="C1359" s="1">
        <v>26.976486179999998</v>
      </c>
      <c r="D1359" s="1">
        <v>0.20447069000000001</v>
      </c>
      <c r="E1359" s="1"/>
      <c r="H1359" s="2">
        <v>15.4173714</v>
      </c>
      <c r="I1359" s="2">
        <v>26.149497400000001</v>
      </c>
      <c r="J1359" s="2">
        <v>54.958394300000002</v>
      </c>
      <c r="L1359" s="2"/>
      <c r="M1359" s="2"/>
    </row>
    <row r="1360" spans="2:13">
      <c r="B1360" s="2"/>
      <c r="C1360" s="1">
        <v>29.42779625</v>
      </c>
      <c r="D1360" s="1">
        <v>0.145108231</v>
      </c>
      <c r="E1360" s="1"/>
      <c r="H1360" s="2">
        <v>31.322483800000001</v>
      </c>
      <c r="I1360" s="2">
        <v>39.954939500000002</v>
      </c>
      <c r="J1360" s="2">
        <v>10.1156817</v>
      </c>
      <c r="L1360" s="2"/>
      <c r="M1360" s="2"/>
    </row>
    <row r="1361" spans="2:13">
      <c r="B1361" s="2"/>
      <c r="C1361" s="1">
        <v>81.158891490000002</v>
      </c>
      <c r="D1361" s="1">
        <v>1.3983156839999999</v>
      </c>
      <c r="E1361" s="1"/>
      <c r="H1361" s="2">
        <v>60.652367499999997</v>
      </c>
      <c r="I1361" s="2">
        <v>20.2728565</v>
      </c>
      <c r="J1361" s="2">
        <v>1.3209481199999999</v>
      </c>
      <c r="L1361" s="2"/>
      <c r="M1361" s="2"/>
    </row>
    <row r="1362" spans="2:13">
      <c r="B1362" s="2"/>
      <c r="C1362" s="1">
        <v>6.8769511540000003</v>
      </c>
      <c r="D1362" s="1">
        <v>1.1608658510000001</v>
      </c>
      <c r="E1362" s="1"/>
      <c r="H1362" s="2">
        <v>12.1102501</v>
      </c>
      <c r="I1362" s="2">
        <v>1.9899736400000001</v>
      </c>
      <c r="J1362" s="2">
        <v>22.908021399999999</v>
      </c>
      <c r="L1362" s="2"/>
      <c r="M1362" s="2"/>
    </row>
    <row r="1363" spans="2:13">
      <c r="B1363" s="2"/>
      <c r="C1363" s="1">
        <v>4.063378513</v>
      </c>
      <c r="D1363" s="1">
        <v>378.59397139999999</v>
      </c>
      <c r="E1363" s="1"/>
      <c r="H1363" s="2">
        <v>2.4506007099999998</v>
      </c>
      <c r="I1363" s="2">
        <v>15.204642399999999</v>
      </c>
      <c r="J1363" s="2">
        <v>7.3347382699999999</v>
      </c>
      <c r="L1363" s="2"/>
      <c r="M1363" s="2"/>
    </row>
    <row r="1364" spans="2:13">
      <c r="B1364" s="2"/>
      <c r="C1364" s="1">
        <v>25.77498198</v>
      </c>
      <c r="D1364" s="1">
        <v>0.80469110099999996</v>
      </c>
      <c r="E1364" s="1"/>
      <c r="H1364" s="2">
        <v>27.271854999999999</v>
      </c>
      <c r="I1364" s="2">
        <v>5.8766409099999999</v>
      </c>
      <c r="J1364" s="2">
        <v>112.767256</v>
      </c>
      <c r="L1364" s="2"/>
      <c r="M1364" s="2"/>
    </row>
    <row r="1365" spans="2:13">
      <c r="B1365" s="2"/>
      <c r="C1365" s="1">
        <v>34.185511349999999</v>
      </c>
      <c r="D1365" s="1">
        <v>5.8636917119999996</v>
      </c>
      <c r="E1365" s="1"/>
      <c r="H1365" s="2">
        <v>13.186849</v>
      </c>
      <c r="I1365" s="2">
        <v>182.08258799999999</v>
      </c>
      <c r="J1365" s="2">
        <v>17.068040199999999</v>
      </c>
      <c r="L1365" s="2"/>
      <c r="M1365" s="2"/>
    </row>
    <row r="1366" spans="2:13">
      <c r="B1366" s="2"/>
      <c r="C1366" s="1">
        <v>156.49743100000001</v>
      </c>
      <c r="D1366" s="1">
        <v>0.91022435999999995</v>
      </c>
      <c r="E1366" s="1"/>
      <c r="H1366" s="2">
        <v>129.95916199999999</v>
      </c>
      <c r="I1366" s="2">
        <v>18.438349500000001</v>
      </c>
      <c r="J1366" s="2">
        <v>78.700698700000004</v>
      </c>
      <c r="L1366" s="2"/>
      <c r="M1366" s="2"/>
    </row>
    <row r="1367" spans="2:13">
      <c r="B1367" s="2"/>
      <c r="C1367" s="1">
        <v>28.298744559999999</v>
      </c>
      <c r="D1367" s="1">
        <v>3.1330186310000001</v>
      </c>
      <c r="E1367" s="1"/>
      <c r="H1367" s="2">
        <v>23.6137981</v>
      </c>
      <c r="I1367" s="2">
        <v>80.360732499999997</v>
      </c>
      <c r="J1367" s="2">
        <v>5.66617221</v>
      </c>
      <c r="L1367" s="2"/>
      <c r="M1367" s="2"/>
    </row>
    <row r="1368" spans="2:13">
      <c r="B1368" s="2"/>
      <c r="C1368" s="1">
        <v>40.114542110000002</v>
      </c>
      <c r="D1368" s="1">
        <v>4.1685637370000004</v>
      </c>
      <c r="E1368" s="1"/>
      <c r="H1368" s="2">
        <v>96.322883200000007</v>
      </c>
      <c r="I1368" s="2">
        <v>5.4879741900000001</v>
      </c>
      <c r="J1368" s="2">
        <v>39.7327291</v>
      </c>
      <c r="L1368" s="2"/>
      <c r="M1368" s="2"/>
    </row>
    <row r="1369" spans="2:13">
      <c r="B1369" s="2"/>
      <c r="C1369" s="1">
        <v>10.4512752</v>
      </c>
      <c r="D1369" s="1">
        <v>1.8864070079999999</v>
      </c>
      <c r="E1369" s="1"/>
      <c r="H1369" s="2">
        <v>9.8678314900000004</v>
      </c>
      <c r="I1369" s="2">
        <v>36.363658999999998</v>
      </c>
      <c r="J1369" s="2">
        <v>33.892747900000003</v>
      </c>
      <c r="L1369" s="2"/>
      <c r="M1369" s="2"/>
    </row>
    <row r="1370" spans="2:13">
      <c r="B1370" s="2"/>
      <c r="C1370" s="1">
        <v>24.66404343</v>
      </c>
      <c r="D1370" s="1">
        <v>0.164895717</v>
      </c>
      <c r="E1370" s="1"/>
      <c r="H1370" s="2">
        <v>51.135471600000002</v>
      </c>
      <c r="I1370" s="2">
        <v>52.485554800000003</v>
      </c>
      <c r="J1370" s="2">
        <v>19.362318599999998</v>
      </c>
      <c r="L1370" s="2"/>
      <c r="M1370" s="2"/>
    </row>
    <row r="1371" spans="2:13">
      <c r="B1371" s="2"/>
      <c r="C1371" s="1">
        <v>44.346976490000003</v>
      </c>
      <c r="D1371" s="1">
        <v>0.481495495</v>
      </c>
      <c r="E1371" s="1"/>
      <c r="H1371" s="2">
        <v>43.795565600000003</v>
      </c>
      <c r="I1371" s="2">
        <v>29.880697999999999</v>
      </c>
      <c r="J1371" s="2">
        <v>4.0671297500000003</v>
      </c>
      <c r="L1371" s="2"/>
      <c r="M1371" s="2"/>
    </row>
    <row r="1372" spans="2:13">
      <c r="B1372" s="2"/>
      <c r="C1372" s="1">
        <v>37.590779529999999</v>
      </c>
      <c r="D1372" s="1">
        <v>0.17808737499999999</v>
      </c>
      <c r="E1372" s="1"/>
      <c r="H1372" s="2">
        <v>27.361075899999999</v>
      </c>
      <c r="I1372" s="2">
        <v>5.69008088</v>
      </c>
      <c r="J1372" s="2">
        <v>6.7437877899999998</v>
      </c>
      <c r="L1372" s="2"/>
      <c r="M1372" s="2"/>
    </row>
    <row r="1373" spans="2:13">
      <c r="B1373" s="2"/>
      <c r="C1373" s="1">
        <v>3.0430056030000001</v>
      </c>
      <c r="D1373" s="1">
        <v>0.40234555100000002</v>
      </c>
      <c r="E1373" s="1"/>
      <c r="H1373" s="2">
        <v>5.5019554700000004</v>
      </c>
      <c r="I1373" s="2">
        <v>8.6128546700000008</v>
      </c>
      <c r="J1373" s="2">
        <v>6.6047406200000003</v>
      </c>
      <c r="L1373" s="2"/>
      <c r="M1373" s="2"/>
    </row>
    <row r="1374" spans="2:13">
      <c r="B1374" s="2"/>
      <c r="C1374" s="1">
        <v>11.538062910000001</v>
      </c>
      <c r="D1374" s="1">
        <v>4.4851635139999999</v>
      </c>
      <c r="E1374" s="1"/>
      <c r="H1374" s="2">
        <v>11.1704566</v>
      </c>
      <c r="I1374" s="2">
        <v>8.9704280599999997</v>
      </c>
      <c r="J1374" s="2">
        <v>9.6985401699999993</v>
      </c>
      <c r="L1374" s="2"/>
      <c r="M1374" s="2"/>
    </row>
    <row r="1375" spans="2:13">
      <c r="B1375" s="2"/>
      <c r="C1375" s="1">
        <v>11.7191942</v>
      </c>
      <c r="D1375" s="1">
        <v>0.63979538400000002</v>
      </c>
      <c r="E1375" s="1"/>
      <c r="H1375" s="2">
        <v>6.6915674699999999</v>
      </c>
      <c r="I1375" s="2">
        <v>9.5922948199999993</v>
      </c>
      <c r="J1375" s="2">
        <v>50.196028699999999</v>
      </c>
      <c r="L1375" s="2"/>
      <c r="M1375" s="2"/>
    </row>
    <row r="1376" spans="2:13">
      <c r="B1376" s="2"/>
      <c r="C1376" s="1">
        <v>8.3260014410000007</v>
      </c>
      <c r="D1376" s="1">
        <v>9.2341601999999995E-2</v>
      </c>
      <c r="E1376" s="1"/>
      <c r="H1376" s="2">
        <v>11.949652499999999</v>
      </c>
      <c r="I1376" s="2">
        <v>32.2126983</v>
      </c>
      <c r="J1376" s="2">
        <v>6.7437877899999998</v>
      </c>
      <c r="L1376" s="2"/>
      <c r="M1376" s="2"/>
    </row>
    <row r="1377" spans="2:13">
      <c r="B1377" s="2"/>
      <c r="C1377" s="1">
        <v>87.516599630000002</v>
      </c>
      <c r="D1377" s="1">
        <v>0.65958287000000004</v>
      </c>
      <c r="E1377" s="1"/>
      <c r="H1377" s="2">
        <v>67.290402400000005</v>
      </c>
      <c r="I1377" s="2">
        <v>6.98045442</v>
      </c>
      <c r="J1377" s="2">
        <v>1.0776155700000001</v>
      </c>
      <c r="L1377" s="2"/>
      <c r="M1377" s="2"/>
    </row>
    <row r="1378" spans="2:13">
      <c r="B1378" s="2"/>
      <c r="C1378" s="1">
        <v>5.977332434</v>
      </c>
      <c r="D1378" s="1">
        <v>5.9362458E-2</v>
      </c>
      <c r="E1378" s="1"/>
      <c r="H1378" s="2">
        <v>7.83359498</v>
      </c>
      <c r="I1378" s="2">
        <v>1.5546669099999999</v>
      </c>
      <c r="J1378" s="2">
        <v>19.118986</v>
      </c>
      <c r="L1378" s="2"/>
      <c r="M1378" s="2"/>
    </row>
    <row r="1379" spans="2:13">
      <c r="B1379" s="2"/>
      <c r="C1379" s="1">
        <v>2.137349173</v>
      </c>
      <c r="D1379" s="1">
        <v>0.30340812</v>
      </c>
      <c r="E1379" s="1"/>
      <c r="H1379" s="2">
        <v>1.79631411</v>
      </c>
      <c r="I1379" s="2">
        <v>20.117389800000002</v>
      </c>
      <c r="J1379" s="2">
        <v>1.9118986</v>
      </c>
      <c r="L1379" s="2"/>
      <c r="M1379" s="2"/>
    </row>
    <row r="1380" spans="2:13">
      <c r="B1380" s="2"/>
      <c r="C1380" s="1">
        <v>18.191618810000001</v>
      </c>
      <c r="D1380" s="1">
        <v>0.30340812</v>
      </c>
      <c r="E1380" s="1"/>
      <c r="H1380" s="2">
        <v>22.1743676</v>
      </c>
      <c r="I1380" s="2">
        <v>2.4097337099999998</v>
      </c>
      <c r="J1380" s="2">
        <v>5.4228396700000001</v>
      </c>
      <c r="L1380" s="2"/>
      <c r="M1380" s="2"/>
    </row>
    <row r="1381" spans="2:13">
      <c r="B1381" s="2"/>
      <c r="C1381" s="1">
        <v>2.5841396780000001</v>
      </c>
      <c r="D1381" s="1">
        <v>4.1619679080000003</v>
      </c>
      <c r="E1381" s="1"/>
      <c r="H1381" s="2">
        <v>2.8788610299999999</v>
      </c>
      <c r="I1381" s="2">
        <v>6.4363210000000004</v>
      </c>
      <c r="J1381" s="2">
        <v>6.1180755199999997</v>
      </c>
      <c r="L1381" s="2"/>
      <c r="M1381" s="2"/>
    </row>
    <row r="1382" spans="2:13">
      <c r="B1382" s="2"/>
      <c r="C1382" s="1">
        <v>3.634701137</v>
      </c>
      <c r="D1382" s="1">
        <v>0.44192052300000001</v>
      </c>
      <c r="E1382" s="1"/>
      <c r="H1382" s="2">
        <v>7.4945555600000002</v>
      </c>
      <c r="I1382" s="2">
        <v>6.5451476800000004</v>
      </c>
      <c r="J1382" s="2">
        <v>75.2245195</v>
      </c>
      <c r="L1382" s="2"/>
      <c r="M1382" s="2"/>
    </row>
    <row r="1383" spans="2:13">
      <c r="B1383" s="2"/>
      <c r="C1383" s="1">
        <v>10.52976542</v>
      </c>
      <c r="D1383" s="1">
        <v>0.74532864300000001</v>
      </c>
      <c r="E1383" s="1"/>
      <c r="H1383" s="2">
        <v>7.3636982399999997</v>
      </c>
      <c r="I1383" s="2">
        <v>43.965980199999997</v>
      </c>
      <c r="J1383" s="2">
        <v>4.3452240900000003</v>
      </c>
      <c r="L1383" s="2"/>
      <c r="M1383" s="2"/>
    </row>
    <row r="1384" spans="2:13">
      <c r="B1384" s="2"/>
      <c r="C1384" s="1">
        <v>85.874342630000001</v>
      </c>
      <c r="D1384" s="1">
        <v>1.543423915</v>
      </c>
      <c r="E1384" s="1"/>
      <c r="H1384" s="2">
        <v>78.561976099999995</v>
      </c>
      <c r="I1384" s="2">
        <v>5.7678142299999999</v>
      </c>
      <c r="J1384" s="2">
        <v>11.540915200000001</v>
      </c>
      <c r="L1384" s="2"/>
      <c r="M1384" s="2"/>
    </row>
    <row r="1385" spans="2:13">
      <c r="B1385" s="2"/>
      <c r="C1385" s="1">
        <v>6.864875735</v>
      </c>
      <c r="D1385" s="1">
        <v>506.23644839999997</v>
      </c>
      <c r="E1385" s="1"/>
      <c r="H1385" s="2">
        <v>8.8626093600000004</v>
      </c>
      <c r="I1385" s="2">
        <v>12.826002000000001</v>
      </c>
      <c r="J1385" s="2">
        <v>25.237061499999999</v>
      </c>
      <c r="L1385" s="2"/>
      <c r="M1385" s="2"/>
    </row>
    <row r="1386" spans="2:13">
      <c r="B1386" s="2"/>
      <c r="C1386" s="1">
        <v>8.1931718310000008</v>
      </c>
      <c r="D1386" s="1">
        <v>200.09105940000001</v>
      </c>
      <c r="E1386" s="1"/>
      <c r="H1386" s="2">
        <v>18.908882599999998</v>
      </c>
      <c r="I1386" s="2">
        <v>24.625923799999999</v>
      </c>
      <c r="J1386" s="2">
        <v>34.448936600000003</v>
      </c>
      <c r="L1386" s="2"/>
      <c r="M1386" s="2"/>
    </row>
    <row r="1387" spans="2:13">
      <c r="B1387" s="2"/>
      <c r="C1387" s="1">
        <v>12.564473530000001</v>
      </c>
      <c r="D1387" s="1">
        <v>0.35617474999999998</v>
      </c>
      <c r="E1387" s="1"/>
      <c r="H1387" s="2">
        <v>36.396178999999997</v>
      </c>
      <c r="I1387" s="2">
        <v>45.069793699999998</v>
      </c>
      <c r="J1387" s="2">
        <v>11.540915200000001</v>
      </c>
      <c r="L1387" s="2"/>
      <c r="M1387" s="2"/>
    </row>
    <row r="1388" spans="2:13">
      <c r="B1388" s="2"/>
      <c r="C1388" s="1">
        <v>30.882884239999999</v>
      </c>
      <c r="D1388" s="1">
        <v>0.21766234700000001</v>
      </c>
      <c r="E1388" s="1"/>
      <c r="H1388" s="2">
        <v>48.833572400000001</v>
      </c>
      <c r="I1388" s="2">
        <v>11.8310152</v>
      </c>
      <c r="J1388" s="2">
        <v>4.4147476799999996</v>
      </c>
      <c r="L1388" s="2"/>
      <c r="M1388" s="2"/>
    </row>
    <row r="1389" spans="2:13">
      <c r="B1389" s="2"/>
      <c r="C1389" s="1">
        <v>19.531990329999999</v>
      </c>
      <c r="D1389" s="1">
        <v>1.1674616790000001</v>
      </c>
      <c r="E1389" s="1"/>
      <c r="H1389" s="2">
        <v>14.025525399999999</v>
      </c>
      <c r="I1389" s="2">
        <v>5.2547741500000003</v>
      </c>
      <c r="J1389" s="2">
        <v>7.2304528899999996</v>
      </c>
      <c r="L1389" s="2"/>
      <c r="M1389" s="2"/>
    </row>
    <row r="1390" spans="2:13">
      <c r="B1390" s="2"/>
      <c r="C1390" s="1">
        <v>3.3448910789999999</v>
      </c>
      <c r="D1390" s="1">
        <v>0.37596223600000001</v>
      </c>
      <c r="E1390" s="1"/>
      <c r="H1390" s="2">
        <v>5.3473059100000002</v>
      </c>
      <c r="I1390" s="2">
        <v>11.6289085</v>
      </c>
      <c r="J1390" s="2">
        <v>9.8723491400000007</v>
      </c>
      <c r="L1390" s="2"/>
      <c r="M1390" s="2"/>
    </row>
    <row r="1391" spans="2:13">
      <c r="B1391" s="2"/>
      <c r="C1391" s="1">
        <v>6.623367354</v>
      </c>
      <c r="D1391" s="1">
        <v>0.67937035599999995</v>
      </c>
      <c r="E1391" s="1"/>
      <c r="H1391" s="2">
        <v>8.7674403999999999</v>
      </c>
      <c r="I1391" s="2">
        <v>8.7527746900000007</v>
      </c>
      <c r="J1391" s="2">
        <v>3.5109410699999999</v>
      </c>
      <c r="L1391" s="2"/>
      <c r="M1391" s="2"/>
    </row>
    <row r="1392" spans="2:13">
      <c r="B1392" s="2"/>
      <c r="C1392" s="1">
        <v>15.60747913</v>
      </c>
      <c r="D1392" s="1">
        <v>0.87064938800000002</v>
      </c>
      <c r="E1392" s="1"/>
      <c r="H1392" s="2">
        <v>12.443341500000001</v>
      </c>
      <c r="I1392" s="2">
        <v>3.0782404799999998</v>
      </c>
      <c r="J1392" s="2">
        <v>15.5385214</v>
      </c>
      <c r="L1392" s="2"/>
      <c r="M1392" s="2"/>
    </row>
    <row r="1393" spans="2:13">
      <c r="B1393" s="2"/>
      <c r="C1393" s="1">
        <v>9.2316578699999994</v>
      </c>
      <c r="D1393" s="1">
        <v>129.64760889999999</v>
      </c>
      <c r="E1393" s="1"/>
      <c r="H1393" s="2">
        <v>5.0915393299999998</v>
      </c>
      <c r="I1393" s="2">
        <v>16.3395492</v>
      </c>
      <c r="J1393" s="2">
        <v>15.1909034</v>
      </c>
      <c r="L1393" s="2"/>
      <c r="M1393" s="2"/>
    </row>
    <row r="1394" spans="2:13">
      <c r="B1394" s="2"/>
      <c r="C1394" s="1">
        <v>9.7871271469999996</v>
      </c>
      <c r="D1394" s="1">
        <v>0.39574972200000003</v>
      </c>
      <c r="E1394" s="1"/>
      <c r="H1394" s="2">
        <v>14.7571368</v>
      </c>
      <c r="I1394" s="2">
        <v>18.951389599999999</v>
      </c>
      <c r="J1394" s="2">
        <v>6.50045524</v>
      </c>
      <c r="L1394" s="2"/>
      <c r="M1394" s="2"/>
    </row>
    <row r="1395" spans="2:13">
      <c r="B1395" s="2"/>
      <c r="C1395" s="1">
        <v>20.884437259999999</v>
      </c>
      <c r="D1395" s="1">
        <v>0.81128692999999996</v>
      </c>
      <c r="E1395" s="1"/>
      <c r="H1395" s="2">
        <v>25.041332499999999</v>
      </c>
      <c r="I1395" s="2">
        <v>9.5612014799999994</v>
      </c>
      <c r="J1395" s="2">
        <v>5.5966486299999998</v>
      </c>
      <c r="L1395" s="2"/>
      <c r="M1395" s="2"/>
    </row>
    <row r="1396" spans="2:13">
      <c r="B1396" s="2"/>
      <c r="C1396" s="1">
        <v>16.036156510000001</v>
      </c>
      <c r="D1396" s="1">
        <v>0.63979538400000002</v>
      </c>
      <c r="E1396" s="1"/>
      <c r="H1396" s="2">
        <v>11.8306913</v>
      </c>
      <c r="I1396" s="2">
        <v>6.9338144100000001</v>
      </c>
      <c r="J1396" s="2">
        <v>18.979938799999999</v>
      </c>
      <c r="L1396" s="2"/>
      <c r="M1396" s="2"/>
    </row>
    <row r="1397" spans="2:13">
      <c r="B1397" s="2"/>
      <c r="C1397" s="1">
        <v>8.3260014410000007</v>
      </c>
      <c r="D1397" s="1">
        <v>0.54085795299999995</v>
      </c>
      <c r="E1397" s="1"/>
      <c r="H1397" s="2">
        <v>5.6268647300000003</v>
      </c>
      <c r="I1397" s="2">
        <v>14.2096555</v>
      </c>
      <c r="J1397" s="2">
        <v>14.391382200000001</v>
      </c>
      <c r="L1397" s="2"/>
      <c r="M1397" s="2"/>
    </row>
    <row r="1398" spans="2:13">
      <c r="B1398" s="2"/>
      <c r="C1398" s="1">
        <v>19.646706810000001</v>
      </c>
      <c r="D1398" s="1">
        <v>2.1502401550000001</v>
      </c>
      <c r="E1398" s="1"/>
      <c r="H1398" s="2">
        <v>24.9104752</v>
      </c>
      <c r="I1398" s="2">
        <v>15.8109625</v>
      </c>
      <c r="J1398" s="2">
        <v>11.2628208</v>
      </c>
      <c r="L1398" s="2"/>
      <c r="M1398" s="2"/>
    </row>
    <row r="1399" spans="2:13">
      <c r="B1399" s="2"/>
      <c r="C1399" s="1">
        <v>28.021009930000002</v>
      </c>
      <c r="D1399" s="1">
        <v>1.101503393</v>
      </c>
      <c r="E1399" s="1"/>
      <c r="H1399" s="2">
        <v>16.963867</v>
      </c>
      <c r="I1399" s="2">
        <v>9.4368281300000003</v>
      </c>
      <c r="J1399" s="2">
        <v>38.759398900000001</v>
      </c>
      <c r="L1399" s="2"/>
      <c r="M1399" s="2"/>
    </row>
    <row r="1400" spans="2:13">
      <c r="B1400" s="2"/>
      <c r="C1400" s="1">
        <v>8.4527933409999996</v>
      </c>
      <c r="D1400" s="1">
        <v>0.56064543899999997</v>
      </c>
      <c r="E1400" s="1"/>
      <c r="H1400" s="2">
        <v>14.8166174</v>
      </c>
      <c r="I1400" s="2">
        <v>34.202672</v>
      </c>
      <c r="J1400" s="2">
        <v>29.199905900000001</v>
      </c>
      <c r="L1400" s="2"/>
      <c r="M1400" s="2"/>
    </row>
    <row r="1401" spans="2:13">
      <c r="B1401" s="2"/>
      <c r="C1401" s="1">
        <v>30.99156301</v>
      </c>
      <c r="D1401" s="1">
        <v>240.76753500000001</v>
      </c>
      <c r="E1401" s="1"/>
      <c r="H1401" s="2">
        <v>47.0313102</v>
      </c>
      <c r="I1401" s="2">
        <v>22.2317368</v>
      </c>
      <c r="J1401" s="2">
        <v>16.581375099999999</v>
      </c>
      <c r="L1401" s="2"/>
      <c r="M1401" s="2"/>
    </row>
    <row r="1402" spans="2:13">
      <c r="B1402" s="2"/>
      <c r="C1402" s="1">
        <v>25.03838142</v>
      </c>
      <c r="D1402" s="1">
        <v>0.850861902</v>
      </c>
      <c r="E1402" s="1"/>
      <c r="H1402" s="2">
        <v>35.170878600000002</v>
      </c>
      <c r="I1402" s="2">
        <v>14.5827756</v>
      </c>
      <c r="J1402" s="2">
        <v>28.226575700000001</v>
      </c>
      <c r="L1402" s="2"/>
      <c r="M1402" s="2"/>
    </row>
    <row r="1403" spans="2:13">
      <c r="B1403" s="2"/>
      <c r="C1403" s="1">
        <v>23.23310627</v>
      </c>
      <c r="D1403" s="1">
        <v>1.2663991100000001</v>
      </c>
      <c r="E1403" s="1"/>
      <c r="H1403" s="2">
        <v>19.533428900000001</v>
      </c>
      <c r="I1403" s="2">
        <v>32.787925100000002</v>
      </c>
      <c r="J1403" s="2">
        <v>11.9232949</v>
      </c>
      <c r="L1403" s="2"/>
      <c r="M1403" s="2"/>
    </row>
    <row r="1404" spans="2:13">
      <c r="B1404" s="2"/>
      <c r="C1404" s="1">
        <v>17.50935763</v>
      </c>
      <c r="D1404" s="1">
        <v>0.57383709699999996</v>
      </c>
      <c r="E1404" s="1"/>
      <c r="H1404" s="2">
        <v>28.503103400000001</v>
      </c>
      <c r="I1404" s="2">
        <v>11.986481899999999</v>
      </c>
      <c r="J1404" s="2">
        <v>26.349438899999999</v>
      </c>
      <c r="L1404" s="2"/>
      <c r="M1404" s="2"/>
    </row>
    <row r="1405" spans="2:13">
      <c r="B1405" s="2"/>
      <c r="C1405" s="1">
        <v>8.4467556310000003</v>
      </c>
      <c r="D1405" s="1">
        <v>1.3917198550000001</v>
      </c>
      <c r="E1405" s="1"/>
      <c r="H1405" s="2">
        <v>13.930356400000001</v>
      </c>
      <c r="I1405" s="2">
        <v>24.936857199999999</v>
      </c>
      <c r="J1405" s="2">
        <v>18.319464799999999</v>
      </c>
      <c r="L1405" s="2"/>
      <c r="M1405" s="2"/>
    </row>
    <row r="1406" spans="2:13">
      <c r="B1406" s="2"/>
      <c r="C1406" s="1">
        <v>12.69126543</v>
      </c>
      <c r="D1406" s="1">
        <v>0.35617474999999998</v>
      </c>
      <c r="E1406" s="1"/>
      <c r="H1406" s="2">
        <v>31.578250400000002</v>
      </c>
      <c r="I1406" s="2">
        <v>26.6314441</v>
      </c>
      <c r="J1406" s="2">
        <v>19.675174699999999</v>
      </c>
      <c r="L1406" s="2"/>
      <c r="M1406" s="2"/>
    </row>
    <row r="1407" spans="2:13">
      <c r="B1407" s="2"/>
      <c r="C1407" s="1">
        <v>22.34556297</v>
      </c>
      <c r="D1407" s="1">
        <v>5.4085795320000001</v>
      </c>
      <c r="E1407" s="1"/>
      <c r="H1407" s="2">
        <v>18.980259400000001</v>
      </c>
      <c r="I1407" s="2">
        <v>20.4594165</v>
      </c>
      <c r="J1407" s="2">
        <v>6.9871203399999997</v>
      </c>
      <c r="L1407" s="2"/>
      <c r="M1407" s="2"/>
    </row>
    <row r="1408" spans="2:13">
      <c r="B1408" s="2"/>
      <c r="C1408" s="1">
        <v>32.494952689999998</v>
      </c>
      <c r="D1408" s="1">
        <v>0.81788275899999996</v>
      </c>
      <c r="E1408" s="1"/>
      <c r="H1408" s="2">
        <v>22.114887</v>
      </c>
      <c r="I1408" s="2">
        <v>10.618375</v>
      </c>
      <c r="J1408" s="2">
        <v>101.400149</v>
      </c>
      <c r="L1408" s="2"/>
      <c r="M1408" s="2"/>
    </row>
    <row r="1409" spans="2:13">
      <c r="B1409" s="2"/>
      <c r="C1409" s="1">
        <v>6.9373282490000001</v>
      </c>
      <c r="D1409" s="1">
        <v>0.850861902</v>
      </c>
      <c r="E1409" s="1"/>
      <c r="H1409" s="2">
        <v>11.3726907</v>
      </c>
      <c r="I1409" s="2">
        <v>128.990713</v>
      </c>
      <c r="J1409" s="2">
        <v>14.8780473</v>
      </c>
      <c r="L1409" s="2"/>
      <c r="M1409" s="2"/>
    </row>
    <row r="1410" spans="2:13">
      <c r="B1410" s="2"/>
      <c r="C1410" s="1">
        <v>101.40936929999999</v>
      </c>
      <c r="D1410" s="1">
        <v>0.13851240300000001</v>
      </c>
      <c r="E1410" s="1"/>
      <c r="H1410" s="2">
        <v>92.236565999999996</v>
      </c>
      <c r="I1410" s="2">
        <v>18.951389599999999</v>
      </c>
      <c r="J1410" s="2">
        <v>23.8465898</v>
      </c>
      <c r="L1410" s="2"/>
      <c r="M1410" s="2"/>
    </row>
    <row r="1411" spans="2:13">
      <c r="B1411" s="2"/>
      <c r="C1411" s="1">
        <v>24.09649873</v>
      </c>
      <c r="D1411" s="1">
        <v>9.8937430000000007E-2</v>
      </c>
      <c r="E1411" s="1"/>
      <c r="H1411" s="2">
        <v>18.248647999999999</v>
      </c>
      <c r="I1411" s="2">
        <v>19.215682999999999</v>
      </c>
      <c r="J1411" s="2">
        <v>3.3371320999999998</v>
      </c>
      <c r="L1411" s="2"/>
      <c r="M1411" s="2"/>
    </row>
    <row r="1412" spans="2:13">
      <c r="B1412" s="2"/>
      <c r="C1412" s="1">
        <v>24.953853479999999</v>
      </c>
      <c r="D1412" s="1">
        <v>6.5958287000000004E-2</v>
      </c>
      <c r="E1412" s="1"/>
      <c r="H1412" s="2">
        <v>20.6635603</v>
      </c>
      <c r="I1412" s="2">
        <v>9.0637080700000006</v>
      </c>
      <c r="J1412" s="2">
        <v>2.5723726600000001</v>
      </c>
      <c r="L1412" s="2"/>
      <c r="M1412" s="2"/>
    </row>
    <row r="1413" spans="2:13">
      <c r="B1413" s="2"/>
      <c r="C1413" s="1">
        <v>2.7592332549999998</v>
      </c>
      <c r="D1413" s="1">
        <v>533.81360819999998</v>
      </c>
      <c r="E1413" s="1"/>
      <c r="H1413" s="2">
        <v>4.8952533599999999</v>
      </c>
      <c r="I1413" s="2">
        <v>4.0576806300000001</v>
      </c>
      <c r="J1413" s="2">
        <v>3.1633231400000001</v>
      </c>
      <c r="L1413" s="2"/>
      <c r="M1413" s="2"/>
    </row>
    <row r="1414" spans="2:13">
      <c r="B1414" s="2"/>
      <c r="C1414" s="1">
        <v>4.7396019799999998</v>
      </c>
      <c r="D1414" s="1">
        <v>0.64639121200000005</v>
      </c>
      <c r="E1414" s="1"/>
      <c r="H1414" s="2">
        <v>3.6937452400000002</v>
      </c>
      <c r="I1414" s="2">
        <v>3.65346723</v>
      </c>
      <c r="J1414" s="2">
        <v>91.388753100000002</v>
      </c>
      <c r="L1414" s="2"/>
      <c r="M1414" s="2"/>
    </row>
    <row r="1415" spans="2:13">
      <c r="B1415" s="2"/>
      <c r="C1415" s="1">
        <v>1.974331016</v>
      </c>
      <c r="D1415" s="1">
        <v>0.73873281400000002</v>
      </c>
      <c r="E1415" s="1"/>
      <c r="H1415" s="2">
        <v>4.2826031799999997</v>
      </c>
      <c r="I1415" s="2">
        <v>41.074299699999997</v>
      </c>
      <c r="J1415" s="2">
        <v>11.193297299999999</v>
      </c>
      <c r="L1415" s="2"/>
      <c r="M1415" s="2"/>
    </row>
    <row r="1416" spans="2:13">
      <c r="B1416" s="2"/>
      <c r="C1416" s="1">
        <v>103.6372841</v>
      </c>
      <c r="D1416" s="1">
        <v>15.902542990000001</v>
      </c>
      <c r="E1416" s="1"/>
      <c r="H1416" s="2">
        <v>77.990962300000007</v>
      </c>
      <c r="I1416" s="2">
        <v>9.2347214300000005</v>
      </c>
      <c r="J1416" s="2">
        <v>8.3080684599999994</v>
      </c>
      <c r="L1416" s="2"/>
      <c r="M1416" s="2"/>
    </row>
    <row r="1417" spans="2:13">
      <c r="B1417" s="2"/>
      <c r="C1417" s="1">
        <v>21.771980559999999</v>
      </c>
      <c r="D1417" s="1">
        <v>2.9219521130000001</v>
      </c>
      <c r="E1417" s="1"/>
      <c r="H1417" s="2">
        <v>12.116198199999999</v>
      </c>
      <c r="I1417" s="2">
        <v>7.3535744699999999</v>
      </c>
      <c r="J1417" s="2">
        <v>26.697056799999999</v>
      </c>
      <c r="L1417" s="2"/>
      <c r="M1417" s="2"/>
    </row>
    <row r="1418" spans="2:13">
      <c r="B1418" s="2"/>
      <c r="C1418" s="1">
        <v>20.60670262</v>
      </c>
      <c r="D1418" s="1">
        <v>2.1832192990000001</v>
      </c>
      <c r="E1418" s="1"/>
      <c r="H1418" s="2">
        <v>11.8187952</v>
      </c>
      <c r="I1418" s="2">
        <v>16.992509299999998</v>
      </c>
      <c r="J1418" s="2">
        <v>29.582285599999999</v>
      </c>
      <c r="L1418" s="2"/>
      <c r="M1418" s="2"/>
    </row>
    <row r="1419" spans="2:13">
      <c r="B1419" s="2"/>
      <c r="C1419" s="1">
        <v>29.826285070000001</v>
      </c>
      <c r="D1419" s="1">
        <v>1.9919402669999999</v>
      </c>
      <c r="E1419" s="1"/>
      <c r="H1419" s="2">
        <v>31.691263500000002</v>
      </c>
      <c r="I1419" s="2">
        <v>40.716726299999998</v>
      </c>
      <c r="J1419" s="2">
        <v>29.4780002</v>
      </c>
      <c r="L1419" s="2"/>
      <c r="M1419" s="2"/>
    </row>
    <row r="1420" spans="2:13">
      <c r="B1420" s="2"/>
      <c r="C1420" s="1">
        <v>24.458761299999999</v>
      </c>
      <c r="D1420" s="1">
        <v>0.68596618499999995</v>
      </c>
      <c r="E1420" s="1"/>
      <c r="H1420" s="2">
        <v>48.125753199999998</v>
      </c>
      <c r="I1420" s="2">
        <v>27.331044200000001</v>
      </c>
      <c r="J1420" s="2">
        <v>20.578981299999999</v>
      </c>
      <c r="L1420" s="2"/>
      <c r="M1420" s="2"/>
    </row>
    <row r="1421" spans="2:13">
      <c r="B1421" s="2"/>
      <c r="C1421" s="1">
        <v>64.343870449999997</v>
      </c>
      <c r="D1421" s="1">
        <v>1.0619284200000001</v>
      </c>
      <c r="E1421" s="1"/>
      <c r="H1421" s="2">
        <v>30.150715999999999</v>
      </c>
      <c r="I1421" s="2">
        <v>23.988510399999999</v>
      </c>
      <c r="J1421" s="2">
        <v>6.1528373099999998</v>
      </c>
      <c r="L1421" s="2"/>
      <c r="M1421" s="2"/>
    </row>
    <row r="1422" spans="2:13">
      <c r="B1422" s="2"/>
      <c r="C1422" s="1">
        <v>27.640634219999999</v>
      </c>
      <c r="D1422" s="1">
        <v>1.536828087</v>
      </c>
      <c r="E1422" s="1"/>
      <c r="H1422" s="2">
        <v>29.502377500000001</v>
      </c>
      <c r="I1422" s="2">
        <v>6.8249877300000001</v>
      </c>
      <c r="J1422" s="2">
        <v>26.836103999999999</v>
      </c>
      <c r="L1422" s="2"/>
      <c r="M1422" s="2"/>
    </row>
    <row r="1423" spans="2:13">
      <c r="B1423" s="2"/>
      <c r="C1423" s="1">
        <v>10.37278497</v>
      </c>
      <c r="D1423" s="1">
        <v>2.9681229139999998</v>
      </c>
      <c r="E1423" s="1"/>
      <c r="H1423" s="2">
        <v>11.2299372</v>
      </c>
      <c r="I1423" s="2">
        <v>22.9935236</v>
      </c>
      <c r="J1423" s="2">
        <v>29.617047400000001</v>
      </c>
      <c r="L1423" s="2"/>
      <c r="M1423" s="2"/>
    </row>
    <row r="1424" spans="2:13">
      <c r="B1424" s="2"/>
      <c r="C1424" s="1">
        <v>13.46409225</v>
      </c>
      <c r="D1424" s="1">
        <v>1.2729949389999999</v>
      </c>
      <c r="E1424" s="1"/>
      <c r="H1424" s="2">
        <v>32.898719700000001</v>
      </c>
      <c r="I1424" s="2">
        <v>21.407763299999999</v>
      </c>
      <c r="J1424" s="2">
        <v>45.016521599999997</v>
      </c>
      <c r="L1424" s="2"/>
      <c r="M1424" s="2"/>
    </row>
    <row r="1425" spans="2:13">
      <c r="B1425" s="2"/>
      <c r="C1425" s="1">
        <v>22.484430289999999</v>
      </c>
      <c r="D1425" s="1">
        <v>211.3897139</v>
      </c>
      <c r="E1425" s="1"/>
      <c r="H1425" s="2">
        <v>40.4527559</v>
      </c>
      <c r="I1425" s="2">
        <v>36.876699100000003</v>
      </c>
      <c r="J1425" s="2">
        <v>25.654202999999999</v>
      </c>
      <c r="L1425" s="2"/>
      <c r="M1425" s="2"/>
    </row>
    <row r="1426" spans="2:13">
      <c r="B1426" s="2"/>
      <c r="C1426" s="1">
        <v>86.610943199999994</v>
      </c>
      <c r="D1426" s="1">
        <v>0.52766629600000003</v>
      </c>
      <c r="E1426" s="1"/>
      <c r="H1426" s="2">
        <v>54.234410799999999</v>
      </c>
      <c r="I1426" s="2">
        <v>19.2001363</v>
      </c>
      <c r="J1426" s="2">
        <v>8.6904481800000006</v>
      </c>
      <c r="L1426" s="2"/>
      <c r="M1426" s="2"/>
    </row>
    <row r="1427" spans="2:13">
      <c r="B1427" s="2"/>
      <c r="C1427" s="1">
        <v>48.935635730000001</v>
      </c>
      <c r="D1427" s="1">
        <v>0.88384104500000005</v>
      </c>
      <c r="E1427" s="1"/>
      <c r="H1427" s="2">
        <v>38.019999300000002</v>
      </c>
      <c r="I1427" s="2">
        <v>15.251282399999999</v>
      </c>
      <c r="J1427" s="2">
        <v>5.7704575900000004</v>
      </c>
      <c r="L1427" s="2"/>
      <c r="M1427" s="2"/>
    </row>
    <row r="1428" spans="2:13">
      <c r="B1428" s="2"/>
      <c r="C1428" s="1">
        <v>12.123720730000001</v>
      </c>
      <c r="D1428" s="1">
        <v>0.25723731900000002</v>
      </c>
      <c r="E1428" s="1"/>
      <c r="H1428" s="2">
        <v>13.6924341</v>
      </c>
      <c r="I1428" s="2">
        <v>3.7312005799999999</v>
      </c>
      <c r="J1428" s="2">
        <v>29.512761999999999</v>
      </c>
      <c r="L1428" s="2"/>
      <c r="M1428" s="2"/>
    </row>
    <row r="1429" spans="2:13">
      <c r="B1429" s="2"/>
      <c r="C1429" s="1">
        <v>12.781831070000001</v>
      </c>
      <c r="D1429" s="1">
        <v>3.1000394880000002</v>
      </c>
      <c r="E1429" s="1"/>
      <c r="H1429" s="2">
        <v>7.2149967400000001</v>
      </c>
      <c r="I1429" s="2">
        <v>12.592802000000001</v>
      </c>
      <c r="J1429" s="2">
        <v>2.6071344500000002</v>
      </c>
      <c r="L1429" s="2"/>
      <c r="M1429" s="2"/>
    </row>
    <row r="1430" spans="2:13">
      <c r="B1430" s="2"/>
      <c r="C1430" s="1">
        <v>7.3720433349999999</v>
      </c>
      <c r="D1430" s="1">
        <v>1.5302322580000001</v>
      </c>
      <c r="E1430" s="1"/>
      <c r="H1430" s="2">
        <v>32.1135758</v>
      </c>
      <c r="I1430" s="2">
        <v>5.8921875799999999</v>
      </c>
      <c r="J1430" s="2">
        <v>34.275127599999998</v>
      </c>
      <c r="L1430" s="2"/>
      <c r="M1430" s="2"/>
    </row>
    <row r="1431" spans="2:13">
      <c r="B1431" s="2"/>
      <c r="C1431" s="1">
        <v>5.0716760049999996</v>
      </c>
      <c r="D1431" s="1">
        <v>3.258339377</v>
      </c>
      <c r="E1431" s="1"/>
      <c r="H1431" s="2">
        <v>3.9911482399999998</v>
      </c>
      <c r="I1431" s="2">
        <v>54.770915199999997</v>
      </c>
      <c r="J1431" s="2">
        <v>50.022219700000001</v>
      </c>
      <c r="L1431" s="2"/>
      <c r="M1431" s="2"/>
    </row>
    <row r="1432" spans="2:13">
      <c r="B1432" s="2"/>
      <c r="C1432" s="1">
        <v>54.719761460000001</v>
      </c>
      <c r="D1432" s="1">
        <v>415.70869950000002</v>
      </c>
      <c r="E1432" s="1"/>
      <c r="H1432" s="2">
        <v>47.9711037</v>
      </c>
      <c r="I1432" s="2">
        <v>32.010591599999998</v>
      </c>
      <c r="J1432" s="2">
        <v>44.112715000000001</v>
      </c>
      <c r="L1432" s="2"/>
      <c r="M1432" s="2"/>
    </row>
    <row r="1433" spans="2:13">
      <c r="B1433" s="2"/>
      <c r="C1433" s="1">
        <v>13.989372980000001</v>
      </c>
      <c r="D1433" s="1">
        <v>1.2004408230000001</v>
      </c>
      <c r="E1433" s="1"/>
      <c r="H1433" s="2">
        <v>46.079620599999998</v>
      </c>
      <c r="I1433" s="2">
        <v>27.952911</v>
      </c>
      <c r="J1433" s="2">
        <v>15.1213798</v>
      </c>
      <c r="L1433" s="2"/>
      <c r="M1433" s="2"/>
    </row>
    <row r="1434" spans="2:13">
      <c r="B1434" s="2"/>
      <c r="C1434" s="1">
        <v>63.226894190000003</v>
      </c>
      <c r="D1434" s="1">
        <v>4.7358050049999996</v>
      </c>
      <c r="E1434" s="1"/>
      <c r="H1434" s="2">
        <v>47.287076800000001</v>
      </c>
      <c r="I1434" s="2">
        <v>13.3390421</v>
      </c>
      <c r="J1434" s="2">
        <v>15.8861393</v>
      </c>
      <c r="L1434" s="2"/>
      <c r="M1434" s="2"/>
    </row>
    <row r="1435" spans="2:13">
      <c r="B1435" s="2"/>
      <c r="C1435" s="1">
        <v>47.281303319999999</v>
      </c>
      <c r="D1435" s="1">
        <v>0.96958681899999999</v>
      </c>
      <c r="E1435" s="1"/>
      <c r="H1435" s="2">
        <v>19.699974600000001</v>
      </c>
      <c r="I1435" s="2">
        <v>19.977469800000001</v>
      </c>
      <c r="J1435" s="2">
        <v>46.0593754</v>
      </c>
      <c r="L1435" s="2"/>
      <c r="M1435" s="2"/>
    </row>
    <row r="1436" spans="2:13">
      <c r="B1436" s="2"/>
      <c r="C1436" s="1">
        <v>22.031602070000002</v>
      </c>
      <c r="D1436" s="1">
        <v>0.93660767499999997</v>
      </c>
      <c r="E1436" s="1"/>
      <c r="H1436" s="2">
        <v>20.562443300000002</v>
      </c>
      <c r="I1436" s="2">
        <v>52.501101499999997</v>
      </c>
      <c r="J1436" s="2">
        <v>9.90711093</v>
      </c>
      <c r="L1436" s="2"/>
      <c r="M1436" s="2"/>
    </row>
    <row r="1437" spans="2:13">
      <c r="B1437" s="2"/>
      <c r="C1437" s="1">
        <v>65.315941690000002</v>
      </c>
      <c r="D1437" s="1">
        <v>2.4140733029999999</v>
      </c>
      <c r="E1437" s="1"/>
      <c r="H1437" s="2">
        <v>53.4433188</v>
      </c>
      <c r="I1437" s="2">
        <v>9.5767481500000002</v>
      </c>
      <c r="J1437" s="2">
        <v>17.172325600000001</v>
      </c>
      <c r="L1437" s="2"/>
      <c r="M1437" s="2"/>
    </row>
    <row r="1438" spans="2:13">
      <c r="B1438" s="2"/>
      <c r="C1438" s="1">
        <v>34.710792079999997</v>
      </c>
      <c r="D1438" s="1">
        <v>0.34298309199999999</v>
      </c>
      <c r="E1438" s="1"/>
      <c r="H1438" s="2">
        <v>15.3281505</v>
      </c>
      <c r="I1438" s="2">
        <v>20.350589800000002</v>
      </c>
      <c r="J1438" s="2">
        <v>24.785158200000001</v>
      </c>
      <c r="L1438" s="2"/>
      <c r="M1438" s="2"/>
    </row>
    <row r="1439" spans="2:13">
      <c r="B1439" s="2"/>
      <c r="C1439" s="1">
        <v>16.7244554</v>
      </c>
      <c r="D1439" s="1">
        <v>0.21106651800000001</v>
      </c>
      <c r="E1439" s="1"/>
      <c r="H1439" s="2">
        <v>16.850853900000001</v>
      </c>
      <c r="I1439" s="2">
        <v>24.579283799999999</v>
      </c>
      <c r="J1439" s="2">
        <v>8.7947335599999992</v>
      </c>
      <c r="L1439" s="2"/>
      <c r="M1439" s="2"/>
    </row>
    <row r="1440" spans="2:13">
      <c r="B1440" s="2"/>
      <c r="C1440" s="1">
        <v>71.987610720000006</v>
      </c>
      <c r="D1440" s="1">
        <v>1.1674616790000001</v>
      </c>
      <c r="E1440" s="1"/>
      <c r="H1440" s="2">
        <v>31.697211599999999</v>
      </c>
      <c r="I1440" s="2">
        <v>9.1258947500000005</v>
      </c>
      <c r="J1440" s="2">
        <v>7.1609293000000003</v>
      </c>
      <c r="L1440" s="2"/>
      <c r="M1440" s="2"/>
    </row>
    <row r="1441" spans="2:13">
      <c r="B1441" s="2"/>
      <c r="C1441" s="1">
        <v>6.2369539439999997</v>
      </c>
      <c r="D1441" s="1">
        <v>31.330186309999998</v>
      </c>
      <c r="E1441" s="1"/>
      <c r="H1441" s="2">
        <v>11.7236262</v>
      </c>
      <c r="I1441" s="2">
        <v>7.7577878699999996</v>
      </c>
      <c r="J1441" s="2">
        <v>13.904717099999999</v>
      </c>
      <c r="L1441" s="2"/>
      <c r="M1441" s="2"/>
    </row>
    <row r="1442" spans="2:13">
      <c r="B1442" s="2"/>
      <c r="C1442" s="1">
        <v>2.8920628640000001</v>
      </c>
      <c r="D1442" s="1">
        <v>1.477465628</v>
      </c>
      <c r="E1442" s="1"/>
      <c r="H1442" s="2">
        <v>6.5547620899999997</v>
      </c>
      <c r="I1442" s="2">
        <v>24.796937199999999</v>
      </c>
      <c r="J1442" s="2">
        <v>196.995079</v>
      </c>
      <c r="L1442" s="2"/>
      <c r="M1442" s="2"/>
    </row>
    <row r="1443" spans="2:13">
      <c r="B1443" s="2"/>
      <c r="C1443" s="1">
        <v>13.572771019999999</v>
      </c>
      <c r="D1443" s="1">
        <v>1.4444864850000001</v>
      </c>
      <c r="E1443" s="1"/>
      <c r="H1443" s="2">
        <v>20.306676700000001</v>
      </c>
      <c r="I1443" s="2">
        <v>193.758137</v>
      </c>
      <c r="J1443" s="2">
        <v>19.709936500000001</v>
      </c>
      <c r="L1443" s="2"/>
      <c r="M1443" s="2"/>
    </row>
    <row r="1444" spans="2:13">
      <c r="B1444" s="2"/>
      <c r="C1444" s="1">
        <v>181.11921050000001</v>
      </c>
      <c r="D1444" s="1">
        <v>4.419205227</v>
      </c>
      <c r="E1444" s="1"/>
      <c r="H1444" s="2">
        <v>185.020353</v>
      </c>
      <c r="I1444" s="2">
        <v>28.885711100000002</v>
      </c>
      <c r="J1444" s="2">
        <v>13.6613845</v>
      </c>
      <c r="L1444" s="2"/>
      <c r="M1444" s="2"/>
    </row>
    <row r="1445" spans="2:13">
      <c r="B1445" s="2"/>
      <c r="C1445" s="1">
        <v>23.29348336</v>
      </c>
      <c r="D1445" s="1">
        <v>1.0223534480000001</v>
      </c>
      <c r="E1445" s="1"/>
      <c r="H1445" s="2">
        <v>26.748425699999999</v>
      </c>
      <c r="I1445" s="2">
        <v>11.6755485</v>
      </c>
      <c r="J1445" s="2">
        <v>24.8894436</v>
      </c>
      <c r="L1445" s="2"/>
      <c r="M1445" s="2"/>
    </row>
    <row r="1446" spans="2:13">
      <c r="B1446" s="2"/>
      <c r="C1446" s="1">
        <v>18.741050380000001</v>
      </c>
      <c r="D1446" s="1">
        <v>0.64639121200000005</v>
      </c>
      <c r="E1446" s="1"/>
      <c r="H1446" s="2">
        <v>14.5727469</v>
      </c>
      <c r="I1446" s="2">
        <v>17.4122694</v>
      </c>
      <c r="J1446" s="2">
        <v>25.0284908</v>
      </c>
      <c r="L1446" s="2"/>
      <c r="M1446" s="2"/>
    </row>
    <row r="1447" spans="2:13">
      <c r="B1447" s="2"/>
      <c r="C1447" s="1">
        <v>11.74334503</v>
      </c>
      <c r="D1447" s="1">
        <v>0.19127903199999999</v>
      </c>
      <c r="E1447" s="1"/>
      <c r="H1447" s="2">
        <v>31.881601400000001</v>
      </c>
      <c r="I1447" s="2">
        <v>30.144991300000001</v>
      </c>
      <c r="J1447" s="2">
        <v>7.36950006</v>
      </c>
      <c r="L1447" s="2"/>
      <c r="M1447" s="2"/>
    </row>
    <row r="1448" spans="2:13">
      <c r="B1448" s="2"/>
      <c r="C1448" s="1">
        <v>25.461021079999998</v>
      </c>
      <c r="D1448" s="1">
        <v>0.54745378200000006</v>
      </c>
      <c r="E1448" s="1"/>
      <c r="H1448" s="2">
        <v>26.0168143</v>
      </c>
      <c r="I1448" s="2">
        <v>9.1414414199999996</v>
      </c>
      <c r="J1448" s="2">
        <v>8.6209246000000004</v>
      </c>
      <c r="L1448" s="2"/>
      <c r="M1448" s="2"/>
    </row>
    <row r="1449" spans="2:13">
      <c r="B1449" s="2"/>
      <c r="C1449" s="1">
        <v>6.9856299249999996</v>
      </c>
      <c r="D1449" s="1">
        <v>0.89043687400000004</v>
      </c>
      <c r="E1449" s="1"/>
      <c r="H1449" s="2">
        <v>11.7593146</v>
      </c>
      <c r="I1449" s="2">
        <v>10.167521600000001</v>
      </c>
      <c r="J1449" s="2">
        <v>11.610438800000001</v>
      </c>
      <c r="L1449" s="2"/>
      <c r="M1449" s="2"/>
    </row>
    <row r="1450" spans="2:13">
      <c r="B1450" s="2"/>
      <c r="C1450" s="1">
        <v>4.0814916419999996</v>
      </c>
      <c r="D1450" s="1">
        <v>1.4049115130000001</v>
      </c>
      <c r="E1450" s="1"/>
      <c r="H1450" s="2">
        <v>9.1243239900000006</v>
      </c>
      <c r="I1450" s="2">
        <v>26.6780841</v>
      </c>
      <c r="J1450" s="2">
        <v>15.7123303</v>
      </c>
      <c r="L1450" s="2"/>
      <c r="M1450" s="2"/>
    </row>
    <row r="1451" spans="2:13">
      <c r="B1451" s="2"/>
      <c r="C1451" s="1">
        <v>17.461055959999999</v>
      </c>
      <c r="D1451" s="1">
        <v>1.9787486089999999</v>
      </c>
      <c r="E1451" s="1"/>
      <c r="H1451" s="2">
        <v>16.940074800000001</v>
      </c>
      <c r="I1451" s="2">
        <v>26.833550800000001</v>
      </c>
      <c r="J1451" s="2">
        <v>30.833710199999999</v>
      </c>
      <c r="L1451" s="2"/>
      <c r="M1451" s="2"/>
    </row>
    <row r="1452" spans="2:13">
      <c r="B1452" s="2"/>
      <c r="C1452" s="1">
        <v>26.336488970000001</v>
      </c>
      <c r="D1452" s="1">
        <v>0.224258176</v>
      </c>
      <c r="E1452" s="1"/>
      <c r="H1452" s="2">
        <v>24.5773838</v>
      </c>
      <c r="I1452" s="2">
        <v>21.7342434</v>
      </c>
      <c r="J1452" s="2">
        <v>20.196601600000001</v>
      </c>
      <c r="L1452" s="2"/>
      <c r="M1452" s="2"/>
    </row>
    <row r="1453" spans="2:13">
      <c r="B1453" s="2"/>
      <c r="C1453" s="1">
        <v>26.016490359999999</v>
      </c>
      <c r="D1453" s="1">
        <v>1.0817159059999999</v>
      </c>
      <c r="E1453" s="1"/>
      <c r="H1453" s="2">
        <v>36.717374200000002</v>
      </c>
      <c r="I1453" s="2">
        <v>24.377177100000001</v>
      </c>
      <c r="J1453" s="2">
        <v>3.7890354099999999</v>
      </c>
      <c r="L1453" s="2"/>
      <c r="M1453" s="2"/>
    </row>
    <row r="1454" spans="2:13">
      <c r="B1454" s="2"/>
      <c r="C1454" s="1">
        <v>41.316046309999997</v>
      </c>
      <c r="D1454" s="1">
        <v>0.20447069000000001</v>
      </c>
      <c r="E1454" s="1"/>
      <c r="H1454" s="2">
        <v>26.587828099999999</v>
      </c>
      <c r="I1454" s="2">
        <v>6.3896809899999996</v>
      </c>
      <c r="J1454" s="2">
        <v>24.1942077</v>
      </c>
      <c r="L1454" s="2"/>
      <c r="M1454" s="2"/>
    </row>
    <row r="1455" spans="2:13">
      <c r="B1455" s="2"/>
      <c r="C1455" s="1">
        <v>3.3026271120000001</v>
      </c>
      <c r="D1455" s="1">
        <v>94.768866729999999</v>
      </c>
      <c r="E1455" s="1"/>
      <c r="H1455" s="2">
        <v>4.6037984200000004</v>
      </c>
      <c r="I1455" s="2">
        <v>34.311498700000001</v>
      </c>
      <c r="J1455" s="2">
        <v>3.7542736099999998</v>
      </c>
      <c r="L1455" s="2"/>
      <c r="M1455" s="2"/>
    </row>
    <row r="1456" spans="2:13">
      <c r="B1456" s="2"/>
      <c r="C1456" s="1">
        <v>43.447357770000004</v>
      </c>
      <c r="D1456" s="1">
        <v>0.224258176</v>
      </c>
      <c r="E1456" s="1"/>
      <c r="H1456" s="2">
        <v>50.142145499999998</v>
      </c>
      <c r="I1456" s="2">
        <v>5.5812542000000001</v>
      </c>
      <c r="J1456" s="2">
        <v>12.688054299999999</v>
      </c>
      <c r="L1456" s="2"/>
      <c r="M1456" s="2"/>
    </row>
    <row r="1457" spans="2:13">
      <c r="B1457" s="2"/>
      <c r="C1457" s="1">
        <v>4.9750726519999997</v>
      </c>
      <c r="D1457" s="1">
        <v>0.15170406</v>
      </c>
      <c r="E1457" s="1"/>
      <c r="H1457" s="2">
        <v>5.9302157900000001</v>
      </c>
      <c r="I1457" s="2">
        <v>23.615390300000001</v>
      </c>
      <c r="J1457" s="2">
        <v>5.2142689100000004</v>
      </c>
      <c r="L1457" s="2"/>
      <c r="M1457" s="2"/>
    </row>
    <row r="1458" spans="2:13">
      <c r="B1458" s="2"/>
      <c r="C1458" s="1">
        <v>24.307818560000001</v>
      </c>
      <c r="D1458" s="1">
        <v>116.2844599</v>
      </c>
      <c r="E1458" s="1"/>
      <c r="H1458" s="2">
        <v>17.3207506</v>
      </c>
      <c r="I1458" s="2">
        <v>3.54464055</v>
      </c>
      <c r="J1458" s="2">
        <v>1.8076132199999999</v>
      </c>
      <c r="L1458" s="2"/>
      <c r="M1458" s="2"/>
    </row>
    <row r="1459" spans="2:13">
      <c r="B1459" s="2"/>
      <c r="C1459" s="1">
        <v>3.737342199</v>
      </c>
      <c r="D1459" s="1">
        <v>0.73213698500000002</v>
      </c>
      <c r="E1459" s="1"/>
      <c r="H1459" s="2">
        <v>7.4588672000000003</v>
      </c>
      <c r="I1459" s="2">
        <v>2.4252803799999998</v>
      </c>
      <c r="J1459" s="2">
        <v>8.0994977099999996</v>
      </c>
      <c r="L1459" s="2"/>
      <c r="M1459" s="2"/>
    </row>
    <row r="1460" spans="2:13">
      <c r="B1460" s="2"/>
      <c r="C1460" s="1">
        <v>4.7396019799999998</v>
      </c>
      <c r="D1460" s="1">
        <v>0.481495495</v>
      </c>
      <c r="E1460" s="1"/>
      <c r="H1460" s="2">
        <v>3.9970962999999999</v>
      </c>
      <c r="I1460" s="2">
        <v>8.7994146999999998</v>
      </c>
      <c r="J1460" s="2">
        <v>7.6475944</v>
      </c>
      <c r="L1460" s="2"/>
      <c r="M1460" s="2"/>
    </row>
    <row r="1461" spans="2:13">
      <c r="B1461" s="2"/>
      <c r="C1461" s="1">
        <v>8.4527933409999996</v>
      </c>
      <c r="D1461" s="1">
        <v>0.54745378200000006</v>
      </c>
      <c r="E1461" s="1"/>
      <c r="H1461" s="2">
        <v>10.902793900000001</v>
      </c>
      <c r="I1461" s="2">
        <v>11.3957084</v>
      </c>
      <c r="J1461" s="2">
        <v>6.9175967500000004</v>
      </c>
      <c r="L1461" s="2"/>
      <c r="M1461" s="2"/>
    </row>
    <row r="1462" spans="2:13">
      <c r="B1462" s="2"/>
      <c r="C1462" s="1">
        <v>20.383307370000001</v>
      </c>
      <c r="D1462" s="1">
        <v>2.5921606779999999</v>
      </c>
      <c r="E1462" s="1"/>
      <c r="H1462" s="2">
        <v>11.4738077</v>
      </c>
      <c r="I1462" s="2">
        <v>5.3791475000000002</v>
      </c>
      <c r="J1462" s="2">
        <v>6.2918844800000002</v>
      </c>
      <c r="L1462" s="2"/>
      <c r="M1462" s="2"/>
    </row>
    <row r="1463" spans="2:13">
      <c r="B1463" s="2"/>
      <c r="C1463" s="1">
        <v>20.89047497</v>
      </c>
      <c r="D1463" s="1">
        <v>0.50128298100000002</v>
      </c>
      <c r="E1463" s="1"/>
      <c r="H1463" s="2">
        <v>10.1652345</v>
      </c>
      <c r="I1463" s="2">
        <v>6.1253876199999997</v>
      </c>
      <c r="J1463" s="2">
        <v>38.272733799999997</v>
      </c>
      <c r="L1463" s="2"/>
      <c r="M1463" s="2"/>
    </row>
    <row r="1464" spans="2:13">
      <c r="B1464" s="2"/>
      <c r="C1464" s="1">
        <v>14.188617389999999</v>
      </c>
      <c r="D1464" s="1">
        <v>826.60244409999996</v>
      </c>
      <c r="E1464" s="1"/>
      <c r="H1464" s="2">
        <v>9.90946791</v>
      </c>
      <c r="I1464" s="2">
        <v>52.112434800000003</v>
      </c>
      <c r="J1464" s="2">
        <v>8.6556863899999996</v>
      </c>
      <c r="L1464" s="2"/>
      <c r="M1464" s="2"/>
    </row>
    <row r="1465" spans="2:13">
      <c r="B1465" s="2"/>
      <c r="C1465" s="1">
        <v>14.762199799999999</v>
      </c>
      <c r="D1465" s="1">
        <v>1.6093822019999999</v>
      </c>
      <c r="E1465" s="1"/>
      <c r="H1465" s="2">
        <v>54.739995899999997</v>
      </c>
      <c r="I1465" s="2">
        <v>16.681575899999999</v>
      </c>
      <c r="J1465" s="2">
        <v>6.9523585499999996</v>
      </c>
      <c r="L1465" s="2"/>
      <c r="M1465" s="2"/>
    </row>
    <row r="1466" spans="2:13">
      <c r="B1466" s="2"/>
      <c r="C1466" s="1">
        <v>13.693525210000001</v>
      </c>
      <c r="D1466" s="1">
        <v>0.63979538400000002</v>
      </c>
      <c r="E1466" s="1"/>
      <c r="H1466" s="2">
        <v>10.296091799999999</v>
      </c>
      <c r="I1466" s="2">
        <v>14.4739489</v>
      </c>
      <c r="J1466" s="2">
        <v>8.5166392200000001</v>
      </c>
      <c r="L1466" s="2"/>
      <c r="M1466" s="2"/>
    </row>
    <row r="1467" spans="2:13">
      <c r="B1467" s="2"/>
      <c r="C1467" s="1">
        <v>6.3094064579999998</v>
      </c>
      <c r="D1467" s="1">
        <v>3.5617474969999998</v>
      </c>
      <c r="E1467" s="1"/>
      <c r="H1467" s="2">
        <v>10.8849497</v>
      </c>
      <c r="I1467" s="2">
        <v>6.2808543099999996</v>
      </c>
      <c r="J1467" s="2">
        <v>11.9232949</v>
      </c>
      <c r="L1467" s="2"/>
      <c r="M1467" s="2"/>
    </row>
    <row r="1468" spans="2:13">
      <c r="B1468" s="2"/>
      <c r="C1468" s="1">
        <v>16.531248690000002</v>
      </c>
      <c r="D1468" s="1">
        <v>1.0751200780000001</v>
      </c>
      <c r="E1468" s="1"/>
      <c r="H1468" s="2">
        <v>11.9674967</v>
      </c>
      <c r="I1468" s="2">
        <v>12.173041899999999</v>
      </c>
      <c r="J1468" s="2">
        <v>47.971274000000001</v>
      </c>
      <c r="L1468" s="2"/>
      <c r="M1468" s="2"/>
    </row>
    <row r="1469" spans="2:13">
      <c r="B1469" s="2"/>
      <c r="C1469" s="1">
        <v>7.3478924970000001</v>
      </c>
      <c r="D1469" s="1">
        <v>1.002565962</v>
      </c>
      <c r="E1469" s="1"/>
      <c r="H1469" s="2">
        <v>13.686486</v>
      </c>
      <c r="I1469" s="2">
        <v>34.078298599999997</v>
      </c>
      <c r="J1469" s="2">
        <v>17.6589907</v>
      </c>
      <c r="L1469" s="2"/>
      <c r="M1469" s="2"/>
    </row>
    <row r="1470" spans="2:13">
      <c r="B1470" s="2"/>
      <c r="C1470" s="1">
        <v>68.70913444</v>
      </c>
      <c r="D1470" s="1">
        <v>4.8281466069999999</v>
      </c>
      <c r="E1470" s="1"/>
      <c r="H1470" s="2">
        <v>55.429970900000001</v>
      </c>
      <c r="I1470" s="2">
        <v>15.297922399999999</v>
      </c>
      <c r="J1470" s="2">
        <v>11.7147241</v>
      </c>
      <c r="L1470" s="2"/>
      <c r="M1470" s="2"/>
    </row>
    <row r="1471" spans="2:13">
      <c r="B1471" s="2"/>
      <c r="C1471" s="1">
        <v>30.65948899</v>
      </c>
      <c r="D1471" s="1">
        <v>257.02625269999999</v>
      </c>
      <c r="E1471" s="1"/>
      <c r="H1471" s="2">
        <v>19.908156699999999</v>
      </c>
      <c r="I1471" s="2">
        <v>9.2502680999999995</v>
      </c>
      <c r="J1471" s="2">
        <v>61.1807552</v>
      </c>
      <c r="L1471" s="2"/>
      <c r="M1471" s="2"/>
    </row>
    <row r="1472" spans="2:13">
      <c r="B1472" s="2"/>
      <c r="C1472" s="1">
        <v>17.781054560000001</v>
      </c>
      <c r="D1472" s="1">
        <v>152.8451384</v>
      </c>
      <c r="E1472" s="1"/>
      <c r="H1472" s="2">
        <v>14.661967799999999</v>
      </c>
      <c r="I1472" s="2">
        <v>122.91196600000001</v>
      </c>
      <c r="J1472" s="2">
        <v>55.792677300000001</v>
      </c>
      <c r="L1472" s="2"/>
      <c r="M1472" s="2"/>
    </row>
    <row r="1473" spans="2:13">
      <c r="B1473" s="2"/>
      <c r="C1473" s="1">
        <v>87.927163870000001</v>
      </c>
      <c r="D1473" s="1">
        <v>0.57383709699999996</v>
      </c>
      <c r="E1473" s="1"/>
      <c r="H1473" s="2">
        <v>72.167811599999993</v>
      </c>
      <c r="I1473" s="2">
        <v>83.672173000000001</v>
      </c>
      <c r="J1473" s="2">
        <v>15.051856300000001</v>
      </c>
      <c r="L1473" s="2"/>
      <c r="M1473" s="2"/>
    </row>
    <row r="1474" spans="2:13">
      <c r="B1474" s="2"/>
      <c r="C1474" s="1">
        <v>49.068465340000003</v>
      </c>
      <c r="D1474" s="1">
        <v>123.11114259999999</v>
      </c>
      <c r="E1474" s="1"/>
      <c r="H1474" s="2">
        <v>55.507295599999999</v>
      </c>
      <c r="I1474" s="2">
        <v>20.770349899999999</v>
      </c>
      <c r="J1474" s="2">
        <v>12.6185308</v>
      </c>
      <c r="L1474" s="2"/>
      <c r="M1474" s="2"/>
    </row>
    <row r="1475" spans="2:13">
      <c r="B1475" s="2"/>
      <c r="C1475" s="1">
        <v>15.396159300000001</v>
      </c>
      <c r="D1475" s="1">
        <v>0.56724126799999997</v>
      </c>
      <c r="E1475" s="1"/>
      <c r="H1475" s="2">
        <v>16.030021600000001</v>
      </c>
      <c r="I1475" s="2">
        <v>16.230722499999999</v>
      </c>
      <c r="J1475" s="2">
        <v>3.7890354099999999</v>
      </c>
      <c r="L1475" s="2"/>
      <c r="M1475" s="2"/>
    </row>
    <row r="1476" spans="2:13">
      <c r="B1476" s="2"/>
      <c r="C1476" s="1">
        <v>10.904103409999999</v>
      </c>
      <c r="D1476" s="1">
        <v>1.8006612340000001</v>
      </c>
      <c r="E1476" s="1"/>
      <c r="H1476" s="2">
        <v>16.8984384</v>
      </c>
      <c r="I1476" s="2">
        <v>5.1614941300000003</v>
      </c>
      <c r="J1476" s="2">
        <v>13.696146300000001</v>
      </c>
      <c r="L1476" s="2"/>
      <c r="M1476" s="2"/>
    </row>
    <row r="1477" spans="2:13">
      <c r="B1477" s="2"/>
      <c r="C1477" s="1">
        <v>4.3169623130000003</v>
      </c>
      <c r="D1477" s="1">
        <v>155.49666149999999</v>
      </c>
      <c r="E1477" s="1"/>
      <c r="H1477" s="2">
        <v>5.3175656099999999</v>
      </c>
      <c r="I1477" s="2">
        <v>10.3696283</v>
      </c>
      <c r="J1477" s="2">
        <v>27.600863400000001</v>
      </c>
      <c r="L1477" s="2"/>
      <c r="M1477" s="2"/>
    </row>
    <row r="1478" spans="2:13">
      <c r="B1478" s="2"/>
      <c r="C1478" s="1">
        <v>17.497282219999999</v>
      </c>
      <c r="D1478" s="1">
        <v>0.54745378200000006</v>
      </c>
      <c r="E1478" s="1"/>
      <c r="H1478" s="2">
        <v>15.762358900000001</v>
      </c>
      <c r="I1478" s="2">
        <v>22.014083400000001</v>
      </c>
      <c r="J1478" s="2">
        <v>16.268519000000001</v>
      </c>
      <c r="L1478" s="2"/>
      <c r="M1478" s="2"/>
    </row>
    <row r="1479" spans="2:13">
      <c r="B1479" s="2"/>
      <c r="C1479" s="1">
        <v>22.230846490000001</v>
      </c>
      <c r="D1479" s="1">
        <v>0.33638726400000002</v>
      </c>
      <c r="E1479" s="1"/>
      <c r="H1479" s="2">
        <v>34.599864799999999</v>
      </c>
      <c r="I1479" s="2">
        <v>20.661523200000001</v>
      </c>
      <c r="J1479" s="2">
        <v>10.359014200000001</v>
      </c>
      <c r="L1479" s="2"/>
      <c r="M1479" s="2"/>
    </row>
    <row r="1480" spans="2:13">
      <c r="B1480" s="2"/>
      <c r="C1480" s="1">
        <v>17.521433049999999</v>
      </c>
      <c r="D1480" s="1">
        <v>7.0641325349999997</v>
      </c>
      <c r="E1480" s="1"/>
      <c r="H1480" s="2">
        <v>18.224855699999999</v>
      </c>
      <c r="I1480" s="2">
        <v>12.219681899999999</v>
      </c>
      <c r="J1480" s="2">
        <v>14.356620400000001</v>
      </c>
      <c r="L1480" s="2"/>
      <c r="M1480" s="2"/>
    </row>
    <row r="1481" spans="2:13">
      <c r="B1481" s="2"/>
      <c r="C1481" s="1">
        <v>14.2550322</v>
      </c>
      <c r="D1481" s="1">
        <v>144.91695229999999</v>
      </c>
      <c r="E1481" s="1"/>
      <c r="H1481" s="2">
        <v>15.893216199999999</v>
      </c>
      <c r="I1481" s="2">
        <v>10.431815</v>
      </c>
      <c r="J1481" s="2">
        <v>76.0240407</v>
      </c>
      <c r="L1481" s="2"/>
      <c r="M1481" s="2"/>
    </row>
    <row r="1482" spans="2:13">
      <c r="B1482" s="2"/>
      <c r="C1482" s="1">
        <v>10.06486179</v>
      </c>
      <c r="D1482" s="1">
        <v>0.41553720799999999</v>
      </c>
      <c r="E1482" s="1"/>
      <c r="H1482" s="2">
        <v>15.2448777</v>
      </c>
      <c r="I1482" s="2">
        <v>61.6114496</v>
      </c>
      <c r="J1482" s="2">
        <v>7.9604505400000001</v>
      </c>
      <c r="L1482" s="2"/>
      <c r="M1482" s="2"/>
    </row>
    <row r="1483" spans="2:13">
      <c r="B1483" s="2"/>
      <c r="C1483" s="1">
        <v>177.1463976</v>
      </c>
      <c r="D1483" s="1">
        <v>107.73626590000001</v>
      </c>
      <c r="E1483" s="1"/>
      <c r="H1483" s="2">
        <v>81.095849599999994</v>
      </c>
      <c r="I1483" s="2">
        <v>18.764829599999999</v>
      </c>
      <c r="J1483" s="2">
        <v>10.1504435</v>
      </c>
      <c r="L1483" s="2"/>
      <c r="M1483" s="2"/>
    </row>
    <row r="1484" spans="2:13">
      <c r="B1484" s="2"/>
      <c r="C1484" s="1">
        <v>6.1765768479999998</v>
      </c>
      <c r="D1484" s="1">
        <v>0.29021646299999998</v>
      </c>
      <c r="E1484" s="1"/>
      <c r="H1484" s="2">
        <v>10.117649999999999</v>
      </c>
      <c r="I1484" s="2">
        <v>11.4734418</v>
      </c>
      <c r="J1484" s="2">
        <v>6.2918844800000002</v>
      </c>
      <c r="L1484" s="2"/>
      <c r="M1484" s="2"/>
    </row>
    <row r="1485" spans="2:13">
      <c r="B1485" s="2"/>
      <c r="C1485" s="1">
        <v>7.4565712690000003</v>
      </c>
      <c r="D1485" s="1">
        <v>0.19127903199999999</v>
      </c>
      <c r="E1485" s="1"/>
      <c r="H1485" s="2">
        <v>11.997237</v>
      </c>
      <c r="I1485" s="2">
        <v>8.1620012699999993</v>
      </c>
      <c r="J1485" s="2">
        <v>3.1633231400000001</v>
      </c>
      <c r="L1485" s="2"/>
      <c r="M1485" s="2"/>
    </row>
    <row r="1486" spans="2:13">
      <c r="B1486" s="2"/>
      <c r="C1486" s="1">
        <v>15.275405109999999</v>
      </c>
      <c r="D1486" s="1">
        <v>0.67937035599999995</v>
      </c>
      <c r="E1486" s="1"/>
      <c r="H1486" s="2">
        <v>8.4997776999999992</v>
      </c>
      <c r="I1486" s="2">
        <v>6.1564809599999997</v>
      </c>
      <c r="J1486" s="2">
        <v>1.49475709</v>
      </c>
      <c r="L1486" s="2"/>
      <c r="M1486" s="2"/>
    </row>
    <row r="1487" spans="2:13">
      <c r="B1487" s="2"/>
      <c r="C1487" s="1">
        <v>4.8965824280000003</v>
      </c>
      <c r="D1487" s="1">
        <v>1.21363248</v>
      </c>
      <c r="E1487" s="1"/>
      <c r="H1487" s="2">
        <v>4.5086294599999999</v>
      </c>
      <c r="I1487" s="2">
        <v>1.8966936299999999</v>
      </c>
      <c r="J1487" s="2">
        <v>17.137563799999999</v>
      </c>
      <c r="L1487" s="2"/>
      <c r="M1487" s="2"/>
    </row>
    <row r="1488" spans="2:13">
      <c r="B1488" s="2"/>
      <c r="C1488" s="1">
        <v>5.6935600859999997</v>
      </c>
      <c r="D1488" s="1">
        <v>2.0117277530000002</v>
      </c>
      <c r="E1488" s="1"/>
      <c r="H1488" s="2">
        <v>2.4446526500000001</v>
      </c>
      <c r="I1488" s="2">
        <v>17.847576100000001</v>
      </c>
      <c r="J1488" s="2">
        <v>18.354226600000001</v>
      </c>
      <c r="L1488" s="2"/>
      <c r="M1488" s="2"/>
    </row>
    <row r="1489" spans="2:13">
      <c r="B1489" s="2"/>
      <c r="C1489" s="1">
        <v>14.07993862</v>
      </c>
      <c r="D1489" s="1">
        <v>2.8955687980000002</v>
      </c>
      <c r="E1489" s="1"/>
      <c r="H1489" s="2">
        <v>16.244151800000001</v>
      </c>
      <c r="I1489" s="2">
        <v>15.158002400000001</v>
      </c>
      <c r="J1489" s="2">
        <v>42.861290400000001</v>
      </c>
      <c r="L1489" s="2"/>
      <c r="M1489" s="2"/>
    </row>
    <row r="1490" spans="2:13">
      <c r="B1490" s="2"/>
      <c r="C1490" s="1">
        <v>19.936516869999998</v>
      </c>
      <c r="D1490" s="1">
        <v>2.0183235810000002</v>
      </c>
      <c r="E1490" s="1"/>
      <c r="H1490" s="2">
        <v>24.446526500000001</v>
      </c>
      <c r="I1490" s="2">
        <v>69.229317399999999</v>
      </c>
      <c r="J1490" s="2">
        <v>42.4789107</v>
      </c>
      <c r="L1490" s="2"/>
      <c r="M1490" s="2"/>
    </row>
    <row r="1491" spans="2:13">
      <c r="B1491" s="2"/>
      <c r="C1491" s="1">
        <v>46.888852200000002</v>
      </c>
      <c r="D1491" s="1">
        <v>0.58043292499999999</v>
      </c>
      <c r="E1491" s="1"/>
      <c r="H1491" s="2">
        <v>39.489170100000003</v>
      </c>
      <c r="I1491" s="2">
        <v>74.561824900000005</v>
      </c>
      <c r="J1491" s="2">
        <v>23.638019100000001</v>
      </c>
      <c r="L1491" s="2"/>
      <c r="M1491" s="2"/>
    </row>
    <row r="1492" spans="2:13">
      <c r="B1492" s="2"/>
      <c r="C1492" s="1">
        <v>75.308350959999999</v>
      </c>
      <c r="D1492" s="1">
        <v>4.7226133480000003</v>
      </c>
      <c r="E1492" s="1"/>
      <c r="H1492" s="2">
        <v>58.059013399999998</v>
      </c>
      <c r="I1492" s="2">
        <v>49.764887700000003</v>
      </c>
      <c r="J1492" s="2">
        <v>6.1875991099999998</v>
      </c>
      <c r="L1492" s="2"/>
      <c r="M1492" s="2"/>
    </row>
    <row r="1493" spans="2:13">
      <c r="B1493" s="2"/>
      <c r="C1493" s="1">
        <v>53.542408100000003</v>
      </c>
      <c r="D1493" s="1">
        <v>0.71894532799999999</v>
      </c>
      <c r="E1493" s="1"/>
      <c r="H1493" s="2">
        <v>41.142730800000002</v>
      </c>
      <c r="I1493" s="2">
        <v>5.3480541600000002</v>
      </c>
      <c r="J1493" s="2">
        <v>89.407330900000005</v>
      </c>
      <c r="L1493" s="2"/>
      <c r="M1493" s="2"/>
    </row>
    <row r="1494" spans="2:13">
      <c r="B1494" s="2"/>
      <c r="C1494" s="1">
        <v>9.050526584</v>
      </c>
      <c r="D1494" s="1">
        <v>281.02187750000002</v>
      </c>
      <c r="E1494" s="1"/>
      <c r="H1494" s="2">
        <v>8.4878815799999998</v>
      </c>
      <c r="I1494" s="2">
        <v>96.902388400000007</v>
      </c>
      <c r="J1494" s="2">
        <v>25.828012000000001</v>
      </c>
      <c r="L1494" s="2"/>
      <c r="M1494" s="2"/>
    </row>
    <row r="1495" spans="2:13">
      <c r="B1495" s="2"/>
      <c r="C1495" s="1">
        <v>85.258496260000001</v>
      </c>
      <c r="D1495" s="1">
        <v>1.4444864850000001</v>
      </c>
      <c r="E1495" s="1"/>
      <c r="H1495" s="2">
        <v>93.217995900000005</v>
      </c>
      <c r="I1495" s="2">
        <v>21.951896699999999</v>
      </c>
      <c r="J1495" s="2">
        <v>26.279915299999999</v>
      </c>
      <c r="L1495" s="2"/>
      <c r="M1495" s="2"/>
    </row>
    <row r="1496" spans="2:13">
      <c r="B1496" s="2"/>
      <c r="C1496" s="1">
        <v>28.13572641</v>
      </c>
      <c r="D1496" s="1">
        <v>0.80469110099999996</v>
      </c>
      <c r="E1496" s="1"/>
      <c r="H1496" s="2">
        <v>28.288973200000001</v>
      </c>
      <c r="I1496" s="2">
        <v>23.677576999999999</v>
      </c>
      <c r="J1496" s="2">
        <v>36.7084531</v>
      </c>
      <c r="L1496" s="2"/>
      <c r="M1496" s="2"/>
    </row>
    <row r="1497" spans="2:13">
      <c r="B1497" s="2"/>
      <c r="C1497" s="1">
        <v>48.253374559999997</v>
      </c>
      <c r="D1497" s="1">
        <v>0.145108231</v>
      </c>
      <c r="E1497" s="1"/>
      <c r="H1497" s="2">
        <v>39.453481799999999</v>
      </c>
      <c r="I1497" s="2">
        <v>51.257368</v>
      </c>
      <c r="J1497" s="2">
        <v>10.0809199</v>
      </c>
      <c r="L1497" s="2"/>
      <c r="M1497" s="2"/>
    </row>
    <row r="1498" spans="2:13">
      <c r="B1498" s="2"/>
      <c r="C1498" s="1">
        <v>38.182475060000002</v>
      </c>
      <c r="D1498" s="1">
        <v>0.28362063399999998</v>
      </c>
      <c r="E1498" s="1"/>
      <c r="H1498" s="2">
        <v>29.674871199999998</v>
      </c>
      <c r="I1498" s="2">
        <v>13.852082100000001</v>
      </c>
      <c r="J1498" s="2">
        <v>2.95475238</v>
      </c>
      <c r="L1498" s="2"/>
      <c r="M1498" s="2"/>
    </row>
    <row r="1499" spans="2:13">
      <c r="B1499" s="2"/>
      <c r="C1499" s="1">
        <v>12.37126683</v>
      </c>
      <c r="D1499" s="1">
        <v>0.49468715200000002</v>
      </c>
      <c r="E1499" s="1"/>
      <c r="H1499" s="2">
        <v>16.7318927</v>
      </c>
      <c r="I1499" s="2">
        <v>2.6740270800000001</v>
      </c>
      <c r="J1499" s="2">
        <v>3.3718938899999999</v>
      </c>
      <c r="L1499" s="2"/>
      <c r="M1499" s="2"/>
    </row>
    <row r="1500" spans="2:13">
      <c r="B1500" s="2"/>
      <c r="C1500" s="1">
        <v>3.5743240410000001</v>
      </c>
      <c r="D1500" s="1">
        <v>6.5562537250000004</v>
      </c>
      <c r="E1500" s="1"/>
      <c r="H1500" s="2">
        <v>4.1220055599999998</v>
      </c>
      <c r="I1500" s="2">
        <v>3.0160537999999999</v>
      </c>
      <c r="J1500" s="2">
        <v>10.2199671</v>
      </c>
      <c r="L1500" s="2"/>
      <c r="M1500" s="2"/>
    </row>
    <row r="1501" spans="2:13">
      <c r="B1501" s="2"/>
      <c r="C1501" s="1">
        <v>9.5033547990000002</v>
      </c>
      <c r="D1501" s="1">
        <v>1.1476741930000001</v>
      </c>
      <c r="E1501" s="1"/>
      <c r="H1501" s="2">
        <v>5.3116175500000002</v>
      </c>
      <c r="I1501" s="2">
        <v>7.9909879100000003</v>
      </c>
      <c r="J1501" s="2">
        <v>120.58865900000001</v>
      </c>
      <c r="L1501" s="2"/>
      <c r="M1501" s="2"/>
    </row>
    <row r="1502" spans="2:13">
      <c r="B1502" s="2"/>
      <c r="C1502" s="1">
        <v>5.8203519860000004</v>
      </c>
      <c r="D1502" s="1">
        <v>1.8732153499999999</v>
      </c>
      <c r="E1502" s="1"/>
      <c r="H1502" s="2">
        <v>12.7764328</v>
      </c>
      <c r="I1502" s="2">
        <v>156.865891</v>
      </c>
      <c r="J1502" s="2">
        <v>24.437540299999998</v>
      </c>
      <c r="L1502" s="2"/>
      <c r="M1502" s="2"/>
    </row>
    <row r="1503" spans="2:13">
      <c r="B1503" s="2"/>
      <c r="C1503" s="1">
        <v>146.48690859999999</v>
      </c>
      <c r="D1503" s="1">
        <v>76.966725069999995</v>
      </c>
      <c r="E1503" s="1"/>
      <c r="H1503" s="2">
        <v>128.81713500000001</v>
      </c>
      <c r="I1503" s="2">
        <v>25.201150599999998</v>
      </c>
      <c r="J1503" s="2">
        <v>49.396507499999998</v>
      </c>
      <c r="L1503" s="2"/>
      <c r="M1503" s="2"/>
    </row>
    <row r="1504" spans="2:13">
      <c r="B1504" s="2"/>
      <c r="C1504" s="1">
        <v>16.265589469999998</v>
      </c>
      <c r="D1504" s="1">
        <v>7.2620073959999996</v>
      </c>
      <c r="E1504" s="1"/>
      <c r="H1504" s="2">
        <v>32.119523800000003</v>
      </c>
      <c r="I1504" s="2">
        <v>53.9935817</v>
      </c>
      <c r="J1504" s="2">
        <v>3.7195118200000001</v>
      </c>
      <c r="L1504" s="2"/>
      <c r="M1504" s="2"/>
    </row>
    <row r="1505" spans="2:13">
      <c r="B1505" s="2"/>
      <c r="C1505" s="1">
        <v>70.71969172</v>
      </c>
      <c r="D1505" s="1">
        <v>0.82447858699999998</v>
      </c>
      <c r="E1505" s="1"/>
      <c r="H1505" s="2">
        <v>50.998666200000002</v>
      </c>
      <c r="I1505" s="2">
        <v>6.6228810300000003</v>
      </c>
      <c r="J1505" s="2">
        <v>75.433090199999995</v>
      </c>
      <c r="L1505" s="2"/>
      <c r="M1505" s="2"/>
    </row>
    <row r="1506" spans="2:13">
      <c r="B1506" s="2"/>
      <c r="C1506" s="1">
        <v>5.9290307579999997</v>
      </c>
      <c r="D1506" s="1">
        <v>0.96958681899999999</v>
      </c>
      <c r="E1506" s="1"/>
      <c r="H1506" s="2">
        <v>5.7636701099999996</v>
      </c>
      <c r="I1506" s="2">
        <v>61.129502799999997</v>
      </c>
      <c r="J1506" s="2">
        <v>16.338042600000001</v>
      </c>
      <c r="L1506" s="2"/>
      <c r="M1506" s="2"/>
    </row>
    <row r="1507" spans="2:13">
      <c r="B1507" s="2"/>
      <c r="C1507" s="1">
        <v>120.48249370000001</v>
      </c>
      <c r="D1507" s="1">
        <v>1.510444772</v>
      </c>
      <c r="E1507" s="1"/>
      <c r="H1507" s="2">
        <v>102.69325499999999</v>
      </c>
      <c r="I1507" s="2">
        <v>12.483975300000001</v>
      </c>
      <c r="J1507" s="2">
        <v>9.6637783800000001</v>
      </c>
      <c r="L1507" s="2"/>
      <c r="M1507" s="2"/>
    </row>
    <row r="1508" spans="2:13">
      <c r="B1508" s="2"/>
      <c r="C1508" s="1">
        <v>18.849729150000002</v>
      </c>
      <c r="D1508" s="1">
        <v>0.71894532799999999</v>
      </c>
      <c r="E1508" s="1"/>
      <c r="H1508" s="2">
        <v>21.442756200000002</v>
      </c>
      <c r="I1508" s="2">
        <v>12.4995219</v>
      </c>
      <c r="J1508" s="2">
        <v>45.433663099999997</v>
      </c>
      <c r="L1508" s="2"/>
      <c r="M1508" s="2"/>
    </row>
    <row r="1509" spans="2:13">
      <c r="B1509" s="2"/>
      <c r="C1509" s="1">
        <v>14.587106220000001</v>
      </c>
      <c r="D1509" s="1">
        <v>4.3202677969999996</v>
      </c>
      <c r="E1509" s="1"/>
      <c r="H1509" s="2">
        <v>11.729574299999999</v>
      </c>
      <c r="I1509" s="2">
        <v>27.984004299999999</v>
      </c>
      <c r="J1509" s="2">
        <v>21.169931800000001</v>
      </c>
      <c r="L1509" s="2"/>
      <c r="M1509" s="2"/>
    </row>
    <row r="1510" spans="2:13">
      <c r="B1510" s="2"/>
      <c r="C1510" s="1">
        <v>34.445132860000001</v>
      </c>
      <c r="D1510" s="1">
        <v>1.4510823129999999</v>
      </c>
      <c r="E1510" s="1"/>
      <c r="H1510" s="2">
        <v>48.339883399999998</v>
      </c>
      <c r="I1510" s="2">
        <v>22.713683499999998</v>
      </c>
      <c r="J1510" s="2">
        <v>47.241276300000003</v>
      </c>
      <c r="L1510" s="2"/>
      <c r="M1510" s="2"/>
    </row>
    <row r="1511" spans="2:13">
      <c r="B1511" s="2"/>
      <c r="C1511" s="1">
        <v>9.9803338519999993</v>
      </c>
      <c r="D1511" s="1">
        <v>0.34298309199999999</v>
      </c>
      <c r="E1511" s="1"/>
      <c r="H1511" s="2">
        <v>25.832424400000001</v>
      </c>
      <c r="I1511" s="2">
        <v>29.616404599999999</v>
      </c>
      <c r="J1511" s="2">
        <v>29.5475238</v>
      </c>
      <c r="L1511" s="2"/>
      <c r="M1511" s="2"/>
    </row>
    <row r="1512" spans="2:13">
      <c r="B1512" s="2"/>
      <c r="C1512" s="1">
        <v>33.382495990000002</v>
      </c>
      <c r="D1512" s="1">
        <v>6.5958287000000004E-2</v>
      </c>
      <c r="E1512" s="1"/>
      <c r="H1512" s="2">
        <v>48.708663100000003</v>
      </c>
      <c r="I1512" s="2">
        <v>25.2633373</v>
      </c>
      <c r="J1512" s="2">
        <v>4.1018915399999996</v>
      </c>
      <c r="L1512" s="2"/>
      <c r="M1512" s="2"/>
    </row>
    <row r="1513" spans="2:13">
      <c r="B1513" s="2"/>
      <c r="C1513" s="1">
        <v>17.726715179999999</v>
      </c>
      <c r="D1513" s="1">
        <v>0.620007898</v>
      </c>
      <c r="E1513" s="1"/>
      <c r="H1513" s="2">
        <v>37.8415575</v>
      </c>
      <c r="I1513" s="2">
        <v>5.72117422</v>
      </c>
      <c r="J1513" s="2">
        <v>1.4599952899999999</v>
      </c>
      <c r="L1513" s="2"/>
      <c r="M1513" s="2"/>
    </row>
    <row r="1514" spans="2:13">
      <c r="B1514" s="2"/>
      <c r="C1514" s="1">
        <v>13.210508450000001</v>
      </c>
      <c r="D1514" s="1">
        <v>7.2554116000000002E-2</v>
      </c>
      <c r="E1514" s="1"/>
      <c r="H1514" s="2">
        <v>7.5480881000000002</v>
      </c>
      <c r="I1514" s="2">
        <v>1.74122694</v>
      </c>
      <c r="J1514" s="2">
        <v>15.1213798</v>
      </c>
      <c r="L1514" s="2"/>
      <c r="M1514" s="2"/>
    </row>
    <row r="1515" spans="2:13">
      <c r="B1515" s="2"/>
      <c r="C1515" s="1">
        <v>3.3328156600000001</v>
      </c>
      <c r="D1515" s="1">
        <v>26.52182719</v>
      </c>
      <c r="E1515" s="1"/>
      <c r="H1515" s="2">
        <v>2.2781069700000001</v>
      </c>
      <c r="I1515" s="2">
        <v>13.5722421</v>
      </c>
      <c r="J1515" s="2">
        <v>2.1552311500000001</v>
      </c>
      <c r="L1515" s="2"/>
      <c r="M1515" s="2"/>
    </row>
    <row r="1516" spans="2:13">
      <c r="B1516" s="2"/>
      <c r="C1516" s="1">
        <v>8.7607165269999996</v>
      </c>
      <c r="D1516" s="1">
        <v>1.7083196329999999</v>
      </c>
      <c r="E1516" s="1"/>
      <c r="H1516" s="2">
        <v>15.8396837</v>
      </c>
      <c r="I1516" s="2">
        <v>1.5857602500000001</v>
      </c>
      <c r="J1516" s="2">
        <v>105.606326</v>
      </c>
      <c r="L1516" s="2"/>
      <c r="M1516" s="2"/>
    </row>
    <row r="1517" spans="2:13">
      <c r="B1517" s="2"/>
      <c r="C1517" s="1">
        <v>4.7697905279999997</v>
      </c>
      <c r="D1517" s="1">
        <v>1.108099221</v>
      </c>
      <c r="E1517" s="1"/>
      <c r="H1517" s="2">
        <v>2.1056132299999999</v>
      </c>
      <c r="I1517" s="2">
        <v>140.30868799999999</v>
      </c>
      <c r="J1517" s="2">
        <v>77.240703400000001</v>
      </c>
      <c r="L1517" s="2"/>
      <c r="M1517" s="2"/>
    </row>
    <row r="1518" spans="2:13">
      <c r="B1518" s="2"/>
      <c r="C1518" s="1">
        <v>106.3844419</v>
      </c>
      <c r="D1518" s="1">
        <v>7.017961734</v>
      </c>
      <c r="E1518" s="1"/>
      <c r="H1518" s="2">
        <v>114.82135</v>
      </c>
      <c r="I1518" s="2">
        <v>78.215292099999999</v>
      </c>
      <c r="J1518" s="2">
        <v>27.044674700000002</v>
      </c>
      <c r="L1518" s="2"/>
      <c r="M1518" s="2"/>
    </row>
    <row r="1519" spans="2:13">
      <c r="B1519" s="2"/>
      <c r="C1519" s="1">
        <v>78.158149859999995</v>
      </c>
      <c r="D1519" s="1">
        <v>0.56724126799999997</v>
      </c>
      <c r="E1519" s="1"/>
      <c r="H1519" s="2">
        <v>82.553124299999993</v>
      </c>
      <c r="I1519" s="2">
        <v>26.2738707</v>
      </c>
      <c r="J1519" s="2">
        <v>37.994639499999998</v>
      </c>
      <c r="L1519" s="2"/>
      <c r="M1519" s="2"/>
    </row>
    <row r="1520" spans="2:13">
      <c r="B1520" s="2"/>
      <c r="C1520" s="1">
        <v>45.258670629999997</v>
      </c>
      <c r="D1520" s="1">
        <v>1.767682091</v>
      </c>
      <c r="E1520" s="1"/>
      <c r="H1520" s="2">
        <v>26.849542700000001</v>
      </c>
      <c r="I1520" s="2">
        <v>43.717233499999999</v>
      </c>
      <c r="J1520" s="2">
        <v>15.051856300000001</v>
      </c>
      <c r="L1520" s="2"/>
      <c r="M1520" s="2"/>
    </row>
    <row r="1521" spans="2:13">
      <c r="B1521" s="2"/>
      <c r="C1521" s="1">
        <v>105.79878410000001</v>
      </c>
      <c r="D1521" s="1">
        <v>0.40894137899999999</v>
      </c>
      <c r="E1521" s="1"/>
      <c r="H1521" s="2">
        <v>46.049880299999998</v>
      </c>
      <c r="I1521" s="2">
        <v>16.044162499999999</v>
      </c>
      <c r="J1521" s="2">
        <v>47.762703199999997</v>
      </c>
      <c r="L1521" s="2"/>
      <c r="M1521" s="2"/>
    </row>
    <row r="1522" spans="2:13">
      <c r="B1522" s="2"/>
      <c r="C1522" s="1">
        <v>11.29655453</v>
      </c>
      <c r="D1522" s="1">
        <v>0.42213303699999999</v>
      </c>
      <c r="E1522" s="1"/>
      <c r="H1522" s="2">
        <v>15.6612419</v>
      </c>
      <c r="I1522" s="2">
        <v>63.616969900000001</v>
      </c>
      <c r="J1522" s="2">
        <v>10.8109175</v>
      </c>
      <c r="L1522" s="2"/>
      <c r="M1522" s="2"/>
    </row>
    <row r="1523" spans="2:13">
      <c r="B1523" s="2"/>
      <c r="C1523" s="1">
        <v>40.700199939999997</v>
      </c>
      <c r="D1523" s="1">
        <v>0.28362063399999998</v>
      </c>
      <c r="E1523" s="1"/>
      <c r="H1523" s="2">
        <v>53.532539700000001</v>
      </c>
      <c r="I1523" s="2">
        <v>12.561708599999999</v>
      </c>
      <c r="J1523" s="2">
        <v>7.2304528899999996</v>
      </c>
      <c r="L1523" s="2"/>
      <c r="M1523" s="2"/>
    </row>
    <row r="1524" spans="2:13">
      <c r="B1524" s="2"/>
      <c r="C1524" s="1">
        <v>8.3199637309999996</v>
      </c>
      <c r="D1524" s="1">
        <v>2.3679025020000002</v>
      </c>
      <c r="E1524" s="1"/>
      <c r="H1524" s="2">
        <v>11.5749247</v>
      </c>
      <c r="I1524" s="2">
        <v>8.0687212499999994</v>
      </c>
      <c r="J1524" s="2">
        <v>6.6395024100000004</v>
      </c>
      <c r="L1524" s="2"/>
      <c r="M1524" s="2"/>
    </row>
    <row r="1525" spans="2:13">
      <c r="B1525" s="2"/>
      <c r="C1525" s="1">
        <v>6.0739357859999998</v>
      </c>
      <c r="D1525" s="1">
        <v>0.244045662</v>
      </c>
      <c r="E1525" s="1"/>
      <c r="H1525" s="2">
        <v>9.0469992099999992</v>
      </c>
      <c r="I1525" s="2">
        <v>6.6850677000000003</v>
      </c>
      <c r="J1525" s="2">
        <v>58.921238700000004</v>
      </c>
      <c r="L1525" s="2"/>
      <c r="M1525" s="2"/>
    </row>
    <row r="1526" spans="2:13">
      <c r="B1526" s="2"/>
      <c r="C1526" s="1">
        <v>5.7177109240000004</v>
      </c>
      <c r="D1526" s="1">
        <v>1.8534278639999999</v>
      </c>
      <c r="E1526" s="1"/>
      <c r="H1526" s="2">
        <v>7.1317238999999999</v>
      </c>
      <c r="I1526" s="2">
        <v>28.6369644</v>
      </c>
      <c r="J1526" s="2">
        <v>5.7009340100000001</v>
      </c>
      <c r="L1526" s="2"/>
      <c r="M1526" s="2"/>
    </row>
    <row r="1527" spans="2:13">
      <c r="B1527" s="2"/>
      <c r="C1527" s="1">
        <v>88.579236499999993</v>
      </c>
      <c r="D1527" s="1">
        <v>0.52107046700000004</v>
      </c>
      <c r="E1527" s="1"/>
      <c r="H1527" s="2">
        <v>58.743040299999997</v>
      </c>
      <c r="I1527" s="2">
        <v>5.5501608600000001</v>
      </c>
      <c r="J1527" s="2">
        <v>61.458849499999999</v>
      </c>
      <c r="L1527" s="2"/>
      <c r="M1527" s="2"/>
    </row>
    <row r="1528" spans="2:13">
      <c r="B1528" s="2"/>
      <c r="C1528" s="1">
        <v>5.3312975140000001</v>
      </c>
      <c r="D1528" s="1">
        <v>54.521120009999997</v>
      </c>
      <c r="E1528" s="1"/>
      <c r="H1528" s="2">
        <v>8.3510761999999996</v>
      </c>
      <c r="I1528" s="2">
        <v>60.1656093</v>
      </c>
      <c r="J1528" s="2">
        <v>7.4737854400000003</v>
      </c>
      <c r="L1528" s="2"/>
      <c r="M1528" s="2"/>
    </row>
    <row r="1529" spans="2:13">
      <c r="B1529" s="2"/>
      <c r="C1529" s="1">
        <v>35.471543480000001</v>
      </c>
      <c r="D1529" s="1">
        <v>7.2422199100000002</v>
      </c>
      <c r="E1529" s="1"/>
      <c r="H1529" s="2">
        <v>61.485095899999997</v>
      </c>
      <c r="I1529" s="2">
        <v>12.033121899999999</v>
      </c>
      <c r="J1529" s="2">
        <v>14.1480496</v>
      </c>
      <c r="L1529" s="2"/>
      <c r="M1529" s="2"/>
    </row>
    <row r="1530" spans="2:13">
      <c r="B1530" s="2"/>
      <c r="C1530" s="1">
        <v>7.6195894260000001</v>
      </c>
      <c r="D1530" s="1">
        <v>0.45511217999999998</v>
      </c>
      <c r="E1530" s="1"/>
      <c r="H1530" s="2">
        <v>9.7667144700000001</v>
      </c>
      <c r="I1530" s="2">
        <v>18.174056199999999</v>
      </c>
      <c r="J1530" s="2">
        <v>32.502276199999997</v>
      </c>
      <c r="L1530" s="2"/>
      <c r="M1530" s="2"/>
    </row>
    <row r="1531" spans="2:13">
      <c r="B1531" s="2"/>
      <c r="C1531" s="1">
        <v>9.5999581509999992</v>
      </c>
      <c r="D1531" s="1">
        <v>0.63319955500000003</v>
      </c>
      <c r="E1531" s="1"/>
      <c r="H1531" s="2">
        <v>18.540102900000001</v>
      </c>
      <c r="I1531" s="2">
        <v>19.075762999999998</v>
      </c>
      <c r="J1531" s="2">
        <v>10.1156817</v>
      </c>
      <c r="L1531" s="2"/>
      <c r="M1531" s="2"/>
    </row>
    <row r="1532" spans="2:13">
      <c r="B1532" s="2"/>
      <c r="C1532" s="1">
        <v>29.790058819999999</v>
      </c>
      <c r="D1532" s="1">
        <v>1.0157576189999999</v>
      </c>
      <c r="E1532" s="1"/>
      <c r="H1532" s="2">
        <v>40.524132600000002</v>
      </c>
      <c r="I1532" s="2">
        <v>5.70562755</v>
      </c>
      <c r="J1532" s="2">
        <v>17.450420000000001</v>
      </c>
      <c r="L1532" s="2"/>
      <c r="M1532" s="2"/>
    </row>
    <row r="1533" spans="2:13">
      <c r="B1533" s="2"/>
      <c r="C1533" s="1">
        <v>6.7561969629999998</v>
      </c>
      <c r="D1533" s="1">
        <v>2.8164188540000001</v>
      </c>
      <c r="E1533" s="1"/>
      <c r="H1533" s="2">
        <v>7.7562702000000003</v>
      </c>
      <c r="I1533" s="2">
        <v>12.686082000000001</v>
      </c>
      <c r="J1533" s="2">
        <v>29.4084766</v>
      </c>
      <c r="L1533" s="2"/>
      <c r="M1533" s="2"/>
    </row>
    <row r="1534" spans="2:13">
      <c r="B1534" s="2"/>
      <c r="C1534" s="1">
        <v>27.423276680000001</v>
      </c>
      <c r="D1534" s="1">
        <v>4.2543095099999997</v>
      </c>
      <c r="E1534" s="1"/>
      <c r="H1534" s="2">
        <v>20.2412481</v>
      </c>
      <c r="I1534" s="2">
        <v>29.243284500000001</v>
      </c>
      <c r="J1534" s="2">
        <v>51.204120699999997</v>
      </c>
      <c r="L1534" s="2"/>
      <c r="M1534" s="2"/>
    </row>
    <row r="1535" spans="2:13">
      <c r="B1535" s="2"/>
      <c r="C1535" s="1">
        <v>7.3056285299999999</v>
      </c>
      <c r="D1535" s="1">
        <v>0.17149154599999999</v>
      </c>
      <c r="E1535" s="1"/>
      <c r="H1535" s="2">
        <v>32.292017600000001</v>
      </c>
      <c r="I1535" s="2">
        <v>62.093396300000002</v>
      </c>
      <c r="J1535" s="2">
        <v>23.151354000000001</v>
      </c>
      <c r="L1535" s="2"/>
      <c r="M1535" s="2"/>
    </row>
    <row r="1536" spans="2:13">
      <c r="B1536" s="2"/>
      <c r="C1536" s="1">
        <v>69.463848130000002</v>
      </c>
      <c r="D1536" s="1">
        <v>0.29681229100000001</v>
      </c>
      <c r="E1536" s="1"/>
      <c r="H1536" s="2">
        <v>70.692692699999995</v>
      </c>
      <c r="I1536" s="2">
        <v>20.3194965</v>
      </c>
      <c r="J1536" s="2">
        <v>2.6418962499999998</v>
      </c>
      <c r="L1536" s="2"/>
      <c r="M1536" s="2"/>
    </row>
    <row r="1537" spans="2:13">
      <c r="B1537" s="2"/>
      <c r="C1537" s="1">
        <v>47.746206960000002</v>
      </c>
      <c r="D1537" s="1">
        <v>0.65958287000000004</v>
      </c>
      <c r="E1537" s="1"/>
      <c r="H1537" s="2">
        <v>29.062221000000001</v>
      </c>
      <c r="I1537" s="2">
        <v>2.9538671299999999</v>
      </c>
      <c r="J1537" s="2">
        <v>6.6047406200000003</v>
      </c>
      <c r="L1537" s="2"/>
      <c r="M1537" s="2"/>
    </row>
    <row r="1538" spans="2:13">
      <c r="B1538" s="2"/>
      <c r="C1538" s="1">
        <v>3.9365866129999998</v>
      </c>
      <c r="D1538" s="1">
        <v>1.576403059</v>
      </c>
      <c r="E1538" s="1"/>
      <c r="H1538" s="2">
        <v>3.70564136</v>
      </c>
      <c r="I1538" s="2">
        <v>6.1564809599999997</v>
      </c>
      <c r="J1538" s="2">
        <v>6.2223609</v>
      </c>
      <c r="L1538" s="2"/>
      <c r="M1538" s="2"/>
    </row>
    <row r="1539" spans="2:13">
      <c r="B1539" s="2"/>
      <c r="C1539" s="1">
        <v>3.5441354939999998</v>
      </c>
      <c r="D1539" s="1">
        <v>0.67277452699999996</v>
      </c>
      <c r="E1539" s="1"/>
      <c r="H1539" s="2">
        <v>11.075287700000001</v>
      </c>
      <c r="I1539" s="2">
        <v>10.3229883</v>
      </c>
      <c r="J1539" s="2">
        <v>3.96284437</v>
      </c>
      <c r="L1539" s="2"/>
      <c r="M1539" s="2"/>
    </row>
    <row r="1540" spans="2:13">
      <c r="B1540" s="2"/>
      <c r="C1540" s="1">
        <v>6.5509148389999998</v>
      </c>
      <c r="D1540" s="1">
        <v>3.264935205</v>
      </c>
      <c r="E1540" s="1"/>
      <c r="H1540" s="2">
        <v>9.0707914499999998</v>
      </c>
      <c r="I1540" s="2">
        <v>5.8766409099999999</v>
      </c>
      <c r="J1540" s="2">
        <v>14.982332700000001</v>
      </c>
      <c r="L1540" s="2"/>
      <c r="M1540" s="2"/>
    </row>
    <row r="1541" spans="2:13">
      <c r="B1541" s="2"/>
      <c r="C1541" s="1">
        <v>21.295001509999999</v>
      </c>
      <c r="D1541" s="1">
        <v>1.8336403779999999</v>
      </c>
      <c r="E1541" s="1"/>
      <c r="H1541" s="2">
        <v>6.8700092699999997</v>
      </c>
      <c r="I1541" s="2">
        <v>20.630429899999999</v>
      </c>
      <c r="J1541" s="2">
        <v>49.9179344</v>
      </c>
      <c r="L1541" s="2"/>
      <c r="M1541" s="2"/>
    </row>
    <row r="1542" spans="2:13">
      <c r="B1542" s="2"/>
      <c r="C1542" s="1">
        <v>18.107090880000001</v>
      </c>
      <c r="D1542" s="1">
        <v>1.3983156839999999</v>
      </c>
      <c r="E1542" s="1"/>
      <c r="H1542" s="2">
        <v>16.963867</v>
      </c>
      <c r="I1542" s="2">
        <v>58.175635700000001</v>
      </c>
      <c r="J1542" s="2">
        <v>41.401295099999999</v>
      </c>
      <c r="L1542" s="2"/>
      <c r="M1542" s="2"/>
    </row>
    <row r="1543" spans="2:13">
      <c r="B1543" s="2"/>
      <c r="C1543" s="1">
        <v>59.441250310000001</v>
      </c>
      <c r="D1543" s="1">
        <v>2042.1411189999999</v>
      </c>
      <c r="E1543" s="1"/>
      <c r="H1543" s="2">
        <v>58.398052800000002</v>
      </c>
      <c r="I1543" s="2">
        <v>49.314034300000003</v>
      </c>
      <c r="J1543" s="2">
        <v>36.047979099999999</v>
      </c>
      <c r="L1543" s="2"/>
      <c r="M1543" s="2"/>
    </row>
    <row r="1544" spans="2:13">
      <c r="B1544" s="2"/>
      <c r="C1544" s="1">
        <v>45.946969520000003</v>
      </c>
      <c r="D1544" s="1">
        <v>0.118724917</v>
      </c>
      <c r="E1544" s="1"/>
      <c r="H1544" s="2">
        <v>36.443763400000002</v>
      </c>
      <c r="I1544" s="2">
        <v>50.946434600000003</v>
      </c>
      <c r="J1544" s="2">
        <v>101.22633999999999</v>
      </c>
      <c r="L1544" s="2"/>
      <c r="M1544" s="2"/>
    </row>
    <row r="1545" spans="2:13">
      <c r="B1545" s="2"/>
      <c r="C1545" s="1">
        <v>41.140952730000002</v>
      </c>
      <c r="D1545" s="1">
        <v>0.230854004</v>
      </c>
      <c r="E1545" s="1"/>
      <c r="H1545" s="2">
        <v>36.598413000000001</v>
      </c>
      <c r="I1545" s="2">
        <v>58.222275699999997</v>
      </c>
      <c r="J1545" s="2">
        <v>3.6152264399999998</v>
      </c>
      <c r="L1545" s="2"/>
      <c r="M1545" s="2"/>
    </row>
    <row r="1546" spans="2:13">
      <c r="B1546" s="2"/>
      <c r="C1546" s="1">
        <v>139.15109150000001</v>
      </c>
      <c r="D1546" s="1">
        <v>0.31659977700000003</v>
      </c>
      <c r="E1546" s="1"/>
      <c r="H1546" s="2">
        <v>139.32735700000001</v>
      </c>
      <c r="I1546" s="2">
        <v>5.9854675999999998</v>
      </c>
      <c r="J1546" s="2">
        <v>6.1528373099999998</v>
      </c>
      <c r="L1546" s="2"/>
      <c r="M1546" s="2"/>
    </row>
    <row r="1547" spans="2:13">
      <c r="B1547" s="2"/>
      <c r="C1547" s="1">
        <v>5.8263896959999997</v>
      </c>
      <c r="D1547" s="1">
        <v>2.0842818680000001</v>
      </c>
      <c r="E1547" s="1"/>
      <c r="H1547" s="2">
        <v>5.6566050299999997</v>
      </c>
      <c r="I1547" s="2">
        <v>4.8039207499999996</v>
      </c>
      <c r="J1547" s="2">
        <v>5.2837924899999997</v>
      </c>
      <c r="L1547" s="2"/>
      <c r="M1547" s="2"/>
    </row>
    <row r="1548" spans="2:13">
      <c r="B1548" s="2"/>
      <c r="C1548" s="1">
        <v>5.2769581289999996</v>
      </c>
      <c r="D1548" s="1">
        <v>1.3389532260000001</v>
      </c>
      <c r="E1548" s="1"/>
      <c r="H1548" s="2">
        <v>7.5897245199999999</v>
      </c>
      <c r="I1548" s="2">
        <v>14.5672289</v>
      </c>
      <c r="J1548" s="2">
        <v>46.963182000000003</v>
      </c>
      <c r="L1548" s="2"/>
      <c r="M1548" s="2"/>
    </row>
    <row r="1549" spans="2:13">
      <c r="B1549" s="2"/>
      <c r="C1549" s="1">
        <v>9.9682584330000008</v>
      </c>
      <c r="D1549" s="1">
        <v>0.32319560600000002</v>
      </c>
      <c r="E1549" s="1"/>
      <c r="H1549" s="2">
        <v>6.54881403</v>
      </c>
      <c r="I1549" s="2">
        <v>40.701179699999997</v>
      </c>
      <c r="J1549" s="2">
        <v>39.802252699999997</v>
      </c>
      <c r="L1549" s="2"/>
      <c r="M1549" s="2"/>
    </row>
    <row r="1550" spans="2:13">
      <c r="B1550" s="2"/>
      <c r="C1550" s="1">
        <v>34.952300459999996</v>
      </c>
      <c r="D1550" s="1">
        <v>1.048736763</v>
      </c>
      <c r="E1550" s="1"/>
      <c r="H1550" s="2">
        <v>49.166663700000001</v>
      </c>
      <c r="I1550" s="2">
        <v>47.028674000000002</v>
      </c>
      <c r="J1550" s="2">
        <v>6.7437877899999998</v>
      </c>
      <c r="L1550" s="2"/>
      <c r="M1550" s="2"/>
    </row>
    <row r="1551" spans="2:13">
      <c r="B1551" s="2"/>
      <c r="C1551" s="1">
        <v>16.537286399999999</v>
      </c>
      <c r="D1551" s="1">
        <v>3.1396144600000002</v>
      </c>
      <c r="E1551" s="1"/>
      <c r="H1551" s="2">
        <v>35.212515000000003</v>
      </c>
      <c r="I1551" s="2">
        <v>5.73672089</v>
      </c>
      <c r="J1551" s="2">
        <v>35.248457799999997</v>
      </c>
      <c r="L1551" s="2"/>
      <c r="M1551" s="2"/>
    </row>
    <row r="1552" spans="2:13">
      <c r="B1552" s="2"/>
      <c r="C1552" s="1">
        <v>5.6633715379999998</v>
      </c>
      <c r="D1552" s="1">
        <v>0.89043687400000004</v>
      </c>
      <c r="E1552" s="1"/>
      <c r="H1552" s="2">
        <v>9.0767395099999995</v>
      </c>
      <c r="I1552" s="2">
        <v>32.539178399999997</v>
      </c>
      <c r="J1552" s="2">
        <v>34.692269099999997</v>
      </c>
      <c r="L1552" s="2"/>
      <c r="M1552" s="2"/>
    </row>
    <row r="1553" spans="2:13">
      <c r="B1553" s="2"/>
      <c r="C1553" s="1">
        <v>36.769651029999999</v>
      </c>
      <c r="D1553" s="1">
        <v>3.9706888760000001</v>
      </c>
      <c r="E1553" s="1"/>
      <c r="H1553" s="2">
        <v>37.032621399999996</v>
      </c>
      <c r="I1553" s="2">
        <v>44.510113599999997</v>
      </c>
      <c r="J1553" s="2">
        <v>17.380896400000001</v>
      </c>
      <c r="L1553" s="2"/>
      <c r="M1553" s="2"/>
    </row>
    <row r="1554" spans="2:13">
      <c r="B1554" s="2"/>
      <c r="C1554" s="1">
        <v>36.896442929999999</v>
      </c>
      <c r="D1554" s="1">
        <v>0.67277452699999996</v>
      </c>
      <c r="E1554" s="1"/>
      <c r="H1554" s="2">
        <v>42.415615600000002</v>
      </c>
      <c r="I1554" s="2">
        <v>26.553710800000001</v>
      </c>
      <c r="J1554" s="2">
        <v>102.408241</v>
      </c>
      <c r="L1554" s="2"/>
      <c r="M1554" s="2"/>
    </row>
    <row r="1555" spans="2:13">
      <c r="B1555" s="2"/>
      <c r="C1555" s="1">
        <v>13.23465929</v>
      </c>
      <c r="D1555" s="1">
        <v>2.8559938260000002</v>
      </c>
      <c r="E1555" s="1"/>
      <c r="H1555" s="2">
        <v>20.3840015</v>
      </c>
      <c r="I1555" s="2">
        <v>86.423933399999996</v>
      </c>
      <c r="J1555" s="2">
        <v>10.984726500000001</v>
      </c>
      <c r="L1555" s="2"/>
      <c r="M1555" s="2"/>
    </row>
    <row r="1556" spans="2:13">
      <c r="B1556" s="2"/>
      <c r="C1556" s="1">
        <v>117.2402436</v>
      </c>
      <c r="D1556" s="1">
        <v>0.224258176</v>
      </c>
      <c r="E1556" s="1"/>
      <c r="H1556" s="2">
        <v>80.542680099999998</v>
      </c>
      <c r="I1556" s="2">
        <v>7.8510678900000004</v>
      </c>
      <c r="J1556" s="2">
        <v>37.334165400000003</v>
      </c>
      <c r="L1556" s="2"/>
      <c r="M1556" s="2"/>
    </row>
    <row r="1557" spans="2:13">
      <c r="B1557" s="2"/>
      <c r="C1557" s="1">
        <v>12.65503917</v>
      </c>
      <c r="D1557" s="1">
        <v>3.0802520019999999</v>
      </c>
      <c r="E1557" s="1"/>
      <c r="H1557" s="2">
        <v>12.104302000000001</v>
      </c>
      <c r="I1557" s="2">
        <v>49.935901100000002</v>
      </c>
      <c r="J1557" s="2">
        <v>9.3161604499999999</v>
      </c>
      <c r="L1557" s="2"/>
      <c r="M1557" s="2"/>
    </row>
    <row r="1558" spans="2:13">
      <c r="B1558" s="2"/>
      <c r="C1558" s="1">
        <v>68.932529689999996</v>
      </c>
      <c r="D1558" s="1">
        <v>0.78490361500000005</v>
      </c>
      <c r="E1558" s="1"/>
      <c r="H1558" s="2">
        <v>35.551554400000001</v>
      </c>
      <c r="I1558" s="2">
        <v>10.167521600000001</v>
      </c>
      <c r="J1558" s="2">
        <v>45.3641395</v>
      </c>
      <c r="L1558" s="2"/>
      <c r="M1558" s="2"/>
    </row>
    <row r="1559" spans="2:13">
      <c r="B1559" s="2"/>
      <c r="C1559" s="1">
        <v>3.1396089549999999</v>
      </c>
      <c r="D1559" s="1">
        <v>1.3389532260000001</v>
      </c>
      <c r="E1559" s="1"/>
      <c r="H1559" s="2">
        <v>10.2068709</v>
      </c>
      <c r="I1559" s="2">
        <v>44.230273500000003</v>
      </c>
      <c r="J1559" s="2">
        <v>11.8190095</v>
      </c>
      <c r="L1559" s="2"/>
      <c r="M1559" s="2"/>
    </row>
    <row r="1560" spans="2:13">
      <c r="B1560" s="2"/>
      <c r="C1560" s="1">
        <v>32.241368889999997</v>
      </c>
      <c r="D1560" s="1">
        <v>0.28362063399999998</v>
      </c>
      <c r="E1560" s="1"/>
      <c r="H1560" s="2">
        <v>61.157952600000002</v>
      </c>
      <c r="I1560" s="2">
        <v>16.961416</v>
      </c>
      <c r="J1560" s="2">
        <v>31.528946000000001</v>
      </c>
      <c r="L1560" s="2"/>
      <c r="M1560" s="2"/>
    </row>
    <row r="1561" spans="2:13">
      <c r="B1561" s="2"/>
      <c r="C1561" s="1">
        <v>13.150131350000001</v>
      </c>
      <c r="D1561" s="1">
        <v>14.761464630000001</v>
      </c>
      <c r="E1561" s="1"/>
      <c r="H1561" s="2">
        <v>18.379505300000002</v>
      </c>
      <c r="I1561" s="2">
        <v>28.155017699999998</v>
      </c>
      <c r="J1561" s="2">
        <v>9.7333019600000004</v>
      </c>
      <c r="L1561" s="2"/>
      <c r="M1561" s="2"/>
    </row>
    <row r="1562" spans="2:13">
      <c r="B1562" s="2"/>
      <c r="C1562" s="1">
        <v>21.524434469999999</v>
      </c>
      <c r="D1562" s="1">
        <v>1.385124027</v>
      </c>
      <c r="E1562" s="1"/>
      <c r="H1562" s="2">
        <v>33.463785399999999</v>
      </c>
      <c r="I1562" s="2">
        <v>10.260801600000001</v>
      </c>
      <c r="J1562" s="2">
        <v>32.606561599999999</v>
      </c>
      <c r="L1562" s="2"/>
      <c r="M1562" s="2"/>
    </row>
    <row r="1563" spans="2:13">
      <c r="B1563" s="2"/>
      <c r="C1563" s="1">
        <v>7.8369469690000004</v>
      </c>
      <c r="D1563" s="1">
        <v>2.7966313679999999</v>
      </c>
      <c r="E1563" s="1"/>
      <c r="H1563" s="2">
        <v>16.392853299999999</v>
      </c>
      <c r="I1563" s="2">
        <v>41.804993199999998</v>
      </c>
      <c r="J1563" s="2">
        <v>18.979938799999999</v>
      </c>
      <c r="L1563" s="2"/>
      <c r="M1563" s="2"/>
    </row>
    <row r="1564" spans="2:13">
      <c r="B1564" s="2"/>
      <c r="C1564" s="1">
        <v>9.7931648560000006</v>
      </c>
      <c r="D1564" s="1">
        <v>1.596190545</v>
      </c>
      <c r="E1564" s="1"/>
      <c r="H1564" s="2">
        <v>38.775402900000003</v>
      </c>
      <c r="I1564" s="2">
        <v>12.266321899999999</v>
      </c>
      <c r="J1564" s="2">
        <v>24.715634600000001</v>
      </c>
      <c r="L1564" s="2"/>
      <c r="M1564" s="2"/>
    </row>
    <row r="1565" spans="2:13">
      <c r="B1565" s="2"/>
      <c r="C1565" s="1">
        <v>14.279183039999999</v>
      </c>
      <c r="D1565" s="1">
        <v>0.17808737499999999</v>
      </c>
      <c r="E1565" s="1"/>
      <c r="H1565" s="2">
        <v>23.762499600000002</v>
      </c>
      <c r="I1565" s="2">
        <v>28.465951100000002</v>
      </c>
      <c r="J1565" s="2">
        <v>28.921811600000002</v>
      </c>
      <c r="L1565" s="2"/>
      <c r="M1565" s="2"/>
    </row>
    <row r="1566" spans="2:13">
      <c r="B1566" s="2"/>
      <c r="C1566" s="1">
        <v>46.95526701</v>
      </c>
      <c r="D1566" s="1">
        <v>0.98937430500000001</v>
      </c>
      <c r="E1566" s="1"/>
      <c r="H1566" s="2">
        <v>34.4927998</v>
      </c>
      <c r="I1566" s="2">
        <v>25.5898173</v>
      </c>
      <c r="J1566" s="2">
        <v>3.7195118200000001</v>
      </c>
      <c r="L1566" s="2"/>
      <c r="M1566" s="2"/>
    </row>
    <row r="1567" spans="2:13">
      <c r="B1567" s="2"/>
      <c r="C1567" s="1">
        <v>37.71757143</v>
      </c>
      <c r="D1567" s="1">
        <v>2.704289766</v>
      </c>
      <c r="E1567" s="1"/>
      <c r="H1567" s="2">
        <v>32.196848600000003</v>
      </c>
      <c r="I1567" s="2">
        <v>3.0316004699999999</v>
      </c>
      <c r="J1567" s="2">
        <v>28.469908199999999</v>
      </c>
      <c r="L1567" s="2"/>
      <c r="M1567" s="2"/>
    </row>
    <row r="1568" spans="2:13">
      <c r="B1568" s="2"/>
      <c r="C1568" s="1">
        <v>7.4143073020000001</v>
      </c>
      <c r="D1568" s="1">
        <v>0.237449833</v>
      </c>
      <c r="E1568" s="1"/>
      <c r="H1568" s="2">
        <v>4.0922652599999996</v>
      </c>
      <c r="I1568" s="2">
        <v>33.067765100000003</v>
      </c>
      <c r="J1568" s="2">
        <v>29.512761999999999</v>
      </c>
      <c r="L1568" s="2"/>
      <c r="M1568" s="2"/>
    </row>
    <row r="1569" spans="2:13">
      <c r="B1569" s="2"/>
      <c r="C1569" s="1">
        <v>18.155392549999998</v>
      </c>
      <c r="D1569" s="1">
        <v>0.40234555100000002</v>
      </c>
      <c r="E1569" s="1"/>
      <c r="H1569" s="2">
        <v>41.029717699999999</v>
      </c>
      <c r="I1569" s="2">
        <v>31.824031600000001</v>
      </c>
      <c r="J1569" s="2">
        <v>5.6314104199999999</v>
      </c>
      <c r="L1569" s="2"/>
      <c r="M1569" s="2"/>
    </row>
    <row r="1570" spans="2:13">
      <c r="B1570" s="2"/>
      <c r="C1570" s="1">
        <v>26.119131419999999</v>
      </c>
      <c r="D1570" s="1">
        <v>84.004474290000005</v>
      </c>
      <c r="E1570" s="1"/>
      <c r="H1570" s="2">
        <v>38.198441099999997</v>
      </c>
      <c r="I1570" s="2">
        <v>2.5185603900000002</v>
      </c>
      <c r="J1570" s="2">
        <v>5.5618868399999997</v>
      </c>
      <c r="L1570" s="2"/>
      <c r="M1570" s="2"/>
    </row>
    <row r="1571" spans="2:13">
      <c r="B1571" s="2"/>
      <c r="C1571" s="1">
        <v>3.2301745980000001</v>
      </c>
      <c r="D1571" s="1">
        <v>7.994144382</v>
      </c>
      <c r="E1571" s="1"/>
      <c r="H1571" s="2">
        <v>7.6729973600000001</v>
      </c>
      <c r="I1571" s="2">
        <v>12.141948599999999</v>
      </c>
      <c r="J1571" s="2">
        <v>8.4818774300000008</v>
      </c>
      <c r="L1571" s="2"/>
      <c r="M1571" s="2"/>
    </row>
    <row r="1572" spans="2:13">
      <c r="B1572" s="2"/>
      <c r="C1572" s="1">
        <v>5.9169553390000003</v>
      </c>
      <c r="D1572" s="1">
        <v>0.50787881000000001</v>
      </c>
      <c r="E1572" s="1"/>
      <c r="H1572" s="2">
        <v>9.4574153499999998</v>
      </c>
      <c r="I1572" s="2">
        <v>10.198614900000001</v>
      </c>
      <c r="J1572" s="2">
        <v>123.856267</v>
      </c>
      <c r="L1572" s="2"/>
      <c r="M1572" s="2"/>
    </row>
    <row r="1573" spans="2:13">
      <c r="B1573" s="2"/>
      <c r="C1573" s="1">
        <v>7.6860042310000001</v>
      </c>
      <c r="D1573" s="1">
        <v>0.613412069</v>
      </c>
      <c r="E1573" s="1"/>
      <c r="H1573" s="2">
        <v>16.386905200000001</v>
      </c>
      <c r="I1573" s="2">
        <v>123.067432</v>
      </c>
      <c r="J1573" s="2">
        <v>13.0009105</v>
      </c>
      <c r="L1573" s="2"/>
      <c r="M1573" s="2"/>
    </row>
    <row r="1574" spans="2:13">
      <c r="B1574" s="2"/>
      <c r="C1574" s="1">
        <v>129.7503778</v>
      </c>
      <c r="D1574" s="1">
        <v>1.5500197440000001</v>
      </c>
      <c r="E1574" s="1"/>
      <c r="H1574" s="2">
        <v>129.84020100000001</v>
      </c>
      <c r="I1574" s="2">
        <v>11.8932018</v>
      </c>
      <c r="J1574" s="2">
        <v>26.801342200000001</v>
      </c>
      <c r="L1574" s="2"/>
      <c r="M1574" s="2"/>
    </row>
    <row r="1575" spans="2:13">
      <c r="B1575" s="2"/>
      <c r="C1575" s="1">
        <v>15.43238556</v>
      </c>
      <c r="D1575" s="1">
        <v>0.72554115699999999</v>
      </c>
      <c r="E1575" s="1"/>
      <c r="H1575" s="2">
        <v>13.2106412</v>
      </c>
      <c r="I1575" s="2">
        <v>37.762859200000001</v>
      </c>
      <c r="J1575" s="2">
        <v>20.127078000000001</v>
      </c>
      <c r="L1575" s="2"/>
      <c r="M1575" s="2"/>
    </row>
    <row r="1576" spans="2:13">
      <c r="B1576" s="2"/>
      <c r="C1576" s="1">
        <v>22.00141352</v>
      </c>
      <c r="D1576" s="1">
        <v>0.105533259</v>
      </c>
      <c r="E1576" s="1"/>
      <c r="H1576" s="2">
        <v>32.8094988</v>
      </c>
      <c r="I1576" s="2">
        <v>19.884189800000001</v>
      </c>
      <c r="J1576" s="2">
        <v>26.384200700000001</v>
      </c>
      <c r="L1576" s="2"/>
      <c r="M1576" s="2"/>
    </row>
    <row r="1577" spans="2:13">
      <c r="B1577" s="2"/>
      <c r="C1577" s="1">
        <v>27.996859090000001</v>
      </c>
      <c r="D1577" s="1">
        <v>1.846832035</v>
      </c>
      <c r="E1577" s="1"/>
      <c r="H1577" s="2">
        <v>23.6137981</v>
      </c>
      <c r="I1577" s="2">
        <v>32.399258400000001</v>
      </c>
      <c r="J1577" s="2">
        <v>6.0485519300000004</v>
      </c>
      <c r="L1577" s="2"/>
      <c r="M1577" s="2"/>
    </row>
    <row r="1578" spans="2:13">
      <c r="B1578" s="2"/>
      <c r="C1578" s="1">
        <v>12.872396719999999</v>
      </c>
      <c r="D1578" s="1">
        <v>471.14004390000002</v>
      </c>
      <c r="E1578" s="1"/>
      <c r="H1578" s="2">
        <v>23.411563999999998</v>
      </c>
      <c r="I1578" s="2">
        <v>4.5396273699999998</v>
      </c>
      <c r="J1578" s="2">
        <v>33.232273800000002</v>
      </c>
      <c r="L1578" s="2"/>
      <c r="M1578" s="2"/>
    </row>
    <row r="1579" spans="2:13">
      <c r="B1579" s="2"/>
      <c r="C1579" s="1">
        <v>6.5328017110000003</v>
      </c>
      <c r="D1579" s="1">
        <v>0.244045662</v>
      </c>
      <c r="E1579" s="1"/>
      <c r="H1579" s="2">
        <v>7.0662952399999996</v>
      </c>
      <c r="I1579" s="2">
        <v>38.027152600000001</v>
      </c>
      <c r="J1579" s="2">
        <v>51.9688801</v>
      </c>
      <c r="L1579" s="2"/>
      <c r="M1579" s="2"/>
    </row>
    <row r="1580" spans="2:13">
      <c r="B1580" s="2"/>
      <c r="C1580" s="1">
        <v>56.283528230000002</v>
      </c>
      <c r="D1580" s="1">
        <v>0.31659977700000003</v>
      </c>
      <c r="E1580" s="1"/>
      <c r="H1580" s="2">
        <v>36.408075099999998</v>
      </c>
      <c r="I1580" s="2">
        <v>70.954997700000007</v>
      </c>
      <c r="J1580" s="2">
        <v>6.0833137300000004</v>
      </c>
      <c r="L1580" s="2"/>
      <c r="M1580" s="2"/>
    </row>
    <row r="1581" spans="2:13">
      <c r="B1581" s="2"/>
      <c r="C1581" s="1">
        <v>20.19010067</v>
      </c>
      <c r="D1581" s="1">
        <v>15.935522130000001</v>
      </c>
      <c r="E1581" s="1"/>
      <c r="H1581" s="2">
        <v>56.244855100000002</v>
      </c>
      <c r="I1581" s="2">
        <v>9.3435481199999995</v>
      </c>
      <c r="J1581" s="2">
        <v>7.1609293000000003</v>
      </c>
      <c r="L1581" s="2"/>
      <c r="M1581" s="2"/>
    </row>
    <row r="1582" spans="2:13">
      <c r="B1582" s="2"/>
      <c r="C1582" s="1">
        <v>4.9207332660000001</v>
      </c>
      <c r="D1582" s="1">
        <v>0.21766234700000001</v>
      </c>
      <c r="E1582" s="1"/>
      <c r="H1582" s="2">
        <v>9.0826875699999992</v>
      </c>
      <c r="I1582" s="2">
        <v>6.5606943500000003</v>
      </c>
      <c r="J1582" s="2">
        <v>59.929330700000001</v>
      </c>
      <c r="L1582" s="2"/>
      <c r="M1582" s="2"/>
    </row>
    <row r="1583" spans="2:13">
      <c r="B1583" s="2"/>
      <c r="C1583" s="1">
        <v>5.0837514239999999</v>
      </c>
      <c r="D1583" s="1">
        <v>1.3191657400000001</v>
      </c>
      <c r="E1583" s="1"/>
      <c r="H1583" s="2">
        <v>11.884223799999999</v>
      </c>
      <c r="I1583" s="2">
        <v>69.586890800000006</v>
      </c>
      <c r="J1583" s="2">
        <v>3.68475003</v>
      </c>
      <c r="L1583" s="2"/>
      <c r="M1583" s="2"/>
    </row>
    <row r="1584" spans="2:13">
      <c r="B1584" s="2"/>
      <c r="C1584" s="1">
        <v>110.69536650000001</v>
      </c>
      <c r="D1584" s="1">
        <v>0.43532469400000001</v>
      </c>
      <c r="E1584" s="1"/>
      <c r="H1584" s="2">
        <v>70.0621984</v>
      </c>
      <c r="I1584" s="2">
        <v>4.4463473599999999</v>
      </c>
      <c r="J1584" s="2">
        <v>18.180417599999998</v>
      </c>
      <c r="L1584" s="2"/>
      <c r="M1584" s="2"/>
    </row>
    <row r="1585" spans="2:13">
      <c r="B1585" s="2"/>
      <c r="C1585" s="1">
        <v>7.0943086969999998</v>
      </c>
      <c r="D1585" s="1">
        <v>1.0619284200000001</v>
      </c>
      <c r="E1585" s="1"/>
      <c r="H1585" s="2">
        <v>5.4127345699999996</v>
      </c>
      <c r="I1585" s="2">
        <v>48.676620900000003</v>
      </c>
      <c r="J1585" s="2">
        <v>5.4228396700000001</v>
      </c>
      <c r="L1585" s="2"/>
      <c r="M1585" s="2"/>
    </row>
    <row r="1586" spans="2:13">
      <c r="B1586" s="2"/>
      <c r="C1586" s="1">
        <v>19.14557692</v>
      </c>
      <c r="D1586" s="1">
        <v>0.75192447200000001</v>
      </c>
      <c r="E1586" s="1"/>
      <c r="H1586" s="2">
        <v>25.606398200000001</v>
      </c>
      <c r="I1586" s="2">
        <v>6.1875742899999997</v>
      </c>
      <c r="J1586" s="2">
        <v>20.961361</v>
      </c>
      <c r="L1586" s="2"/>
      <c r="M1586" s="2"/>
    </row>
    <row r="1587" spans="2:13">
      <c r="B1587" s="2"/>
      <c r="C1587" s="1">
        <v>12.612775210000001</v>
      </c>
      <c r="D1587" s="1">
        <v>4.9732548379999999</v>
      </c>
      <c r="E1587" s="1"/>
      <c r="H1587" s="2">
        <v>7.1079316600000002</v>
      </c>
      <c r="I1587" s="2">
        <v>22.4493902</v>
      </c>
      <c r="J1587" s="2">
        <v>17.5199435</v>
      </c>
      <c r="L1587" s="2"/>
      <c r="M1587" s="2"/>
    </row>
    <row r="1588" spans="2:13">
      <c r="B1588" s="2"/>
      <c r="C1588" s="1">
        <v>11.82183526</v>
      </c>
      <c r="D1588" s="1">
        <v>8.1986150710000008</v>
      </c>
      <c r="E1588" s="1"/>
      <c r="H1588" s="2">
        <v>21.454652299999999</v>
      </c>
      <c r="I1588" s="2">
        <v>16.868136</v>
      </c>
      <c r="J1588" s="2">
        <v>69.002158600000001</v>
      </c>
      <c r="L1588" s="2"/>
      <c r="M1588" s="2"/>
    </row>
    <row r="1589" spans="2:13">
      <c r="B1589" s="2"/>
      <c r="C1589" s="1">
        <v>12.7335294</v>
      </c>
      <c r="D1589" s="1">
        <v>4.5511218009999999</v>
      </c>
      <c r="E1589" s="1"/>
      <c r="H1589" s="2">
        <v>19.7178188</v>
      </c>
      <c r="I1589" s="2">
        <v>79.816599100000005</v>
      </c>
      <c r="J1589" s="2">
        <v>106.197277</v>
      </c>
      <c r="L1589" s="2"/>
      <c r="M1589" s="2"/>
    </row>
    <row r="1590" spans="2:13">
      <c r="B1590" s="2"/>
      <c r="C1590" s="1">
        <v>48.645825680000002</v>
      </c>
      <c r="D1590" s="1">
        <v>0.481495495</v>
      </c>
      <c r="E1590" s="1"/>
      <c r="H1590" s="2">
        <v>95.394985800000001</v>
      </c>
      <c r="I1590" s="2">
        <v>92.766974399999995</v>
      </c>
      <c r="J1590" s="2">
        <v>105.780135</v>
      </c>
      <c r="L1590" s="2"/>
      <c r="M1590" s="2"/>
    </row>
    <row r="1591" spans="2:13">
      <c r="B1591" s="2"/>
      <c r="C1591" s="1">
        <v>168.8083207</v>
      </c>
      <c r="D1591" s="1">
        <v>0.36936640700000001</v>
      </c>
      <c r="E1591" s="1"/>
      <c r="H1591" s="2">
        <v>131.86254099999999</v>
      </c>
      <c r="I1591" s="2">
        <v>87.838680299999993</v>
      </c>
      <c r="J1591" s="2">
        <v>19.362318599999998</v>
      </c>
      <c r="L1591" s="2"/>
      <c r="M1591" s="2"/>
    </row>
    <row r="1592" spans="2:13">
      <c r="B1592" s="2"/>
      <c r="C1592" s="1">
        <v>121.2190942</v>
      </c>
      <c r="D1592" s="1">
        <v>0.65958287000000004</v>
      </c>
      <c r="E1592" s="1"/>
      <c r="H1592" s="2">
        <v>109.08147200000001</v>
      </c>
      <c r="I1592" s="2">
        <v>20.335043200000001</v>
      </c>
      <c r="J1592" s="2">
        <v>6.77854958</v>
      </c>
      <c r="L1592" s="2"/>
      <c r="M1592" s="2"/>
    </row>
    <row r="1593" spans="2:13">
      <c r="B1593" s="2"/>
      <c r="C1593" s="1">
        <v>16.144835279999999</v>
      </c>
      <c r="D1593" s="1">
        <v>1.7478946049999999</v>
      </c>
      <c r="E1593" s="1"/>
      <c r="H1593" s="2">
        <v>21.531977099999999</v>
      </c>
      <c r="I1593" s="2">
        <v>13.7432555</v>
      </c>
      <c r="J1593" s="2">
        <v>17.311372800000001</v>
      </c>
      <c r="L1593" s="2"/>
      <c r="M1593" s="2"/>
    </row>
    <row r="1594" spans="2:13">
      <c r="B1594" s="2"/>
      <c r="C1594" s="1">
        <v>10.23995536</v>
      </c>
      <c r="D1594" s="1">
        <v>1.101503393</v>
      </c>
      <c r="E1594" s="1"/>
      <c r="H1594" s="2">
        <v>7.2447370400000004</v>
      </c>
      <c r="I1594" s="2">
        <v>18.889202900000001</v>
      </c>
      <c r="J1594" s="2">
        <v>27.670387000000002</v>
      </c>
      <c r="L1594" s="2"/>
      <c r="M1594" s="2"/>
    </row>
    <row r="1595" spans="2:13">
      <c r="B1595" s="2"/>
      <c r="C1595" s="1">
        <v>7.0037430540000001</v>
      </c>
      <c r="D1595" s="1">
        <v>0.38915389299999997</v>
      </c>
      <c r="E1595" s="1"/>
      <c r="H1595" s="2">
        <v>26.587828099999999</v>
      </c>
      <c r="I1595" s="2">
        <v>42.2869399</v>
      </c>
      <c r="J1595" s="2">
        <v>16.685660500000001</v>
      </c>
      <c r="L1595" s="2"/>
      <c r="M1595" s="2"/>
    </row>
    <row r="1596" spans="2:13">
      <c r="B1596" s="2"/>
      <c r="C1596" s="1">
        <v>25.442907959999999</v>
      </c>
      <c r="D1596" s="1">
        <v>4.2279261950000002</v>
      </c>
      <c r="E1596" s="1"/>
      <c r="H1596" s="2">
        <v>30.251833000000001</v>
      </c>
      <c r="I1596" s="2">
        <v>22.698136900000002</v>
      </c>
      <c r="J1596" s="2">
        <v>7.8561651599999998</v>
      </c>
      <c r="L1596" s="2"/>
      <c r="M1596" s="2"/>
    </row>
    <row r="1597" spans="2:13">
      <c r="B1597" s="2"/>
      <c r="C1597" s="1">
        <v>8.7969427840000005</v>
      </c>
      <c r="D1597" s="1">
        <v>0.40234555100000002</v>
      </c>
      <c r="E1597" s="1"/>
      <c r="H1597" s="2">
        <v>23.0903688</v>
      </c>
      <c r="I1597" s="2">
        <v>9.2813614399999995</v>
      </c>
      <c r="J1597" s="2">
        <v>70.809771799999993</v>
      </c>
      <c r="L1597" s="2"/>
      <c r="M1597" s="2"/>
    </row>
    <row r="1598" spans="2:13">
      <c r="B1598" s="2"/>
      <c r="C1598" s="1">
        <v>12.739567109999999</v>
      </c>
      <c r="D1598" s="1">
        <v>0.34957892099999999</v>
      </c>
      <c r="E1598" s="1"/>
      <c r="H1598" s="2">
        <v>9.1778565299999997</v>
      </c>
      <c r="I1598" s="2">
        <v>74.421904900000001</v>
      </c>
      <c r="J1598" s="2">
        <v>7.9952123300000002</v>
      </c>
      <c r="L1598" s="2"/>
      <c r="M1598" s="2"/>
    </row>
    <row r="1599" spans="2:13">
      <c r="B1599" s="2"/>
      <c r="C1599" s="1">
        <v>43.966600790000001</v>
      </c>
      <c r="D1599" s="1">
        <v>0.29021646299999998</v>
      </c>
      <c r="E1599" s="1"/>
      <c r="H1599" s="2">
        <v>91.338408900000005</v>
      </c>
      <c r="I1599" s="2">
        <v>4.5551740399999998</v>
      </c>
      <c r="J1599" s="2">
        <v>2.95475238</v>
      </c>
      <c r="L1599" s="2"/>
      <c r="M1599" s="2"/>
    </row>
    <row r="1600" spans="2:13">
      <c r="B1600" s="2"/>
      <c r="C1600" s="1">
        <v>7.5894008780000002</v>
      </c>
      <c r="D1600" s="1">
        <v>3.1791894319999998</v>
      </c>
      <c r="E1600" s="1"/>
      <c r="H1600" s="2">
        <v>8.3510761999999996</v>
      </c>
      <c r="I1600" s="2">
        <v>3.1870671599999998</v>
      </c>
      <c r="J1600" s="2">
        <v>7.4390236400000003</v>
      </c>
      <c r="L1600" s="2"/>
      <c r="M1600" s="2"/>
    </row>
    <row r="1601" spans="2:13">
      <c r="B1601" s="2"/>
      <c r="C1601" s="1">
        <v>6.4422360679999997</v>
      </c>
      <c r="D1601" s="1">
        <v>3.0472728579999999</v>
      </c>
      <c r="E1601" s="1"/>
      <c r="H1601" s="2">
        <v>4.5562139400000001</v>
      </c>
      <c r="I1601" s="2">
        <v>6.6384277000000003</v>
      </c>
      <c r="J1601" s="2">
        <v>29.234667699999999</v>
      </c>
      <c r="L1601" s="2"/>
      <c r="M1601" s="2"/>
    </row>
    <row r="1602" spans="2:13">
      <c r="B1602" s="2"/>
      <c r="C1602" s="1">
        <v>11.634666259999999</v>
      </c>
      <c r="D1602" s="1">
        <v>6.4177413230000004</v>
      </c>
      <c r="E1602" s="1"/>
      <c r="H1602" s="2">
        <v>8.3213358999999993</v>
      </c>
      <c r="I1602" s="2">
        <v>35.881712200000003</v>
      </c>
      <c r="J1602" s="2">
        <v>63.231701000000001</v>
      </c>
      <c r="L1602" s="2"/>
      <c r="M1602" s="2"/>
    </row>
    <row r="1603" spans="2:13">
      <c r="B1603" s="2"/>
      <c r="C1603" s="1">
        <v>63.323497539999998</v>
      </c>
      <c r="D1603" s="1">
        <v>57.706905280000001</v>
      </c>
      <c r="E1603" s="1"/>
      <c r="H1603" s="2">
        <v>39.269091899999999</v>
      </c>
      <c r="I1603" s="2">
        <v>66.088890300000003</v>
      </c>
      <c r="J1603" s="2">
        <v>86.730672900000002</v>
      </c>
      <c r="L1603" s="2"/>
      <c r="M1603" s="2"/>
    </row>
    <row r="1604" spans="2:13">
      <c r="B1604" s="2"/>
      <c r="C1604" s="1">
        <v>61.983126030000001</v>
      </c>
      <c r="D1604" s="1">
        <v>83.476808000000005</v>
      </c>
      <c r="E1604" s="1"/>
      <c r="H1604" s="2">
        <v>58.386156700000001</v>
      </c>
      <c r="I1604" s="2">
        <v>104.940016</v>
      </c>
      <c r="J1604" s="2">
        <v>8.1342595000000006</v>
      </c>
      <c r="L1604" s="2"/>
      <c r="M1604" s="2"/>
    </row>
    <row r="1605" spans="2:13">
      <c r="B1605" s="2"/>
      <c r="C1605" s="1">
        <v>107.93009549999999</v>
      </c>
      <c r="D1605" s="1">
        <v>0.73213698500000002</v>
      </c>
      <c r="E1605" s="1"/>
      <c r="H1605" s="2">
        <v>101.00995399999999</v>
      </c>
      <c r="I1605" s="2">
        <v>9.4212814599999994</v>
      </c>
      <c r="J1605" s="2">
        <v>41.575104099999997</v>
      </c>
      <c r="L1605" s="2"/>
      <c r="M1605" s="2"/>
    </row>
    <row r="1606" spans="2:13">
      <c r="B1606" s="2"/>
      <c r="C1606" s="1">
        <v>23.999895380000002</v>
      </c>
      <c r="D1606" s="1">
        <v>11.93185411</v>
      </c>
      <c r="E1606" s="1"/>
      <c r="H1606" s="2">
        <v>12.2113671</v>
      </c>
      <c r="I1606" s="2">
        <v>63.274943200000003</v>
      </c>
      <c r="J1606" s="2">
        <v>7.5780708199999998</v>
      </c>
      <c r="L1606" s="2"/>
      <c r="M1606" s="2"/>
    </row>
    <row r="1607" spans="2:13">
      <c r="B1607" s="2"/>
      <c r="C1607" s="1">
        <v>44.051128730000002</v>
      </c>
      <c r="D1607" s="1">
        <v>0.13191657400000001</v>
      </c>
      <c r="E1607" s="1"/>
      <c r="H1607" s="2">
        <v>42.112264600000003</v>
      </c>
      <c r="I1607" s="2">
        <v>9.94986821</v>
      </c>
      <c r="J1607" s="2">
        <v>60.311710400000003</v>
      </c>
      <c r="L1607" s="2"/>
      <c r="M1607" s="2"/>
    </row>
    <row r="1608" spans="2:13">
      <c r="B1608" s="2"/>
      <c r="C1608" s="1">
        <v>12.594662080000001</v>
      </c>
      <c r="D1608" s="1">
        <v>0.21766234700000001</v>
      </c>
      <c r="E1608" s="1"/>
      <c r="H1608" s="2">
        <v>8.6722714399999994</v>
      </c>
      <c r="I1608" s="2">
        <v>37.8405925</v>
      </c>
      <c r="J1608" s="2">
        <v>3.7542736099999998</v>
      </c>
      <c r="L1608" s="2"/>
      <c r="M1608" s="2"/>
    </row>
    <row r="1609" spans="2:13">
      <c r="B1609" s="2"/>
      <c r="C1609" s="1">
        <v>72.748362119999996</v>
      </c>
      <c r="D1609" s="1">
        <v>0.474899666</v>
      </c>
      <c r="E1609" s="1"/>
      <c r="H1609" s="2">
        <v>50.4573927</v>
      </c>
      <c r="I1609" s="2">
        <v>4.4618940299999998</v>
      </c>
      <c r="J1609" s="2">
        <v>4.5885566400000002</v>
      </c>
      <c r="L1609" s="2"/>
      <c r="M1609" s="2"/>
    </row>
    <row r="1610" spans="2:13">
      <c r="B1610" s="2"/>
      <c r="C1610" s="1">
        <v>3.9245111939999999</v>
      </c>
      <c r="D1610" s="1">
        <v>3.0472728579999999</v>
      </c>
      <c r="E1610" s="1"/>
      <c r="H1610" s="2">
        <v>4.6275906600000001</v>
      </c>
      <c r="I1610" s="2">
        <v>5.3480541600000002</v>
      </c>
      <c r="J1610" s="2">
        <v>4.8666509800000002</v>
      </c>
      <c r="L1610" s="2"/>
      <c r="M1610" s="2"/>
    </row>
    <row r="1611" spans="2:13">
      <c r="B1611" s="2"/>
      <c r="C1611" s="1">
        <v>4.6550740470000003</v>
      </c>
      <c r="D1611" s="1">
        <v>5.190917185</v>
      </c>
      <c r="E1611" s="1"/>
      <c r="H1611" s="2">
        <v>6.1324498299999997</v>
      </c>
      <c r="I1611" s="2">
        <v>9.2658147700000004</v>
      </c>
      <c r="J1611" s="2">
        <v>46.685087600000003</v>
      </c>
      <c r="L1611" s="2"/>
      <c r="M1611" s="2"/>
    </row>
    <row r="1612" spans="2:13">
      <c r="B1612" s="2"/>
      <c r="C1612" s="1">
        <v>3.8339455509999998</v>
      </c>
      <c r="D1612" s="1">
        <v>0.15170406</v>
      </c>
      <c r="E1612" s="1"/>
      <c r="H1612" s="2">
        <v>8.1726343999999997</v>
      </c>
      <c r="I1612" s="2">
        <v>25.9940307</v>
      </c>
      <c r="J1612" s="2">
        <v>100.42681899999999</v>
      </c>
      <c r="L1612" s="2"/>
      <c r="M1612" s="2"/>
    </row>
    <row r="1613" spans="2:13">
      <c r="B1613" s="2"/>
      <c r="C1613" s="1">
        <v>20.793871620000001</v>
      </c>
      <c r="D1613" s="1">
        <v>6.5958287000000004E-2</v>
      </c>
      <c r="E1613" s="1"/>
      <c r="H1613" s="2">
        <v>53.2172926</v>
      </c>
      <c r="I1613" s="2">
        <v>59.015155800000002</v>
      </c>
      <c r="J1613" s="2">
        <v>3.8933207900000002</v>
      </c>
      <c r="L1613" s="2"/>
      <c r="M1613" s="2"/>
    </row>
    <row r="1614" spans="2:13">
      <c r="B1614" s="2"/>
      <c r="C1614" s="1">
        <v>134.88846860000001</v>
      </c>
      <c r="D1614" s="1">
        <v>0.21766234700000001</v>
      </c>
      <c r="E1614" s="1"/>
      <c r="H1614" s="2">
        <v>85.021569200000002</v>
      </c>
      <c r="I1614" s="2">
        <v>3.52909388</v>
      </c>
      <c r="J1614" s="2">
        <v>1.5295188799999999</v>
      </c>
      <c r="L1614" s="2"/>
      <c r="M1614" s="2"/>
    </row>
    <row r="1615" spans="2:13">
      <c r="B1615" s="2"/>
      <c r="C1615" s="1">
        <v>5.874691372</v>
      </c>
      <c r="D1615" s="1">
        <v>0.12532074500000001</v>
      </c>
      <c r="E1615" s="1"/>
      <c r="H1615" s="2">
        <v>5.3829942700000002</v>
      </c>
      <c r="I1615" s="2">
        <v>2.2542670199999999</v>
      </c>
      <c r="J1615" s="2">
        <v>3.3371320999999998</v>
      </c>
      <c r="L1615" s="2"/>
      <c r="M1615" s="2"/>
    </row>
    <row r="1616" spans="2:13">
      <c r="B1616" s="2"/>
      <c r="C1616" s="1">
        <v>2.6686676120000001</v>
      </c>
      <c r="D1616" s="1">
        <v>1.6885321470000001</v>
      </c>
      <c r="E1616" s="1"/>
      <c r="H1616" s="2">
        <v>2.16509383</v>
      </c>
      <c r="I1616" s="2">
        <v>2.09880033</v>
      </c>
      <c r="J1616" s="2">
        <v>5.7704575900000004</v>
      </c>
      <c r="L1616" s="2"/>
      <c r="M1616" s="2"/>
    </row>
    <row r="1617" spans="2:13">
      <c r="B1617" s="2"/>
      <c r="C1617" s="1">
        <v>3.3509287890000001</v>
      </c>
      <c r="D1617" s="1">
        <v>0.46830383799999997</v>
      </c>
      <c r="E1617" s="1"/>
      <c r="H1617" s="2">
        <v>3.7770180799999999</v>
      </c>
      <c r="I1617" s="2">
        <v>2.5496537300000002</v>
      </c>
      <c r="J1617" s="2">
        <v>26.836103999999999</v>
      </c>
      <c r="L1617" s="2"/>
      <c r="M1617" s="2"/>
    </row>
    <row r="1618" spans="2:13">
      <c r="B1618" s="2"/>
      <c r="C1618" s="1">
        <v>7.9878897069999999</v>
      </c>
      <c r="D1618" s="1">
        <v>2.4734357619999998</v>
      </c>
      <c r="E1618" s="1"/>
      <c r="H1618" s="2">
        <v>5.0855912700000001</v>
      </c>
      <c r="I1618" s="2">
        <v>25.014590500000001</v>
      </c>
      <c r="J1618" s="2">
        <v>7.3347382699999999</v>
      </c>
      <c r="L1618" s="2"/>
      <c r="M1618" s="2"/>
    </row>
    <row r="1619" spans="2:13">
      <c r="B1619" s="2"/>
      <c r="C1619" s="1">
        <v>11.47768582</v>
      </c>
      <c r="D1619" s="1">
        <v>1.4246989990000001</v>
      </c>
      <c r="E1619" s="1"/>
      <c r="H1619" s="2">
        <v>31.334379899999998</v>
      </c>
      <c r="I1619" s="2">
        <v>7.3224811399999998</v>
      </c>
      <c r="J1619" s="2">
        <v>43.104622999999997</v>
      </c>
      <c r="L1619" s="2"/>
      <c r="M1619" s="2"/>
    </row>
    <row r="1620" spans="2:13">
      <c r="B1620" s="2"/>
      <c r="C1620" s="1">
        <v>5.4218631569999998</v>
      </c>
      <c r="D1620" s="1">
        <v>4.2675011669999998</v>
      </c>
      <c r="E1620" s="1"/>
      <c r="H1620" s="2">
        <v>11.1942489</v>
      </c>
      <c r="I1620" s="2">
        <v>48.225767500000003</v>
      </c>
      <c r="J1620" s="2">
        <v>30.694662999999998</v>
      </c>
      <c r="L1620" s="2"/>
      <c r="M1620" s="2"/>
    </row>
    <row r="1621" spans="2:13">
      <c r="B1621" s="2"/>
      <c r="C1621" s="1">
        <v>32.362123080000003</v>
      </c>
      <c r="D1621" s="1">
        <v>0.21106651800000001</v>
      </c>
      <c r="E1621" s="1"/>
      <c r="H1621" s="2">
        <v>52.479733099999997</v>
      </c>
      <c r="I1621" s="2">
        <v>30.6269381</v>
      </c>
      <c r="J1621" s="2">
        <v>24.9589672</v>
      </c>
      <c r="L1621" s="2"/>
      <c r="M1621" s="2"/>
    </row>
    <row r="1622" spans="2:13">
      <c r="B1622" s="2"/>
      <c r="C1622" s="1">
        <v>15.80068584</v>
      </c>
      <c r="D1622" s="1">
        <v>0.52766629600000003</v>
      </c>
      <c r="E1622" s="1"/>
      <c r="H1622" s="2">
        <v>30.4064826</v>
      </c>
      <c r="I1622" s="2">
        <v>36.130458900000001</v>
      </c>
      <c r="J1622" s="2">
        <v>4.1018915399999996</v>
      </c>
      <c r="L1622" s="2"/>
      <c r="M1622" s="2"/>
    </row>
    <row r="1623" spans="2:13">
      <c r="B1623" s="2"/>
      <c r="C1623" s="1">
        <v>47.063945779999997</v>
      </c>
      <c r="D1623" s="1">
        <v>0.52107046700000004</v>
      </c>
      <c r="E1623" s="1"/>
      <c r="H1623" s="2">
        <v>41.874342200000001</v>
      </c>
      <c r="I1623" s="2">
        <v>3.3269871800000002</v>
      </c>
      <c r="J1623" s="2">
        <v>11.089011899999999</v>
      </c>
      <c r="L1623" s="2"/>
      <c r="M1623" s="2"/>
    </row>
    <row r="1624" spans="2:13">
      <c r="B1624" s="2"/>
      <c r="C1624" s="1">
        <v>4.8543184610000001</v>
      </c>
      <c r="D1624" s="1">
        <v>16.357655170000001</v>
      </c>
      <c r="E1624" s="1"/>
      <c r="H1624" s="2">
        <v>3.5747840399999999</v>
      </c>
      <c r="I1624" s="2">
        <v>12.872642000000001</v>
      </c>
      <c r="J1624" s="2">
        <v>13.939478899999999</v>
      </c>
      <c r="L1624" s="2"/>
      <c r="M1624" s="2"/>
    </row>
    <row r="1625" spans="2:13">
      <c r="B1625" s="2"/>
      <c r="C1625" s="1">
        <v>4.715451142</v>
      </c>
      <c r="D1625" s="1">
        <v>0.21106651800000001</v>
      </c>
      <c r="E1625" s="1"/>
      <c r="H1625" s="2">
        <v>11.985340799999999</v>
      </c>
      <c r="I1625" s="2">
        <v>10.851575</v>
      </c>
      <c r="J1625" s="2">
        <v>4.6928420199999996</v>
      </c>
      <c r="L1625" s="2"/>
      <c r="M1625" s="2"/>
    </row>
    <row r="1626" spans="2:13">
      <c r="B1626" s="2"/>
      <c r="C1626" s="1">
        <v>6.7743100920000003</v>
      </c>
      <c r="D1626" s="1">
        <v>0.34298309199999999</v>
      </c>
      <c r="E1626" s="1"/>
      <c r="H1626" s="2">
        <v>16.969815100000002</v>
      </c>
      <c r="I1626" s="2">
        <v>7.19810778</v>
      </c>
      <c r="J1626" s="2">
        <v>3.0590377599999998</v>
      </c>
      <c r="L1626" s="2"/>
      <c r="M1626" s="2"/>
    </row>
    <row r="1627" spans="2:13">
      <c r="B1627" s="2"/>
      <c r="C1627" s="1">
        <v>18.680673280000001</v>
      </c>
      <c r="D1627" s="1">
        <v>1.4049115130000001</v>
      </c>
      <c r="E1627" s="1"/>
      <c r="H1627" s="2">
        <v>7.6611012399999998</v>
      </c>
      <c r="I1627" s="2">
        <v>2.6740270800000001</v>
      </c>
      <c r="J1627" s="2">
        <v>7.2652146799999997</v>
      </c>
      <c r="L1627" s="2"/>
      <c r="M1627" s="2"/>
    </row>
    <row r="1628" spans="2:13">
      <c r="B1628" s="2"/>
      <c r="C1628" s="1">
        <v>11.01278218</v>
      </c>
      <c r="D1628" s="1">
        <v>73.602852440000007</v>
      </c>
      <c r="E1628" s="1"/>
      <c r="H1628" s="2">
        <v>3.6818491199999999</v>
      </c>
      <c r="I1628" s="2">
        <v>4.4929873599999999</v>
      </c>
      <c r="J1628" s="2">
        <v>29.234667699999999</v>
      </c>
      <c r="L1628" s="2"/>
      <c r="M1628" s="2"/>
    </row>
    <row r="1629" spans="2:13">
      <c r="B1629" s="2"/>
      <c r="C1629" s="1">
        <v>8.3018506030000001</v>
      </c>
      <c r="D1629" s="1">
        <v>0.87724521700000002</v>
      </c>
      <c r="E1629" s="1"/>
      <c r="H1629" s="2">
        <v>9.0767395099999995</v>
      </c>
      <c r="I1629" s="2">
        <v>46.624460599999999</v>
      </c>
      <c r="J1629" s="2">
        <v>20.578981299999999</v>
      </c>
      <c r="L1629" s="2"/>
      <c r="M1629" s="2"/>
    </row>
    <row r="1630" spans="2:13">
      <c r="B1630" s="2"/>
      <c r="C1630" s="1">
        <v>29.16213703</v>
      </c>
      <c r="D1630" s="1">
        <v>3.3902559509999999</v>
      </c>
      <c r="E1630" s="1"/>
      <c r="H1630" s="2">
        <v>31.417652799999999</v>
      </c>
      <c r="I1630" s="2">
        <v>23.879683700000001</v>
      </c>
      <c r="J1630" s="2">
        <v>15.8513775</v>
      </c>
      <c r="L1630" s="2"/>
      <c r="M1630" s="2"/>
    </row>
    <row r="1631" spans="2:13">
      <c r="B1631" s="2"/>
      <c r="C1631" s="1">
        <v>8.4890195980000005</v>
      </c>
      <c r="D1631" s="1">
        <v>0.43532469400000001</v>
      </c>
      <c r="E1631" s="1"/>
      <c r="H1631" s="2">
        <v>25.683723000000001</v>
      </c>
      <c r="I1631" s="2">
        <v>10.836028300000001</v>
      </c>
      <c r="J1631" s="2">
        <v>63.648842500000001</v>
      </c>
      <c r="L1631" s="2"/>
      <c r="M1631" s="2"/>
    </row>
    <row r="1632" spans="2:13">
      <c r="B1632" s="2"/>
      <c r="C1632" s="1">
        <v>11.09127241</v>
      </c>
      <c r="D1632" s="1">
        <v>432.88423740000002</v>
      </c>
      <c r="E1632" s="1"/>
      <c r="H1632" s="2">
        <v>16.6843082</v>
      </c>
      <c r="I1632" s="2">
        <v>80.360732499999997</v>
      </c>
      <c r="J1632" s="2">
        <v>13.5223374</v>
      </c>
      <c r="L1632" s="2"/>
      <c r="M1632" s="2"/>
    </row>
    <row r="1633" spans="2:13">
      <c r="B1633" s="2"/>
      <c r="C1633" s="1">
        <v>84.684913859999995</v>
      </c>
      <c r="D1633" s="1">
        <v>0.613412069</v>
      </c>
      <c r="E1633" s="1"/>
      <c r="H1633" s="2">
        <v>66.879986299999999</v>
      </c>
      <c r="I1633" s="2">
        <v>8.3019212899999992</v>
      </c>
      <c r="J1633" s="2">
        <v>58.9907623</v>
      </c>
      <c r="L1633" s="2"/>
      <c r="M1633" s="2"/>
    </row>
    <row r="1634" spans="2:13">
      <c r="B1634" s="2"/>
      <c r="C1634" s="1">
        <v>6.7984609300000001</v>
      </c>
      <c r="D1634" s="1">
        <v>1.0223534480000001</v>
      </c>
      <c r="E1634" s="1"/>
      <c r="H1634" s="2">
        <v>11.1288202</v>
      </c>
      <c r="I1634" s="2">
        <v>52.9053149</v>
      </c>
      <c r="J1634" s="2">
        <v>18.597559100000002</v>
      </c>
      <c r="L1634" s="2"/>
      <c r="M1634" s="2"/>
    </row>
    <row r="1635" spans="2:13">
      <c r="B1635" s="2"/>
      <c r="C1635" s="1">
        <v>32.024011340000001</v>
      </c>
      <c r="D1635" s="1">
        <v>0.237449833</v>
      </c>
      <c r="E1635" s="1"/>
      <c r="H1635" s="2">
        <v>73.720255300000005</v>
      </c>
      <c r="I1635" s="2">
        <v>36.4724857</v>
      </c>
      <c r="J1635" s="2">
        <v>43.208908399999999</v>
      </c>
      <c r="L1635" s="2"/>
      <c r="M1635" s="2"/>
    </row>
    <row r="1636" spans="2:13">
      <c r="B1636" s="2"/>
      <c r="C1636" s="1">
        <v>13.693525210000001</v>
      </c>
      <c r="D1636" s="1">
        <v>128.59887209999999</v>
      </c>
      <c r="E1636" s="1"/>
      <c r="H1636" s="2">
        <v>23.316395100000001</v>
      </c>
      <c r="I1636" s="2">
        <v>38.338085999999997</v>
      </c>
      <c r="J1636" s="2">
        <v>5.0056981499999997</v>
      </c>
      <c r="L1636" s="2"/>
      <c r="M1636" s="2"/>
    </row>
    <row r="1637" spans="2:13">
      <c r="B1637" s="2"/>
      <c r="C1637" s="1">
        <v>21.083681680000002</v>
      </c>
      <c r="D1637" s="1">
        <v>8.9373478849999994</v>
      </c>
      <c r="E1637" s="1"/>
      <c r="H1637" s="2">
        <v>50.225418400000002</v>
      </c>
      <c r="I1637" s="2">
        <v>2.4874670499999998</v>
      </c>
      <c r="J1637" s="2">
        <v>21.413264300000002</v>
      </c>
      <c r="L1637" s="2"/>
      <c r="M1637" s="2"/>
    </row>
    <row r="1638" spans="2:13">
      <c r="B1638" s="2"/>
      <c r="C1638" s="1">
        <v>5.2346941620000003</v>
      </c>
      <c r="D1638" s="1">
        <v>1.8336403779999999</v>
      </c>
      <c r="E1638" s="1"/>
      <c r="H1638" s="2">
        <v>6.01943669</v>
      </c>
      <c r="I1638" s="2">
        <v>24.392723799999999</v>
      </c>
      <c r="J1638" s="2">
        <v>95.455882799999998</v>
      </c>
      <c r="L1638" s="2"/>
      <c r="M1638" s="2"/>
    </row>
    <row r="1639" spans="2:13">
      <c r="B1639" s="2"/>
      <c r="C1639" s="1">
        <v>7.2512891450000003</v>
      </c>
      <c r="D1639" s="1">
        <v>2.0447068960000001</v>
      </c>
      <c r="E1639" s="1"/>
      <c r="H1639" s="2">
        <v>25.1365014</v>
      </c>
      <c r="I1639" s="2">
        <v>62.855183099999998</v>
      </c>
      <c r="J1639" s="2">
        <v>42.513672499999998</v>
      </c>
      <c r="L1639" s="2"/>
      <c r="M1639" s="2"/>
    </row>
    <row r="1640" spans="2:13">
      <c r="B1640" s="2"/>
      <c r="C1640" s="1">
        <v>97.104482360000006</v>
      </c>
      <c r="D1640" s="1">
        <v>1.5895947159999999</v>
      </c>
      <c r="E1640" s="1"/>
      <c r="H1640" s="2">
        <v>90.535420799999997</v>
      </c>
      <c r="I1640" s="2">
        <v>34.2182186</v>
      </c>
      <c r="J1640" s="2">
        <v>37.647021500000001</v>
      </c>
      <c r="L1640" s="2"/>
      <c r="M1640" s="2"/>
    </row>
    <row r="1641" spans="2:13">
      <c r="B1641" s="2"/>
      <c r="C1641" s="1">
        <v>43.990751629999998</v>
      </c>
      <c r="D1641" s="1">
        <v>0.53426212500000003</v>
      </c>
      <c r="E1641" s="1"/>
      <c r="H1641" s="2">
        <v>41.077302199999998</v>
      </c>
      <c r="I1641" s="2">
        <v>35.197658799999999</v>
      </c>
      <c r="J1641" s="2">
        <v>20.231363399999999</v>
      </c>
      <c r="L1641" s="2"/>
      <c r="M1641" s="2"/>
    </row>
    <row r="1642" spans="2:13">
      <c r="B1642" s="2"/>
      <c r="C1642" s="1">
        <v>68.703096729999999</v>
      </c>
      <c r="D1642" s="1">
        <v>1.893002836</v>
      </c>
      <c r="E1642" s="1"/>
      <c r="H1642" s="2">
        <v>42.237173800000001</v>
      </c>
      <c r="I1642" s="2">
        <v>28.1239244</v>
      </c>
      <c r="J1642" s="2">
        <v>10.393776000000001</v>
      </c>
      <c r="L1642" s="2"/>
      <c r="M1642" s="2"/>
    </row>
    <row r="1643" spans="2:13">
      <c r="B1643" s="2"/>
      <c r="C1643" s="1">
        <v>33.708532300000002</v>
      </c>
      <c r="D1643" s="1">
        <v>459.34670219999998</v>
      </c>
      <c r="E1643" s="1"/>
      <c r="H1643" s="2">
        <v>23.292602800000001</v>
      </c>
      <c r="I1643" s="2">
        <v>8.3174679600000001</v>
      </c>
      <c r="J1643" s="2">
        <v>30.277521499999999</v>
      </c>
      <c r="L1643" s="2"/>
      <c r="M1643" s="2"/>
    </row>
    <row r="1644" spans="2:13">
      <c r="B1644" s="2"/>
      <c r="C1644" s="1">
        <v>13.99541069</v>
      </c>
      <c r="D1644" s="1">
        <v>2.8230146829999998</v>
      </c>
      <c r="E1644" s="1"/>
      <c r="H1644" s="2">
        <v>15.6612419</v>
      </c>
      <c r="I1644" s="2">
        <v>23.1800836</v>
      </c>
      <c r="J1644" s="2">
        <v>58.921238700000004</v>
      </c>
      <c r="L1644" s="2"/>
      <c r="M1644" s="2"/>
    </row>
    <row r="1645" spans="2:13">
      <c r="B1645" s="2"/>
      <c r="C1645" s="1">
        <v>15.027859019999999</v>
      </c>
      <c r="D1645" s="1">
        <v>2.8296105109999998</v>
      </c>
      <c r="E1645" s="1"/>
      <c r="H1645" s="2">
        <v>31.042925</v>
      </c>
      <c r="I1645" s="2">
        <v>79.381292299999998</v>
      </c>
      <c r="J1645" s="2">
        <v>48.875080599999997</v>
      </c>
      <c r="L1645" s="2"/>
      <c r="M1645" s="2"/>
    </row>
    <row r="1646" spans="2:13">
      <c r="B1646" s="2"/>
      <c r="C1646" s="1">
        <v>33.599853529999997</v>
      </c>
      <c r="D1646" s="1">
        <v>1.457678142</v>
      </c>
      <c r="E1646" s="1"/>
      <c r="H1646" s="2">
        <v>53.3838382</v>
      </c>
      <c r="I1646" s="2">
        <v>38.089339199999998</v>
      </c>
      <c r="J1646" s="2">
        <v>43.069861199999998</v>
      </c>
      <c r="L1646" s="2"/>
      <c r="M1646" s="2"/>
    </row>
    <row r="1647" spans="2:13">
      <c r="B1647" s="2"/>
      <c r="C1647" s="1">
        <v>53.669200009999997</v>
      </c>
      <c r="D1647" s="1">
        <v>12.558457840000001</v>
      </c>
      <c r="E1647" s="1"/>
      <c r="H1647" s="2">
        <v>65.535724799999997</v>
      </c>
      <c r="I1647" s="2">
        <v>32.492538400000001</v>
      </c>
      <c r="J1647" s="2">
        <v>6.3961698599999997</v>
      </c>
      <c r="L1647" s="2"/>
      <c r="M1647" s="2"/>
    </row>
    <row r="1648" spans="2:13">
      <c r="B1648" s="2"/>
      <c r="C1648" s="1">
        <v>60.908413729999999</v>
      </c>
      <c r="D1648" s="1">
        <v>0.44851635099999998</v>
      </c>
      <c r="E1648" s="1"/>
      <c r="H1648" s="2">
        <v>53.990540299999999</v>
      </c>
      <c r="I1648" s="2">
        <v>8.6128546700000008</v>
      </c>
      <c r="J1648" s="2">
        <v>69.315014700000006</v>
      </c>
      <c r="L1648" s="2"/>
      <c r="M1648" s="2"/>
    </row>
    <row r="1649" spans="2:13">
      <c r="B1649" s="2"/>
      <c r="C1649" s="1">
        <v>18.55388138</v>
      </c>
      <c r="D1649" s="1">
        <v>2.1238568409999998</v>
      </c>
      <c r="E1649" s="1"/>
      <c r="H1649" s="2">
        <v>10.4210011</v>
      </c>
      <c r="I1649" s="2">
        <v>55.688168599999997</v>
      </c>
      <c r="J1649" s="2">
        <v>13.0356723</v>
      </c>
      <c r="L1649" s="2"/>
      <c r="M1649" s="2"/>
    </row>
    <row r="1650" spans="2:13">
      <c r="B1650" s="2"/>
      <c r="C1650" s="1">
        <v>178.22110989999999</v>
      </c>
      <c r="D1650" s="1">
        <v>0.613412069</v>
      </c>
      <c r="E1650" s="1"/>
      <c r="H1650" s="2">
        <v>82.172448500000002</v>
      </c>
      <c r="I1650" s="2">
        <v>14.5672289</v>
      </c>
      <c r="J1650" s="2">
        <v>43.243670199999997</v>
      </c>
      <c r="L1650" s="2"/>
      <c r="M1650" s="2"/>
    </row>
    <row r="1651" spans="2:13">
      <c r="B1651" s="2"/>
      <c r="C1651" s="1">
        <v>17.467093670000001</v>
      </c>
      <c r="D1651" s="1">
        <v>4.7358050049999996</v>
      </c>
      <c r="E1651" s="1"/>
      <c r="H1651" s="2">
        <v>15.298410199999999</v>
      </c>
      <c r="I1651" s="2">
        <v>47.541713999999999</v>
      </c>
      <c r="J1651" s="2">
        <v>9.8723491400000007</v>
      </c>
      <c r="L1651" s="2"/>
      <c r="M1651" s="2"/>
    </row>
    <row r="1652" spans="2:13">
      <c r="B1652" s="2"/>
      <c r="C1652" s="1">
        <v>62.749915139999999</v>
      </c>
      <c r="D1652" s="1">
        <v>1.437890656</v>
      </c>
      <c r="E1652" s="1"/>
      <c r="H1652" s="2">
        <v>52.3548239</v>
      </c>
      <c r="I1652" s="2">
        <v>10.307441600000001</v>
      </c>
      <c r="J1652" s="2">
        <v>42.687481499999997</v>
      </c>
      <c r="L1652" s="2"/>
      <c r="M1652" s="2"/>
    </row>
    <row r="1653" spans="2:13">
      <c r="B1653" s="2"/>
      <c r="C1653" s="1">
        <v>5.9048799199999999</v>
      </c>
      <c r="D1653" s="1">
        <v>3.014293715</v>
      </c>
      <c r="E1653" s="1"/>
      <c r="H1653" s="2">
        <v>13.079783900000001</v>
      </c>
      <c r="I1653" s="2">
        <v>39.675099500000002</v>
      </c>
      <c r="J1653" s="2">
        <v>25.932297399999999</v>
      </c>
      <c r="L1653" s="2"/>
      <c r="M1653" s="2"/>
    </row>
    <row r="1654" spans="2:13">
      <c r="B1654" s="2"/>
      <c r="C1654" s="1">
        <v>98.30598655</v>
      </c>
      <c r="D1654" s="1">
        <v>0.62660372600000003</v>
      </c>
      <c r="E1654" s="1"/>
      <c r="H1654" s="2">
        <v>60.2657436</v>
      </c>
      <c r="I1654" s="2">
        <v>24.423817100000001</v>
      </c>
      <c r="J1654" s="2">
        <v>70.392630299999993</v>
      </c>
      <c r="L1654" s="2"/>
      <c r="M1654" s="2"/>
    </row>
    <row r="1655" spans="2:13">
      <c r="B1655" s="2"/>
      <c r="C1655" s="1">
        <v>37.572666400000003</v>
      </c>
      <c r="D1655" s="1">
        <v>518.55086059999996</v>
      </c>
      <c r="E1655" s="1"/>
      <c r="H1655" s="2">
        <v>32.5656283</v>
      </c>
      <c r="I1655" s="2">
        <v>32.539178399999997</v>
      </c>
      <c r="J1655" s="2">
        <v>8.0647359099999996</v>
      </c>
      <c r="L1655" s="2"/>
      <c r="M1655" s="2"/>
    </row>
    <row r="1656" spans="2:13">
      <c r="B1656" s="2"/>
      <c r="C1656" s="1">
        <v>22.405940059999999</v>
      </c>
      <c r="D1656" s="1">
        <v>1.226824138</v>
      </c>
      <c r="E1656" s="1"/>
      <c r="H1656" s="2">
        <v>58.760884400000002</v>
      </c>
      <c r="I1656" s="2">
        <v>7.0115477500000001</v>
      </c>
      <c r="J1656" s="2">
        <v>81.620689299999995</v>
      </c>
      <c r="L1656" s="2"/>
      <c r="M1656" s="2"/>
    </row>
    <row r="1657" spans="2:13">
      <c r="B1657" s="2"/>
      <c r="C1657" s="1">
        <v>19.012747310000002</v>
      </c>
      <c r="D1657" s="1">
        <v>19.76769861</v>
      </c>
      <c r="E1657" s="1"/>
      <c r="H1657" s="2">
        <v>13.4426155</v>
      </c>
      <c r="I1657" s="2">
        <v>54.413341799999998</v>
      </c>
      <c r="J1657" s="2">
        <v>15.7123303</v>
      </c>
      <c r="L1657" s="2"/>
      <c r="M1657" s="2"/>
    </row>
    <row r="1658" spans="2:13">
      <c r="B1658" s="2"/>
      <c r="C1658" s="1">
        <v>53.578634360000002</v>
      </c>
      <c r="D1658" s="1">
        <v>29.021646270000002</v>
      </c>
      <c r="E1658" s="1"/>
      <c r="H1658" s="2">
        <v>74.880127000000002</v>
      </c>
      <c r="I1658" s="2">
        <v>19.433336300000001</v>
      </c>
      <c r="J1658" s="2">
        <v>238.04875699999999</v>
      </c>
      <c r="L1658" s="2"/>
      <c r="M1658" s="2"/>
    </row>
    <row r="1659" spans="2:13">
      <c r="B1659" s="2"/>
      <c r="C1659" s="1">
        <v>28.60666775</v>
      </c>
      <c r="D1659" s="1">
        <v>6.0879498879999998</v>
      </c>
      <c r="E1659" s="1"/>
      <c r="H1659" s="2">
        <v>18.290284400000001</v>
      </c>
      <c r="I1659" s="2">
        <v>239.91619700000001</v>
      </c>
      <c r="J1659" s="2">
        <v>119.198187</v>
      </c>
      <c r="L1659" s="2"/>
      <c r="M1659" s="2"/>
    </row>
    <row r="1660" spans="2:13">
      <c r="B1660" s="2"/>
      <c r="C1660" s="1">
        <v>259.1505684</v>
      </c>
      <c r="D1660" s="1">
        <v>1.5038489429999999</v>
      </c>
      <c r="E1660" s="1"/>
      <c r="H1660" s="2">
        <v>250.72857200000001</v>
      </c>
      <c r="I1660" s="2">
        <v>92.658147700000001</v>
      </c>
      <c r="J1660" s="2">
        <v>55.584106599999998</v>
      </c>
      <c r="L1660" s="2"/>
      <c r="M1660" s="2"/>
    </row>
    <row r="1661" spans="2:13">
      <c r="B1661" s="2"/>
      <c r="C1661" s="1">
        <v>104.4523749</v>
      </c>
      <c r="D1661" s="1">
        <v>3.119826974</v>
      </c>
      <c r="E1661" s="1"/>
      <c r="H1661" s="2">
        <v>136.293846</v>
      </c>
      <c r="I1661" s="2">
        <v>67.317077100000006</v>
      </c>
      <c r="J1661" s="2">
        <v>14.7390001</v>
      </c>
      <c r="L1661" s="2"/>
      <c r="M1661" s="2"/>
    </row>
    <row r="1662" spans="2:13">
      <c r="B1662" s="2"/>
      <c r="C1662" s="1">
        <v>90.927905510000002</v>
      </c>
      <c r="D1662" s="1">
        <v>1.4312948270000001</v>
      </c>
      <c r="E1662" s="1"/>
      <c r="H1662" s="2">
        <v>72.161863600000004</v>
      </c>
      <c r="I1662" s="2">
        <v>31.7152049</v>
      </c>
      <c r="J1662" s="2">
        <v>33.301797399999998</v>
      </c>
      <c r="L1662" s="2"/>
      <c r="M1662" s="2"/>
    </row>
    <row r="1663" spans="2:13">
      <c r="B1663" s="2"/>
      <c r="C1663" s="1">
        <v>36.280596559999999</v>
      </c>
      <c r="D1663" s="1">
        <v>2.4140733029999999</v>
      </c>
      <c r="E1663" s="1"/>
      <c r="H1663" s="2">
        <v>23.9171491</v>
      </c>
      <c r="I1663" s="2">
        <v>50.277927800000001</v>
      </c>
      <c r="J1663" s="2">
        <v>9.8375873400000007</v>
      </c>
      <c r="L1663" s="2"/>
      <c r="M1663" s="2"/>
    </row>
    <row r="1664" spans="2:13">
      <c r="B1664" s="2"/>
      <c r="C1664" s="1">
        <v>33.557589559999997</v>
      </c>
      <c r="D1664" s="1">
        <v>3.5617474969999998</v>
      </c>
      <c r="E1664" s="1"/>
      <c r="H1664" s="2">
        <v>44.7413071</v>
      </c>
      <c r="I1664" s="2">
        <v>14.7693356</v>
      </c>
      <c r="J1664" s="2">
        <v>13.904717099999999</v>
      </c>
      <c r="L1664" s="2"/>
      <c r="M1664" s="2"/>
    </row>
    <row r="1665" spans="2:13">
      <c r="B1665" s="2"/>
      <c r="C1665" s="1">
        <v>15.39012159</v>
      </c>
      <c r="D1665" s="1">
        <v>1.6951279749999999</v>
      </c>
      <c r="E1665" s="1"/>
      <c r="H1665" s="2">
        <v>14.067161799999999</v>
      </c>
      <c r="I1665" s="2">
        <v>13.1369354</v>
      </c>
      <c r="J1665" s="2">
        <v>7.6128326099999999</v>
      </c>
      <c r="L1665" s="2"/>
      <c r="M1665" s="2"/>
    </row>
    <row r="1666" spans="2:13">
      <c r="B1666" s="2"/>
      <c r="C1666" s="1">
        <v>10.058824080000001</v>
      </c>
      <c r="D1666" s="1">
        <v>7.3345615119999996</v>
      </c>
      <c r="E1666" s="1"/>
      <c r="H1666" s="2">
        <v>18.409245599999998</v>
      </c>
      <c r="I1666" s="2">
        <v>8.5506679900000009</v>
      </c>
      <c r="J1666" s="2">
        <v>50.126505100000003</v>
      </c>
      <c r="L1666" s="2"/>
      <c r="M1666" s="2"/>
    </row>
    <row r="1667" spans="2:13">
      <c r="B1667" s="2"/>
      <c r="C1667" s="1">
        <v>13.506356220000001</v>
      </c>
      <c r="D1667" s="1">
        <v>0.244045662</v>
      </c>
      <c r="E1667" s="1"/>
      <c r="H1667" s="2">
        <v>11.4381193</v>
      </c>
      <c r="I1667" s="2">
        <v>59.7147559</v>
      </c>
      <c r="J1667" s="2">
        <v>109.81250300000001</v>
      </c>
      <c r="L1667" s="2"/>
      <c r="M1667" s="2"/>
    </row>
    <row r="1668" spans="2:13">
      <c r="B1668" s="2"/>
      <c r="C1668" s="1">
        <v>16.978039200000001</v>
      </c>
      <c r="D1668" s="1">
        <v>6.5958287000000004E-2</v>
      </c>
      <c r="E1668" s="1"/>
      <c r="H1668" s="2">
        <v>53.211344500000003</v>
      </c>
      <c r="I1668" s="2">
        <v>129.05289999999999</v>
      </c>
      <c r="J1668" s="2">
        <v>6.3266462800000003</v>
      </c>
      <c r="L1668" s="2"/>
      <c r="M1668" s="2"/>
    </row>
    <row r="1669" spans="2:13">
      <c r="B1669" s="2"/>
      <c r="C1669" s="1">
        <v>140.76919770000001</v>
      </c>
      <c r="D1669" s="1">
        <v>0.224258176</v>
      </c>
      <c r="E1669" s="1"/>
      <c r="H1669" s="2">
        <v>107.356534</v>
      </c>
      <c r="I1669" s="2">
        <v>11.3957084</v>
      </c>
      <c r="J1669" s="2">
        <v>3.1633231400000001</v>
      </c>
      <c r="L1669" s="2"/>
      <c r="M1669" s="2"/>
    </row>
    <row r="1670" spans="2:13">
      <c r="B1670" s="2"/>
      <c r="C1670" s="1">
        <v>12.298814309999999</v>
      </c>
      <c r="D1670" s="1">
        <v>0.310003949</v>
      </c>
      <c r="E1670" s="1"/>
      <c r="H1670" s="2">
        <v>8.7020117399999997</v>
      </c>
      <c r="I1670" s="2">
        <v>4.21314732</v>
      </c>
      <c r="J1670" s="2">
        <v>7.3347382699999999</v>
      </c>
      <c r="L1670" s="2"/>
      <c r="M1670" s="2"/>
    </row>
    <row r="1671" spans="2:13">
      <c r="B1671" s="2"/>
      <c r="C1671" s="1">
        <v>2.4271592310000001</v>
      </c>
      <c r="D1671" s="1">
        <v>339.51368639999998</v>
      </c>
      <c r="E1671" s="1"/>
      <c r="H1671" s="2">
        <v>3.3547058199999999</v>
      </c>
      <c r="I1671" s="2">
        <v>7.1670144499999999</v>
      </c>
      <c r="J1671" s="2">
        <v>6.4309316499999998</v>
      </c>
      <c r="L1671" s="2"/>
      <c r="M1671" s="2"/>
    </row>
    <row r="1672" spans="2:13">
      <c r="B1672" s="2"/>
      <c r="C1672" s="1">
        <v>5.7599748909999997</v>
      </c>
      <c r="D1672" s="1">
        <v>0.89043687400000004</v>
      </c>
      <c r="E1672" s="1"/>
      <c r="H1672" s="2">
        <v>9.2373371300000002</v>
      </c>
      <c r="I1672" s="2">
        <v>9.8099481900000001</v>
      </c>
      <c r="J1672" s="2">
        <v>45.989851799999997</v>
      </c>
      <c r="L1672" s="2"/>
      <c r="M1672" s="2"/>
    </row>
    <row r="1673" spans="2:13">
      <c r="B1673" s="2"/>
      <c r="C1673" s="1">
        <v>6.0316718199999997</v>
      </c>
      <c r="D1673" s="1">
        <v>1.088311735</v>
      </c>
      <c r="E1673" s="1"/>
      <c r="H1673" s="2">
        <v>9.8202470099999992</v>
      </c>
      <c r="I1673" s="2">
        <v>95.425454799999997</v>
      </c>
      <c r="J1673" s="2">
        <v>17.971846800000002</v>
      </c>
      <c r="L1673" s="2"/>
      <c r="M1673" s="2"/>
    </row>
    <row r="1674" spans="2:13">
      <c r="B1674" s="2"/>
      <c r="C1674" s="1">
        <v>88.24716248</v>
      </c>
      <c r="D1674" s="1">
        <v>1.7281071189999999</v>
      </c>
      <c r="E1674" s="1"/>
      <c r="H1674" s="2">
        <v>57.089479599999997</v>
      </c>
      <c r="I1674" s="2">
        <v>32.570271699999999</v>
      </c>
      <c r="J1674" s="2">
        <v>6.6395024100000004</v>
      </c>
      <c r="L1674" s="2"/>
      <c r="M1674" s="2"/>
    </row>
    <row r="1675" spans="2:13">
      <c r="B1675" s="2"/>
      <c r="C1675" s="1">
        <v>13.4942808</v>
      </c>
      <c r="D1675" s="1">
        <v>0.99597013300000004</v>
      </c>
      <c r="E1675" s="1"/>
      <c r="H1675" s="2">
        <v>29.585650300000001</v>
      </c>
      <c r="I1675" s="2">
        <v>4.22869399</v>
      </c>
      <c r="J1675" s="2">
        <v>15.3299506</v>
      </c>
      <c r="L1675" s="2"/>
      <c r="M1675" s="2"/>
    </row>
    <row r="1676" spans="2:13">
      <c r="B1676" s="2"/>
      <c r="C1676" s="1">
        <v>13.735789179999999</v>
      </c>
      <c r="D1676" s="1">
        <v>0.46170800899999997</v>
      </c>
      <c r="E1676" s="1"/>
      <c r="H1676" s="2">
        <v>9.4990517699999995</v>
      </c>
      <c r="I1676" s="2">
        <v>20.210669800000002</v>
      </c>
      <c r="J1676" s="2">
        <v>18.2151794</v>
      </c>
      <c r="L1676" s="2"/>
      <c r="M1676" s="2"/>
    </row>
    <row r="1677" spans="2:13">
      <c r="B1677" s="2"/>
      <c r="C1677" s="1">
        <v>20.570476370000002</v>
      </c>
      <c r="D1677" s="1">
        <v>3.1396144600000002</v>
      </c>
      <c r="E1677" s="1"/>
      <c r="H1677" s="2">
        <v>17.588413299999999</v>
      </c>
      <c r="I1677" s="2">
        <v>12.515068599999999</v>
      </c>
      <c r="J1677" s="2">
        <v>5.5271250399999996</v>
      </c>
      <c r="L1677" s="2"/>
      <c r="M1677" s="2"/>
    </row>
    <row r="1678" spans="2:13">
      <c r="B1678" s="2"/>
      <c r="C1678" s="1">
        <v>15.30559366</v>
      </c>
      <c r="D1678" s="1">
        <v>0.65958287000000004</v>
      </c>
      <c r="E1678" s="1"/>
      <c r="H1678" s="2">
        <v>21.305950800000002</v>
      </c>
      <c r="I1678" s="2">
        <v>5.59680087</v>
      </c>
      <c r="J1678" s="2">
        <v>59.581712699999997</v>
      </c>
      <c r="L1678" s="2"/>
      <c r="M1678" s="2"/>
    </row>
    <row r="1679" spans="2:13">
      <c r="B1679" s="2"/>
      <c r="C1679" s="1">
        <v>11.67693023</v>
      </c>
      <c r="D1679" s="1">
        <v>63.808046820000001</v>
      </c>
      <c r="E1679" s="1"/>
      <c r="H1679" s="2">
        <v>6.6023465699999999</v>
      </c>
      <c r="I1679" s="2">
        <v>57.382755600000003</v>
      </c>
      <c r="J1679" s="2">
        <v>13.0009105</v>
      </c>
      <c r="L1679" s="2"/>
      <c r="M1679" s="2"/>
    </row>
    <row r="1680" spans="2:13">
      <c r="B1680" s="2"/>
      <c r="C1680" s="1">
        <v>54.279008670000003</v>
      </c>
      <c r="D1680" s="1">
        <v>5.6922001660000001</v>
      </c>
      <c r="E1680" s="1"/>
      <c r="H1680" s="2">
        <v>67.022739700000002</v>
      </c>
      <c r="I1680" s="2">
        <v>13.5411488</v>
      </c>
      <c r="J1680" s="2">
        <v>4.2757005100000001</v>
      </c>
      <c r="L1680" s="2"/>
      <c r="M1680" s="2"/>
    </row>
    <row r="1681" spans="2:13">
      <c r="B1681" s="2"/>
      <c r="C1681" s="1">
        <v>12.021079670000001</v>
      </c>
      <c r="D1681" s="1">
        <v>1.0949075640000001</v>
      </c>
      <c r="E1681" s="1"/>
      <c r="H1681" s="2">
        <v>13.888719999999999</v>
      </c>
      <c r="I1681" s="2">
        <v>8.2397346099999993</v>
      </c>
      <c r="J1681" s="2">
        <v>64.830743400000003</v>
      </c>
      <c r="L1681" s="2"/>
      <c r="M1681" s="2"/>
    </row>
    <row r="1682" spans="2:13">
      <c r="B1682" s="2"/>
      <c r="C1682" s="1">
        <v>6.6716690300000003</v>
      </c>
      <c r="D1682" s="1">
        <v>6.5034870959999997</v>
      </c>
      <c r="E1682" s="1"/>
      <c r="H1682" s="2">
        <v>6.12650177</v>
      </c>
      <c r="I1682" s="2">
        <v>42.178113199999999</v>
      </c>
      <c r="J1682" s="2">
        <v>37.855592299999998</v>
      </c>
      <c r="L1682" s="2"/>
      <c r="M1682" s="2"/>
    </row>
    <row r="1683" spans="2:13">
      <c r="B1683" s="2"/>
      <c r="C1683" s="1">
        <v>102.32710109999999</v>
      </c>
      <c r="D1683" s="1">
        <v>6.3056122349999999</v>
      </c>
      <c r="E1683" s="1"/>
      <c r="H1683" s="2">
        <v>76.396882300000001</v>
      </c>
      <c r="I1683" s="2">
        <v>33.985018599999997</v>
      </c>
      <c r="J1683" s="2">
        <v>100.42681899999999</v>
      </c>
      <c r="L1683" s="2"/>
      <c r="M1683" s="2"/>
    </row>
    <row r="1684" spans="2:13">
      <c r="B1684" s="2"/>
      <c r="C1684" s="1">
        <v>28.039123050000001</v>
      </c>
      <c r="D1684" s="1">
        <v>3.792601501</v>
      </c>
      <c r="E1684" s="1"/>
      <c r="H1684" s="2">
        <v>40.750158900000002</v>
      </c>
      <c r="I1684" s="2">
        <v>60.538729400000001</v>
      </c>
      <c r="J1684" s="2">
        <v>37.334165400000003</v>
      </c>
      <c r="L1684" s="2"/>
      <c r="M1684" s="2"/>
    </row>
    <row r="1685" spans="2:13">
      <c r="B1685" s="2"/>
      <c r="C1685" s="1">
        <v>103.0274754</v>
      </c>
      <c r="D1685" s="1">
        <v>0.49468715200000002</v>
      </c>
      <c r="E1685" s="1"/>
      <c r="H1685" s="2">
        <v>98.4284964</v>
      </c>
      <c r="I1685" s="2">
        <v>46.577820600000003</v>
      </c>
      <c r="J1685" s="2">
        <v>68.689302400000003</v>
      </c>
      <c r="L1685" s="2"/>
      <c r="M1685" s="2"/>
    </row>
    <row r="1686" spans="2:13">
      <c r="B1686" s="2"/>
      <c r="C1686" s="1">
        <v>136.22884010000001</v>
      </c>
      <c r="D1686" s="1">
        <v>0.91022435999999995</v>
      </c>
      <c r="E1686" s="1"/>
      <c r="H1686" s="2">
        <v>49.773365800000001</v>
      </c>
      <c r="I1686" s="2">
        <v>60.041235999999998</v>
      </c>
      <c r="J1686" s="2">
        <v>8.4123538399999997</v>
      </c>
      <c r="L1686" s="2"/>
      <c r="M1686" s="2"/>
    </row>
    <row r="1687" spans="2:13">
      <c r="B1687" s="2"/>
      <c r="C1687" s="1">
        <v>64.156701459999994</v>
      </c>
      <c r="D1687" s="1">
        <v>0.78490361500000005</v>
      </c>
      <c r="E1687" s="1"/>
      <c r="H1687" s="2">
        <v>70.811653899999996</v>
      </c>
      <c r="I1687" s="2">
        <v>5.0993074600000003</v>
      </c>
      <c r="J1687" s="2">
        <v>22.908021399999999</v>
      </c>
      <c r="L1687" s="2"/>
      <c r="M1687" s="2"/>
    </row>
    <row r="1688" spans="2:13">
      <c r="B1688" s="2"/>
      <c r="C1688" s="1">
        <v>14.47842745</v>
      </c>
      <c r="D1688" s="1">
        <v>1.0619284200000001</v>
      </c>
      <c r="E1688" s="1"/>
      <c r="H1688" s="2">
        <v>8.8090768199999996</v>
      </c>
      <c r="I1688" s="2">
        <v>27.921817699999998</v>
      </c>
      <c r="J1688" s="2">
        <v>11.575677000000001</v>
      </c>
      <c r="L1688" s="2"/>
      <c r="M1688" s="2"/>
    </row>
    <row r="1689" spans="2:13">
      <c r="B1689" s="2"/>
      <c r="C1689" s="1">
        <v>8.8633575889999996</v>
      </c>
      <c r="D1689" s="1">
        <v>0.13191657400000001</v>
      </c>
      <c r="E1689" s="1"/>
      <c r="H1689" s="2">
        <v>28.883779199999999</v>
      </c>
      <c r="I1689" s="2">
        <v>9.1414414199999996</v>
      </c>
      <c r="J1689" s="2">
        <v>16.442328</v>
      </c>
      <c r="L1689" s="2"/>
      <c r="M1689" s="2"/>
    </row>
    <row r="1690" spans="2:13">
      <c r="B1690" s="2"/>
      <c r="C1690" s="1">
        <v>8.2595866359999999</v>
      </c>
      <c r="D1690" s="1">
        <v>0.15170406</v>
      </c>
      <c r="E1690" s="1"/>
      <c r="H1690" s="2">
        <v>12.6693677</v>
      </c>
      <c r="I1690" s="2">
        <v>17.567736100000001</v>
      </c>
      <c r="J1690" s="2">
        <v>1.9466603899999999</v>
      </c>
      <c r="L1690" s="2"/>
      <c r="M1690" s="2"/>
    </row>
    <row r="1691" spans="2:13">
      <c r="B1691" s="2"/>
      <c r="C1691" s="1">
        <v>20.159912120000001</v>
      </c>
      <c r="D1691" s="1">
        <v>1.1146950499999999</v>
      </c>
      <c r="E1691" s="1"/>
      <c r="H1691" s="2">
        <v>18.986207400000001</v>
      </c>
      <c r="I1691" s="2">
        <v>3.56018722</v>
      </c>
      <c r="J1691" s="2">
        <v>4.1714151299999997</v>
      </c>
      <c r="L1691" s="2"/>
      <c r="M1691" s="2"/>
    </row>
    <row r="1692" spans="2:13">
      <c r="B1692" s="2"/>
      <c r="C1692" s="1">
        <v>3.296589403</v>
      </c>
      <c r="D1692" s="1">
        <v>0.75192447200000001</v>
      </c>
      <c r="E1692" s="1"/>
      <c r="H1692" s="2">
        <v>2.1175093500000002</v>
      </c>
      <c r="I1692" s="2">
        <v>5.2081341400000003</v>
      </c>
      <c r="J1692" s="2">
        <v>25.480394100000002</v>
      </c>
      <c r="L1692" s="2"/>
      <c r="M1692" s="2"/>
    </row>
    <row r="1693" spans="2:13">
      <c r="B1693" s="2"/>
      <c r="C1693" s="1">
        <v>1.5516913489999999</v>
      </c>
      <c r="D1693" s="1">
        <v>0.118724917</v>
      </c>
      <c r="E1693" s="1"/>
      <c r="H1693" s="2">
        <v>5.4186826300000002</v>
      </c>
      <c r="I1693" s="2">
        <v>23.941870399999999</v>
      </c>
      <c r="J1693" s="2">
        <v>18.7713681</v>
      </c>
      <c r="L1693" s="2"/>
      <c r="M1693" s="2"/>
    </row>
    <row r="1694" spans="2:13">
      <c r="B1694" s="2"/>
      <c r="C1694" s="1">
        <v>29.627040659999999</v>
      </c>
      <c r="D1694" s="1">
        <v>0.75192447200000001</v>
      </c>
      <c r="E1694" s="1"/>
      <c r="H1694" s="2">
        <v>26.998244199999998</v>
      </c>
      <c r="I1694" s="2">
        <v>18.842562900000001</v>
      </c>
      <c r="J1694" s="2">
        <v>2.95475238</v>
      </c>
      <c r="L1694" s="2"/>
      <c r="M1694" s="2"/>
    </row>
    <row r="1695" spans="2:13">
      <c r="B1695" s="2"/>
      <c r="C1695" s="1">
        <v>31.691937320000001</v>
      </c>
      <c r="D1695" s="1">
        <v>0.31659977700000003</v>
      </c>
      <c r="E1695" s="1"/>
      <c r="H1695" s="2">
        <v>16.1311386</v>
      </c>
      <c r="I1695" s="2">
        <v>4.4929873599999999</v>
      </c>
      <c r="J1695" s="2">
        <v>8.7599717699999999</v>
      </c>
      <c r="L1695" s="2"/>
      <c r="M1695" s="2"/>
    </row>
    <row r="1696" spans="2:13">
      <c r="B1696" s="2"/>
      <c r="C1696" s="1">
        <v>3.8882849369999999</v>
      </c>
      <c r="D1696" s="1">
        <v>6.9915784199999997</v>
      </c>
      <c r="E1696" s="1"/>
      <c r="H1696" s="2">
        <v>5.1331757500000004</v>
      </c>
      <c r="I1696" s="2">
        <v>10.2297083</v>
      </c>
      <c r="J1696" s="2">
        <v>9.7680637600000004</v>
      </c>
      <c r="L1696" s="2"/>
      <c r="M1696" s="2"/>
    </row>
    <row r="1697" spans="2:13">
      <c r="B1697" s="2"/>
      <c r="C1697" s="1">
        <v>29.476097920000001</v>
      </c>
      <c r="D1697" s="1">
        <v>1.371932369</v>
      </c>
      <c r="E1697" s="1"/>
      <c r="H1697" s="2">
        <v>16.398801299999999</v>
      </c>
      <c r="I1697" s="2">
        <v>8.3174679600000001</v>
      </c>
      <c r="J1697" s="2">
        <v>152.56950800000001</v>
      </c>
      <c r="L1697" s="2"/>
      <c r="M1697" s="2"/>
    </row>
    <row r="1698" spans="2:13">
      <c r="B1698" s="2"/>
      <c r="C1698" s="1">
        <v>20.045195639999999</v>
      </c>
      <c r="D1698" s="1">
        <v>10.592900889999999</v>
      </c>
      <c r="E1698" s="1"/>
      <c r="H1698" s="2">
        <v>9.6953377500000002</v>
      </c>
      <c r="I1698" s="2">
        <v>108.39137700000001</v>
      </c>
      <c r="J1698" s="2">
        <v>27.7051488</v>
      </c>
      <c r="L1698" s="2"/>
      <c r="M1698" s="2"/>
    </row>
    <row r="1699" spans="2:13">
      <c r="B1699" s="2"/>
      <c r="C1699" s="1">
        <v>115.35647830000001</v>
      </c>
      <c r="D1699" s="1">
        <v>48.756365729999999</v>
      </c>
      <c r="E1699" s="1"/>
      <c r="H1699" s="2">
        <v>152.53205</v>
      </c>
      <c r="I1699" s="2">
        <v>25.605364000000002</v>
      </c>
      <c r="J1699" s="2">
        <v>74.529283599999999</v>
      </c>
      <c r="L1699" s="2"/>
      <c r="M1699" s="2"/>
    </row>
    <row r="1700" spans="2:13">
      <c r="B1700" s="2"/>
      <c r="C1700" s="1">
        <v>31.764389829999999</v>
      </c>
      <c r="D1700" s="1">
        <v>2.2227942710000002</v>
      </c>
      <c r="E1700" s="1"/>
      <c r="H1700" s="2">
        <v>35.045969300000003</v>
      </c>
      <c r="I1700" s="2">
        <v>89.766467300000002</v>
      </c>
      <c r="J1700" s="2">
        <v>96.498736600000001</v>
      </c>
      <c r="L1700" s="2"/>
      <c r="M1700" s="2"/>
    </row>
    <row r="1701" spans="2:13">
      <c r="B1701" s="2"/>
      <c r="C1701" s="1">
        <v>217.12207240000001</v>
      </c>
      <c r="D1701" s="1">
        <v>0.56064543899999997</v>
      </c>
      <c r="E1701" s="1"/>
      <c r="H1701" s="2">
        <v>92.432851900000003</v>
      </c>
      <c r="I1701" s="2">
        <v>112.27804399999999</v>
      </c>
      <c r="J1701" s="2">
        <v>27.5661016</v>
      </c>
      <c r="L1701" s="2"/>
      <c r="M1701" s="2"/>
    </row>
    <row r="1702" spans="2:13">
      <c r="B1702" s="2"/>
      <c r="C1702" s="1">
        <v>243.93554040000001</v>
      </c>
      <c r="D1702" s="1">
        <v>1.0289492769999999</v>
      </c>
      <c r="E1702" s="1"/>
      <c r="H1702" s="2">
        <v>156.50535400000001</v>
      </c>
      <c r="I1702" s="2">
        <v>19.635442999999999</v>
      </c>
      <c r="J1702" s="2">
        <v>6.4656934499999998</v>
      </c>
      <c r="L1702" s="2"/>
      <c r="M1702" s="2"/>
    </row>
    <row r="1703" spans="2:13">
      <c r="B1703" s="2"/>
      <c r="C1703" s="1">
        <v>34.982489010000002</v>
      </c>
      <c r="D1703" s="1">
        <v>716.06954670000005</v>
      </c>
      <c r="E1703" s="1"/>
      <c r="H1703" s="2">
        <v>38.234129500000002</v>
      </c>
      <c r="I1703" s="2">
        <v>6.9182677400000001</v>
      </c>
      <c r="J1703" s="2">
        <v>24.715634600000001</v>
      </c>
      <c r="L1703" s="2"/>
      <c r="M1703" s="2"/>
    </row>
    <row r="1704" spans="2:13">
      <c r="B1704" s="2"/>
      <c r="C1704" s="1">
        <v>17.225585290000001</v>
      </c>
      <c r="D1704" s="1">
        <v>1.3983156839999999</v>
      </c>
      <c r="E1704" s="1"/>
      <c r="H1704" s="2">
        <v>8.6127908400000006</v>
      </c>
      <c r="I1704" s="2">
        <v>20.910269899999999</v>
      </c>
      <c r="J1704" s="2">
        <v>105.29347</v>
      </c>
      <c r="L1704" s="2"/>
      <c r="M1704" s="2"/>
    </row>
    <row r="1705" spans="2:13">
      <c r="B1705" s="2"/>
      <c r="C1705" s="1">
        <v>32.7545742</v>
      </c>
      <c r="D1705" s="1">
        <v>0.42872886500000001</v>
      </c>
      <c r="E1705" s="1"/>
      <c r="H1705" s="2">
        <v>27.3967642</v>
      </c>
      <c r="I1705" s="2">
        <v>94.679214700000003</v>
      </c>
      <c r="J1705" s="2">
        <v>50.508884799999997</v>
      </c>
      <c r="L1705" s="2"/>
      <c r="M1705" s="2"/>
    </row>
    <row r="1706" spans="2:13">
      <c r="B1706" s="2"/>
      <c r="C1706" s="1">
        <v>35.664750189999999</v>
      </c>
      <c r="D1706" s="1">
        <v>42.754161619999998</v>
      </c>
      <c r="E1706" s="1"/>
      <c r="H1706" s="2">
        <v>140.45748800000001</v>
      </c>
      <c r="I1706" s="2">
        <v>55.035208500000003</v>
      </c>
      <c r="J1706" s="2">
        <v>10.359014200000001</v>
      </c>
      <c r="L1706" s="2"/>
      <c r="M1706" s="2"/>
    </row>
    <row r="1707" spans="2:13">
      <c r="B1707" s="2"/>
      <c r="C1707" s="1">
        <v>25.310078350000001</v>
      </c>
      <c r="D1707" s="1">
        <v>0.21766234700000001</v>
      </c>
      <c r="E1707" s="1"/>
      <c r="H1707" s="2">
        <v>48.012740100000002</v>
      </c>
      <c r="I1707" s="2">
        <v>18.671549599999999</v>
      </c>
      <c r="J1707" s="2">
        <v>13.383290199999999</v>
      </c>
      <c r="L1707" s="2"/>
      <c r="M1707" s="2"/>
    </row>
    <row r="1708" spans="2:13">
      <c r="B1708" s="2"/>
      <c r="C1708" s="1">
        <v>9.1773184840000006</v>
      </c>
      <c r="D1708" s="1">
        <v>1.8995986650000001</v>
      </c>
      <c r="E1708" s="1"/>
      <c r="H1708" s="2">
        <v>12.7704848</v>
      </c>
      <c r="I1708" s="2">
        <v>18.080776100000001</v>
      </c>
      <c r="J1708" s="2">
        <v>5.38807787</v>
      </c>
      <c r="L1708" s="2"/>
      <c r="M1708" s="2"/>
    </row>
    <row r="1709" spans="2:13">
      <c r="B1709" s="2"/>
      <c r="C1709" s="1">
        <v>29.494211050000001</v>
      </c>
      <c r="D1709" s="1">
        <v>0.49468715200000002</v>
      </c>
      <c r="E1709" s="1"/>
      <c r="H1709" s="2">
        <v>19.586961500000001</v>
      </c>
      <c r="I1709" s="2">
        <v>7.4157611499999998</v>
      </c>
      <c r="J1709" s="2">
        <v>16.233757199999999</v>
      </c>
      <c r="L1709" s="2"/>
      <c r="M1709" s="2"/>
    </row>
    <row r="1710" spans="2:13">
      <c r="B1710" s="2"/>
      <c r="C1710" s="1">
        <v>7.8369469690000004</v>
      </c>
      <c r="D1710" s="1">
        <v>2.9615270850000002</v>
      </c>
      <c r="E1710" s="1"/>
      <c r="H1710" s="2">
        <v>5.6387608499999997</v>
      </c>
      <c r="I1710" s="2">
        <v>14.2252022</v>
      </c>
      <c r="J1710" s="2">
        <v>7.2304528899999996</v>
      </c>
      <c r="L1710" s="2"/>
      <c r="M1710" s="2"/>
    </row>
    <row r="1711" spans="2:13">
      <c r="B1711" s="2"/>
      <c r="C1711" s="1">
        <v>13.07164113</v>
      </c>
      <c r="D1711" s="1">
        <v>1.0817159059999999</v>
      </c>
      <c r="E1711" s="1"/>
      <c r="H1711" s="2">
        <v>21.169145400000001</v>
      </c>
      <c r="I1711" s="2">
        <v>8.0531745800000003</v>
      </c>
      <c r="J1711" s="2">
        <v>36.1522644</v>
      </c>
      <c r="L1711" s="2"/>
      <c r="M1711" s="2"/>
    </row>
    <row r="1712" spans="2:13">
      <c r="B1712" s="2"/>
      <c r="C1712" s="1">
        <v>11.586364590000001</v>
      </c>
      <c r="D1712" s="1">
        <v>2.2359859289999999</v>
      </c>
      <c r="E1712" s="1"/>
      <c r="H1712" s="2">
        <v>9.2849216099999996</v>
      </c>
      <c r="I1712" s="2">
        <v>29.010084500000001</v>
      </c>
      <c r="J1712" s="2">
        <v>19.501365700000001</v>
      </c>
      <c r="L1712" s="2"/>
      <c r="M1712" s="2"/>
    </row>
    <row r="1713" spans="2:13">
      <c r="B1713" s="2"/>
      <c r="C1713" s="1">
        <v>35.74927812</v>
      </c>
      <c r="D1713" s="1">
        <v>2.7372689100000001</v>
      </c>
      <c r="E1713" s="1"/>
      <c r="H1713" s="2">
        <v>45.966607400000001</v>
      </c>
      <c r="I1713" s="2">
        <v>31.3576315</v>
      </c>
      <c r="J1713" s="2">
        <v>27.183721899999998</v>
      </c>
      <c r="L1713" s="2"/>
      <c r="M1713" s="2"/>
    </row>
    <row r="1714" spans="2:13">
      <c r="B1714" s="2"/>
      <c r="C1714" s="1">
        <v>27.531955450000002</v>
      </c>
      <c r="D1714" s="1">
        <v>3.1659977750000001</v>
      </c>
      <c r="E1714" s="1"/>
      <c r="H1714" s="2">
        <v>28.532843700000001</v>
      </c>
      <c r="I1714" s="2">
        <v>29.709684599999999</v>
      </c>
      <c r="J1714" s="2">
        <v>48.979365999999999</v>
      </c>
      <c r="L1714" s="2"/>
      <c r="M1714" s="2"/>
    </row>
    <row r="1715" spans="2:13">
      <c r="B1715" s="2"/>
      <c r="C1715" s="1">
        <v>34.8496594</v>
      </c>
      <c r="D1715" s="1">
        <v>484.12723060000002</v>
      </c>
      <c r="E1715" s="1"/>
      <c r="H1715" s="2">
        <v>37.603635099999998</v>
      </c>
      <c r="I1715" s="2">
        <v>33.642991899999998</v>
      </c>
      <c r="J1715" s="2">
        <v>25.584679399999999</v>
      </c>
      <c r="L1715" s="2"/>
      <c r="M1715" s="2"/>
    </row>
    <row r="1716" spans="2:13">
      <c r="B1716" s="2"/>
      <c r="C1716" s="1">
        <v>31.75231441</v>
      </c>
      <c r="D1716" s="1">
        <v>2.4998190760000001</v>
      </c>
      <c r="E1716" s="1"/>
      <c r="H1716" s="2">
        <v>49.535443399999998</v>
      </c>
      <c r="I1716" s="2">
        <v>44.696673599999997</v>
      </c>
      <c r="J1716" s="2">
        <v>53.2203047</v>
      </c>
      <c r="L1716" s="2"/>
      <c r="M1716" s="2"/>
    </row>
    <row r="1717" spans="2:13">
      <c r="B1717" s="2"/>
      <c r="C1717" s="1">
        <v>16.470871599999999</v>
      </c>
      <c r="D1717" s="1">
        <v>1.0619284200000001</v>
      </c>
      <c r="E1717" s="1"/>
      <c r="H1717" s="2">
        <v>36.651945499999997</v>
      </c>
      <c r="I1717" s="2">
        <v>68.436437299999994</v>
      </c>
      <c r="J1717" s="2">
        <v>16.059948200000001</v>
      </c>
      <c r="L1717" s="2"/>
      <c r="M1717" s="2"/>
    </row>
    <row r="1718" spans="2:13">
      <c r="B1718" s="2"/>
      <c r="C1718" s="1">
        <v>28.479875849999999</v>
      </c>
      <c r="D1718" s="1">
        <v>1.3983156839999999</v>
      </c>
      <c r="E1718" s="1"/>
      <c r="H1718" s="2">
        <v>53.1875523</v>
      </c>
      <c r="I1718" s="2">
        <v>26.6314441</v>
      </c>
      <c r="J1718" s="2">
        <v>21.204693599999999</v>
      </c>
      <c r="L1718" s="2"/>
      <c r="M1718" s="2"/>
    </row>
    <row r="1719" spans="2:13">
      <c r="B1719" s="2"/>
      <c r="C1719" s="1">
        <v>40.826991839999998</v>
      </c>
      <c r="D1719" s="1">
        <v>0.54745378200000006</v>
      </c>
      <c r="E1719" s="1"/>
      <c r="H1719" s="2">
        <v>24.500059</v>
      </c>
      <c r="I1719" s="2">
        <v>17.971949500000001</v>
      </c>
      <c r="J1719" s="2">
        <v>5.6314104199999999</v>
      </c>
      <c r="L1719" s="2"/>
      <c r="M1719" s="2"/>
    </row>
    <row r="1720" spans="2:13">
      <c r="B1720" s="2"/>
      <c r="C1720" s="1">
        <v>9.0927905510000002</v>
      </c>
      <c r="D1720" s="1">
        <v>0.63319955500000003</v>
      </c>
      <c r="E1720" s="1"/>
      <c r="H1720" s="2">
        <v>23.1439013</v>
      </c>
      <c r="I1720" s="2">
        <v>7.6956011899999996</v>
      </c>
      <c r="J1720" s="2">
        <v>32.085134699999998</v>
      </c>
      <c r="L1720" s="2"/>
      <c r="M1720" s="2"/>
    </row>
    <row r="1721" spans="2:13">
      <c r="B1721" s="2"/>
      <c r="C1721" s="1">
        <v>3.4475321409999999</v>
      </c>
      <c r="D1721" s="1">
        <v>0.89043687400000004</v>
      </c>
      <c r="E1721" s="1"/>
      <c r="H1721" s="2">
        <v>6.4893334300000003</v>
      </c>
      <c r="I1721" s="2">
        <v>22.216190099999999</v>
      </c>
      <c r="J1721" s="2">
        <v>12.8618633</v>
      </c>
      <c r="L1721" s="2"/>
      <c r="M1721" s="2"/>
    </row>
    <row r="1722" spans="2:13">
      <c r="B1722" s="2"/>
      <c r="C1722" s="1">
        <v>15.53502662</v>
      </c>
      <c r="D1722" s="1">
        <v>279.74228670000002</v>
      </c>
      <c r="E1722" s="1"/>
      <c r="H1722" s="2">
        <v>29.0027404</v>
      </c>
      <c r="I1722" s="2">
        <v>10.8826684</v>
      </c>
      <c r="J1722" s="2">
        <v>18.2151794</v>
      </c>
      <c r="L1722" s="2"/>
      <c r="M1722" s="2"/>
    </row>
    <row r="1723" spans="2:13">
      <c r="B1723" s="2"/>
      <c r="C1723" s="1">
        <v>16.259551760000001</v>
      </c>
      <c r="D1723" s="1">
        <v>3.5815349830000001</v>
      </c>
      <c r="E1723" s="1"/>
      <c r="H1723" s="2">
        <v>12.371964699999999</v>
      </c>
      <c r="I1723" s="2">
        <v>14.7693356</v>
      </c>
      <c r="J1723" s="2">
        <v>29.582285599999999</v>
      </c>
      <c r="L1723" s="2"/>
      <c r="M1723" s="2"/>
    </row>
    <row r="1724" spans="2:13">
      <c r="B1724" s="2"/>
      <c r="C1724" s="1">
        <v>9.4671285419999993</v>
      </c>
      <c r="D1724" s="1">
        <v>3.1725936039999998</v>
      </c>
      <c r="E1724" s="1"/>
      <c r="H1724" s="2">
        <v>26.18336</v>
      </c>
      <c r="I1724" s="2">
        <v>34.7468054</v>
      </c>
      <c r="J1724" s="2">
        <v>45.120806999999999</v>
      </c>
      <c r="L1724" s="2"/>
      <c r="M1724" s="2"/>
    </row>
    <row r="1725" spans="2:13">
      <c r="B1725" s="2"/>
      <c r="C1725" s="1">
        <v>22.18254481</v>
      </c>
      <c r="D1725" s="1">
        <v>0.164895717</v>
      </c>
      <c r="E1725" s="1"/>
      <c r="H1725" s="2">
        <v>30.834742899999998</v>
      </c>
      <c r="I1725" s="2">
        <v>29.771871300000001</v>
      </c>
      <c r="J1725" s="2">
        <v>53.8807787</v>
      </c>
      <c r="L1725" s="2"/>
      <c r="M1725" s="2"/>
    </row>
    <row r="1726" spans="2:13">
      <c r="B1726" s="2"/>
      <c r="C1726" s="1">
        <v>61.56652407</v>
      </c>
      <c r="D1726" s="1">
        <v>2.8164188540000001</v>
      </c>
      <c r="E1726" s="1"/>
      <c r="H1726" s="2">
        <v>48.768143700000003</v>
      </c>
      <c r="I1726" s="2">
        <v>40.405792900000002</v>
      </c>
      <c r="J1726" s="2">
        <v>3.6152264399999998</v>
      </c>
      <c r="L1726" s="2"/>
      <c r="M1726" s="2"/>
    </row>
    <row r="1727" spans="2:13">
      <c r="B1727" s="2"/>
      <c r="C1727" s="1">
        <v>84.866045139999997</v>
      </c>
      <c r="D1727" s="1">
        <v>1.3191657400000001</v>
      </c>
      <c r="E1727" s="1"/>
      <c r="H1727" s="2">
        <v>66.636115799999999</v>
      </c>
      <c r="I1727" s="2">
        <v>3.1093338199999998</v>
      </c>
      <c r="J1727" s="2">
        <v>46.8936584</v>
      </c>
      <c r="L1727" s="2"/>
      <c r="M1727" s="2"/>
    </row>
    <row r="1728" spans="2:13">
      <c r="B1728" s="2"/>
      <c r="C1728" s="1">
        <v>3.6528142649999999</v>
      </c>
      <c r="D1728" s="1">
        <v>6.8596618459999998</v>
      </c>
      <c r="E1728" s="1"/>
      <c r="H1728" s="2">
        <v>4.7643960400000003</v>
      </c>
      <c r="I1728" s="2">
        <v>40.2036862</v>
      </c>
      <c r="J1728" s="2">
        <v>18.249941199999999</v>
      </c>
      <c r="L1728" s="2"/>
      <c r="M1728" s="2"/>
    </row>
    <row r="1729" spans="2:13">
      <c r="B1729" s="2"/>
      <c r="C1729" s="1">
        <v>64.271417940000006</v>
      </c>
      <c r="D1729" s="1">
        <v>1.0421409340000001</v>
      </c>
      <c r="E1729" s="1"/>
      <c r="H1729" s="2">
        <v>60.253847499999999</v>
      </c>
      <c r="I1729" s="2">
        <v>21.796430000000001</v>
      </c>
      <c r="J1729" s="2">
        <v>49.570316400000003</v>
      </c>
      <c r="L1729" s="2"/>
      <c r="M1729" s="2"/>
    </row>
    <row r="1730" spans="2:13">
      <c r="B1730" s="2"/>
      <c r="C1730" s="1">
        <v>34.058719449999998</v>
      </c>
      <c r="D1730" s="1">
        <v>1.2202283089999999</v>
      </c>
      <c r="E1730" s="1"/>
      <c r="H1730" s="2">
        <v>26.3201654</v>
      </c>
      <c r="I1730" s="2">
        <v>37.125445800000001</v>
      </c>
      <c r="J1730" s="2">
        <v>18.110893999999998</v>
      </c>
      <c r="L1730" s="2"/>
      <c r="M1730" s="2"/>
    </row>
    <row r="1731" spans="2:13">
      <c r="B1731" s="2"/>
      <c r="C1731" s="1">
        <v>102.68332599999999</v>
      </c>
      <c r="D1731" s="1">
        <v>0.25723731900000002</v>
      </c>
      <c r="E1731" s="1"/>
      <c r="H1731" s="2">
        <v>76.456362900000002</v>
      </c>
      <c r="I1731" s="2">
        <v>16.0130692</v>
      </c>
      <c r="J1731" s="2">
        <v>30.3818068</v>
      </c>
      <c r="L1731" s="2"/>
      <c r="M1731" s="2"/>
    </row>
    <row r="1732" spans="2:13">
      <c r="B1732" s="2"/>
      <c r="C1732" s="1">
        <v>6.03771E-3</v>
      </c>
      <c r="D1732" s="1">
        <v>0.89703270300000004</v>
      </c>
      <c r="E1732" s="1"/>
      <c r="H1732" s="2">
        <v>20.3840015</v>
      </c>
      <c r="I1732" s="2">
        <v>44.805500299999999</v>
      </c>
      <c r="J1732" s="2">
        <v>4.24093871</v>
      </c>
      <c r="L1732" s="2"/>
      <c r="M1732" s="2"/>
    </row>
    <row r="1733" spans="2:13">
      <c r="B1733" s="2"/>
      <c r="C1733" s="1">
        <v>12.72145398</v>
      </c>
      <c r="D1733" s="1">
        <v>0.80469110099999996</v>
      </c>
      <c r="E1733" s="1"/>
      <c r="H1733" s="2">
        <v>41.190315300000002</v>
      </c>
      <c r="I1733" s="2">
        <v>3.8400272599999998</v>
      </c>
      <c r="J1733" s="2">
        <v>15.086618</v>
      </c>
      <c r="L1733" s="2"/>
      <c r="M1733" s="2"/>
    </row>
    <row r="1734" spans="2:13">
      <c r="B1734" s="2"/>
      <c r="C1734" s="1">
        <v>11.54410062</v>
      </c>
      <c r="D1734" s="1">
        <v>5.1315547270000001</v>
      </c>
      <c r="E1734" s="1"/>
      <c r="H1734" s="2">
        <v>5.63281279</v>
      </c>
      <c r="I1734" s="2">
        <v>10.8826684</v>
      </c>
      <c r="J1734" s="2">
        <v>13.6266228</v>
      </c>
      <c r="L1734" s="2"/>
      <c r="M1734" s="2"/>
    </row>
    <row r="1735" spans="2:13">
      <c r="B1735" s="2"/>
      <c r="C1735" s="1">
        <v>5.4822402529999996</v>
      </c>
      <c r="D1735" s="1">
        <v>0.25723731900000002</v>
      </c>
      <c r="E1735" s="1"/>
      <c r="H1735" s="2">
        <v>22.329017100000002</v>
      </c>
      <c r="I1735" s="2">
        <v>15.8109625</v>
      </c>
      <c r="J1735" s="2">
        <v>76.093564299999997</v>
      </c>
      <c r="L1735" s="2"/>
      <c r="M1735" s="2"/>
    </row>
    <row r="1736" spans="2:13">
      <c r="B1736" s="2"/>
      <c r="C1736" s="1">
        <v>26.35460209</v>
      </c>
      <c r="D1736" s="1">
        <v>5.2700671290000001</v>
      </c>
      <c r="E1736" s="1"/>
      <c r="H1736" s="2">
        <v>17.909608599999999</v>
      </c>
      <c r="I1736" s="2">
        <v>74.655104899999998</v>
      </c>
      <c r="J1736" s="2">
        <v>2.3290401100000002</v>
      </c>
      <c r="L1736" s="2"/>
      <c r="M1736" s="2"/>
    </row>
    <row r="1737" spans="2:13">
      <c r="B1737" s="2"/>
      <c r="C1737" s="1">
        <v>16.507097850000001</v>
      </c>
      <c r="D1737" s="1">
        <v>0.94320350399999997</v>
      </c>
      <c r="E1737" s="1"/>
      <c r="H1737" s="2">
        <v>87.014169300000006</v>
      </c>
      <c r="I1737" s="2">
        <v>4.0576806300000001</v>
      </c>
      <c r="J1737" s="2">
        <v>59.442665599999998</v>
      </c>
      <c r="L1737" s="2"/>
      <c r="M1737" s="2"/>
    </row>
    <row r="1738" spans="2:13">
      <c r="B1738" s="2"/>
      <c r="C1738" s="1">
        <v>69.318943099999998</v>
      </c>
      <c r="D1738" s="1">
        <v>2.0578985539999999</v>
      </c>
      <c r="E1738" s="1"/>
      <c r="H1738" s="2">
        <v>3.4796150799999999</v>
      </c>
      <c r="I1738" s="2">
        <v>74.5929182</v>
      </c>
      <c r="J1738" s="2">
        <v>23.081830400000001</v>
      </c>
      <c r="L1738" s="2"/>
      <c r="M1738" s="2"/>
    </row>
    <row r="1739" spans="2:13">
      <c r="B1739" s="2"/>
      <c r="C1739" s="1">
        <v>3.3690419170000001</v>
      </c>
      <c r="D1739" s="1">
        <v>2.0249194099999999</v>
      </c>
      <c r="E1739" s="1"/>
      <c r="H1739" s="2">
        <v>79.602886600000005</v>
      </c>
      <c r="I1739" s="2">
        <v>41.276406399999999</v>
      </c>
      <c r="J1739" s="2">
        <v>36.326073399999999</v>
      </c>
      <c r="L1739" s="2"/>
      <c r="M1739" s="2"/>
    </row>
    <row r="1740" spans="2:13">
      <c r="B1740" s="2"/>
      <c r="C1740" s="1">
        <v>115.15119610000001</v>
      </c>
      <c r="D1740" s="1">
        <v>0.98937430500000001</v>
      </c>
      <c r="E1740" s="1"/>
      <c r="H1740" s="2">
        <v>29.585650300000001</v>
      </c>
      <c r="I1740" s="2">
        <v>29.585311300000001</v>
      </c>
      <c r="J1740" s="2">
        <v>28.539431799999999</v>
      </c>
      <c r="L1740" s="2"/>
      <c r="M1740" s="2"/>
    </row>
    <row r="1741" spans="2:13">
      <c r="B1741" s="2"/>
      <c r="C1741" s="1">
        <v>31.661748769999999</v>
      </c>
      <c r="D1741" s="1">
        <v>2.5855648489999998</v>
      </c>
      <c r="E1741" s="1"/>
      <c r="H1741" s="2">
        <v>60.902186</v>
      </c>
      <c r="I1741" s="2">
        <v>55.563795300000002</v>
      </c>
      <c r="J1741" s="2">
        <v>25.793250199999999</v>
      </c>
      <c r="L1741" s="2"/>
      <c r="M1741" s="2"/>
    </row>
    <row r="1742" spans="2:13">
      <c r="B1742" s="2"/>
      <c r="C1742" s="1">
        <v>49.032239089999997</v>
      </c>
      <c r="D1742" s="1">
        <v>1.0949075640000001</v>
      </c>
      <c r="E1742" s="1"/>
      <c r="H1742" s="2">
        <v>42.534576800000004</v>
      </c>
      <c r="I1742" s="2">
        <v>17.5521894</v>
      </c>
      <c r="J1742" s="2">
        <v>44.634141900000003</v>
      </c>
      <c r="L1742" s="2"/>
      <c r="M1742" s="2"/>
    </row>
    <row r="1743" spans="2:13">
      <c r="B1743" s="2"/>
      <c r="C1743" s="1">
        <v>13.68144979</v>
      </c>
      <c r="D1743" s="1">
        <v>1.2729949389999999</v>
      </c>
      <c r="E1743" s="1"/>
      <c r="H1743" s="2">
        <v>29.6808193</v>
      </c>
      <c r="I1743" s="2">
        <v>34.498058700000001</v>
      </c>
      <c r="J1743" s="2">
        <v>26.210391699999999</v>
      </c>
      <c r="L1743" s="2"/>
      <c r="M1743" s="2"/>
    </row>
    <row r="1744" spans="2:13">
      <c r="B1744" s="2"/>
      <c r="C1744" s="1">
        <v>38.04964545</v>
      </c>
      <c r="D1744" s="1">
        <v>195.46738350000001</v>
      </c>
      <c r="E1744" s="1"/>
      <c r="H1744" s="2">
        <v>43.617123800000002</v>
      </c>
      <c r="I1744" s="2">
        <v>38.369179299999999</v>
      </c>
      <c r="J1744" s="2">
        <v>26.801342200000001</v>
      </c>
      <c r="L1744" s="2"/>
      <c r="M1744" s="2"/>
    </row>
    <row r="1745" spans="2:13">
      <c r="B1745" s="2"/>
      <c r="C1745" s="1">
        <v>61.439732169999999</v>
      </c>
      <c r="D1745" s="1">
        <v>0.224258176</v>
      </c>
      <c r="E1745" s="1"/>
      <c r="H1745" s="2">
        <v>33.523266</v>
      </c>
      <c r="I1745" s="2">
        <v>21.672056699999999</v>
      </c>
      <c r="J1745" s="2">
        <v>83.080684599999998</v>
      </c>
      <c r="L1745" s="2"/>
      <c r="M1745" s="2"/>
    </row>
    <row r="1746" spans="2:13">
      <c r="B1746" s="2"/>
      <c r="C1746" s="1">
        <v>15.93351545</v>
      </c>
      <c r="D1746" s="1">
        <v>0.59362458299999998</v>
      </c>
      <c r="E1746" s="1"/>
      <c r="H1746" s="2">
        <v>28.080791099999999</v>
      </c>
      <c r="I1746" s="2">
        <v>53.838115000000002</v>
      </c>
      <c r="J1746" s="2">
        <v>3.40665569</v>
      </c>
      <c r="L1746" s="2"/>
      <c r="M1746" s="2"/>
    </row>
    <row r="1747" spans="2:13">
      <c r="B1747" s="2"/>
      <c r="C1747" s="1">
        <v>15.03993444</v>
      </c>
      <c r="D1747" s="1">
        <v>1.477465628</v>
      </c>
      <c r="E1747" s="1"/>
      <c r="H1747" s="2">
        <v>91.600123499999995</v>
      </c>
      <c r="I1747" s="2">
        <v>3.65346723</v>
      </c>
      <c r="J1747" s="2">
        <v>10.637108599999999</v>
      </c>
      <c r="L1747" s="2"/>
      <c r="M1747" s="2"/>
    </row>
    <row r="1748" spans="2:13">
      <c r="B1748" s="2"/>
      <c r="C1748" s="1">
        <v>158.5864785</v>
      </c>
      <c r="D1748" s="1">
        <v>0.55404961100000005</v>
      </c>
      <c r="E1748" s="1"/>
      <c r="H1748" s="2">
        <v>4.8595649999999999</v>
      </c>
      <c r="I1748" s="2">
        <v>10.183068199999999</v>
      </c>
      <c r="J1748" s="2">
        <v>24.5418257</v>
      </c>
      <c r="L1748" s="2"/>
      <c r="M1748" s="2"/>
    </row>
    <row r="1749" spans="2:13">
      <c r="B1749" s="2"/>
      <c r="C1749" s="1">
        <v>5.7901634389999996</v>
      </c>
      <c r="D1749" s="1">
        <v>0.34957892099999999</v>
      </c>
      <c r="E1749" s="1"/>
      <c r="H1749" s="2">
        <v>14.447837699999999</v>
      </c>
      <c r="I1749" s="2">
        <v>20.070749800000002</v>
      </c>
      <c r="J1749" s="2">
        <v>11.228059099999999</v>
      </c>
      <c r="L1749" s="2"/>
      <c r="M1749" s="2"/>
    </row>
    <row r="1750" spans="2:13">
      <c r="B1750" s="2"/>
      <c r="C1750" s="1">
        <v>17.533508470000001</v>
      </c>
      <c r="D1750" s="1">
        <v>0.54745378200000006</v>
      </c>
      <c r="E1750" s="1"/>
      <c r="H1750" s="2">
        <v>29.787884300000002</v>
      </c>
      <c r="I1750" s="2">
        <v>13.463415400000001</v>
      </c>
      <c r="J1750" s="2">
        <v>7.4042618500000001</v>
      </c>
      <c r="L1750" s="2"/>
      <c r="M1750" s="2"/>
    </row>
    <row r="1751" spans="2:13">
      <c r="B1751" s="2"/>
      <c r="C1751" s="1">
        <v>34.952300459999996</v>
      </c>
      <c r="D1751" s="1">
        <v>0.77830778599999995</v>
      </c>
      <c r="E1751" s="1"/>
      <c r="H1751" s="2">
        <v>15.4887482</v>
      </c>
      <c r="I1751" s="2">
        <v>10.120881600000001</v>
      </c>
      <c r="J1751" s="2">
        <v>16.164233599999999</v>
      </c>
      <c r="L1751" s="2"/>
      <c r="M1751" s="2"/>
    </row>
    <row r="1752" spans="2:13">
      <c r="B1752" s="2"/>
      <c r="C1752" s="1">
        <v>12.20824867</v>
      </c>
      <c r="D1752" s="1">
        <v>1.385124027</v>
      </c>
      <c r="E1752" s="1"/>
      <c r="H1752" s="2">
        <v>10.2841957</v>
      </c>
      <c r="I1752" s="2">
        <v>13.5411488</v>
      </c>
      <c r="J1752" s="2">
        <v>11.8537713</v>
      </c>
      <c r="L1752" s="2"/>
      <c r="M1752" s="2"/>
    </row>
    <row r="1753" spans="2:13">
      <c r="B1753" s="2"/>
      <c r="C1753" s="1">
        <v>7.0761955680000002</v>
      </c>
      <c r="D1753" s="1">
        <v>5.2238963289999996</v>
      </c>
      <c r="E1753" s="1"/>
      <c r="H1753" s="2">
        <v>20.842002099999998</v>
      </c>
      <c r="I1753" s="2">
        <v>13.105842000000001</v>
      </c>
      <c r="J1753" s="2">
        <v>25.410870500000001</v>
      </c>
      <c r="L1753" s="2"/>
      <c r="M1753" s="2"/>
    </row>
    <row r="1754" spans="2:13">
      <c r="B1754" s="2"/>
      <c r="C1754" s="1">
        <v>22.713863249999999</v>
      </c>
      <c r="D1754" s="1">
        <v>1.3917198550000001</v>
      </c>
      <c r="E1754" s="1"/>
      <c r="H1754" s="2">
        <v>15.3103064</v>
      </c>
      <c r="I1754" s="2">
        <v>22.3250168</v>
      </c>
      <c r="J1754" s="2">
        <v>50.3350759</v>
      </c>
      <c r="L1754" s="2"/>
      <c r="M1754" s="2"/>
    </row>
    <row r="1755" spans="2:13">
      <c r="B1755" s="2"/>
      <c r="C1755" s="1">
        <v>10.113163460000001</v>
      </c>
      <c r="D1755" s="1">
        <v>2.275560901</v>
      </c>
      <c r="E1755" s="1"/>
      <c r="H1755" s="2">
        <v>36.247477500000002</v>
      </c>
      <c r="I1755" s="2">
        <v>56.683155499999998</v>
      </c>
      <c r="J1755" s="2">
        <v>13.5570992</v>
      </c>
      <c r="L1755" s="2"/>
      <c r="M1755" s="2"/>
    </row>
    <row r="1756" spans="2:13">
      <c r="B1756" s="2"/>
      <c r="C1756" s="1">
        <v>38.321342379999997</v>
      </c>
      <c r="D1756" s="1">
        <v>4.1289887649999999</v>
      </c>
      <c r="E1756" s="1"/>
      <c r="H1756" s="2">
        <v>52.717655499999999</v>
      </c>
      <c r="I1756" s="2">
        <v>16.619389200000001</v>
      </c>
      <c r="J1756" s="2">
        <v>27.183721899999998</v>
      </c>
      <c r="L1756" s="2"/>
      <c r="M1756" s="2"/>
    </row>
    <row r="1757" spans="2:13">
      <c r="B1757" s="2"/>
      <c r="C1757" s="1">
        <v>22.617259900000001</v>
      </c>
      <c r="D1757" s="1">
        <v>1.1608658510000001</v>
      </c>
      <c r="E1757" s="1"/>
      <c r="H1757" s="2">
        <v>15.3162544</v>
      </c>
      <c r="I1757" s="2">
        <v>48.925367600000001</v>
      </c>
      <c r="J1757" s="2">
        <v>44.1474768</v>
      </c>
      <c r="L1757" s="2"/>
      <c r="M1757" s="2"/>
    </row>
    <row r="1758" spans="2:13">
      <c r="B1758" s="2"/>
      <c r="C1758" s="1">
        <v>7.5471369109999999</v>
      </c>
      <c r="D1758" s="1">
        <v>1.226824138</v>
      </c>
      <c r="E1758" s="1"/>
      <c r="H1758" s="2">
        <v>34.718826</v>
      </c>
      <c r="I1758" s="2">
        <v>32.243791700000003</v>
      </c>
      <c r="J1758" s="2">
        <v>13.730908100000001</v>
      </c>
      <c r="L1758" s="2"/>
      <c r="M1758" s="2"/>
    </row>
    <row r="1759" spans="2:13">
      <c r="B1759" s="2"/>
      <c r="C1759" s="1">
        <v>34.100983419999999</v>
      </c>
      <c r="D1759" s="1">
        <v>3.4628100659999999</v>
      </c>
      <c r="E1759" s="1"/>
      <c r="H1759" s="2">
        <v>55.090931400000002</v>
      </c>
      <c r="I1759" s="2">
        <v>23.568750300000001</v>
      </c>
      <c r="J1759" s="2">
        <v>27.809434199999998</v>
      </c>
      <c r="L1759" s="2"/>
      <c r="M1759" s="2"/>
    </row>
    <row r="1760" spans="2:13">
      <c r="B1760" s="2"/>
      <c r="C1760" s="1">
        <v>84.546046540000006</v>
      </c>
      <c r="D1760" s="1">
        <v>14.86699788</v>
      </c>
      <c r="E1760" s="1"/>
      <c r="H1760" s="2">
        <v>17.939348899999999</v>
      </c>
      <c r="I1760" s="2">
        <v>32.710191700000003</v>
      </c>
      <c r="J1760" s="2">
        <v>60.728851900000002</v>
      </c>
      <c r="L1760" s="2"/>
      <c r="M1760" s="2"/>
    </row>
    <row r="1761" spans="2:13">
      <c r="B1761" s="2"/>
      <c r="C1761" s="1">
        <v>26.08290517</v>
      </c>
      <c r="D1761" s="1">
        <v>0.46170800899999997</v>
      </c>
      <c r="E1761" s="1"/>
      <c r="H1761" s="2">
        <v>26.2904251</v>
      </c>
      <c r="I1761" s="2">
        <v>43.064273399999998</v>
      </c>
      <c r="J1761" s="2">
        <v>170.92373499999999</v>
      </c>
      <c r="L1761" s="2"/>
      <c r="M1761" s="2"/>
    </row>
    <row r="1762" spans="2:13">
      <c r="B1762" s="2"/>
      <c r="C1762" s="1">
        <v>28.67308255</v>
      </c>
      <c r="D1762" s="1">
        <v>0.77830778599999995</v>
      </c>
      <c r="E1762" s="1"/>
      <c r="H1762" s="2">
        <v>67.772195300000007</v>
      </c>
      <c r="I1762" s="2">
        <v>119.693805</v>
      </c>
      <c r="J1762" s="2">
        <v>14.565191199999999</v>
      </c>
      <c r="L1762" s="2"/>
      <c r="M1762" s="2"/>
    </row>
    <row r="1763" spans="2:13">
      <c r="B1763" s="2"/>
      <c r="C1763" s="1">
        <v>61.590674909999997</v>
      </c>
      <c r="D1763" s="1">
        <v>1.7281071189999999</v>
      </c>
      <c r="E1763" s="1"/>
      <c r="H1763" s="2">
        <v>183.176455</v>
      </c>
      <c r="I1763" s="2">
        <v>12.126401899999999</v>
      </c>
      <c r="J1763" s="2">
        <v>11.8190095</v>
      </c>
      <c r="L1763" s="2"/>
      <c r="M1763" s="2"/>
    </row>
    <row r="1764" spans="2:13">
      <c r="B1764" s="2"/>
      <c r="C1764" s="1">
        <v>259.84490499999998</v>
      </c>
      <c r="D1764" s="1">
        <v>27.959717850000001</v>
      </c>
      <c r="E1764" s="1"/>
      <c r="H1764" s="2">
        <v>15.66719</v>
      </c>
      <c r="I1764" s="2">
        <v>16.945869299999998</v>
      </c>
      <c r="J1764" s="2">
        <v>37.160356399999998</v>
      </c>
      <c r="L1764" s="2"/>
      <c r="M1764" s="2"/>
    </row>
    <row r="1765" spans="2:13">
      <c r="B1765" s="2"/>
      <c r="C1765" s="1">
        <v>10.02259782</v>
      </c>
      <c r="D1765" s="1">
        <v>2.3085400439999999</v>
      </c>
      <c r="E1765" s="1"/>
      <c r="H1765" s="2">
        <v>16.107346400000001</v>
      </c>
      <c r="I1765" s="2">
        <v>42.084833199999998</v>
      </c>
      <c r="J1765" s="2">
        <v>55.4102976</v>
      </c>
      <c r="L1765" s="2"/>
      <c r="M1765" s="2"/>
    </row>
    <row r="1766" spans="2:13">
      <c r="B1766" s="2"/>
      <c r="C1766" s="1">
        <v>13.971259849999999</v>
      </c>
      <c r="D1766" s="1">
        <v>1.4972531140000001</v>
      </c>
      <c r="E1766" s="1"/>
      <c r="H1766" s="2">
        <v>52.325083599999999</v>
      </c>
      <c r="I1766" s="2">
        <v>91.880814299999997</v>
      </c>
      <c r="J1766" s="2">
        <v>19.1885096</v>
      </c>
      <c r="L1766" s="2"/>
      <c r="M1766" s="2"/>
    </row>
    <row r="1767" spans="2:13">
      <c r="B1767" s="2"/>
      <c r="C1767" s="1">
        <v>22.617259900000001</v>
      </c>
      <c r="D1767" s="1">
        <v>5.2173005000000003</v>
      </c>
      <c r="E1767" s="1"/>
      <c r="H1767" s="2">
        <v>68.688196500000004</v>
      </c>
      <c r="I1767" s="2">
        <v>22.4493902</v>
      </c>
      <c r="J1767" s="2">
        <v>25.5151559</v>
      </c>
      <c r="L1767" s="2"/>
      <c r="M1767" s="2"/>
    </row>
    <row r="1768" spans="2:13">
      <c r="B1768" s="2"/>
      <c r="C1768" s="1">
        <v>94.302985140000004</v>
      </c>
      <c r="D1768" s="1">
        <v>3.053868687</v>
      </c>
      <c r="E1768" s="1"/>
      <c r="H1768" s="2">
        <v>19.134908899999999</v>
      </c>
      <c r="I1768" s="2">
        <v>24.486003799999999</v>
      </c>
      <c r="J1768" s="2">
        <v>73.347382699999997</v>
      </c>
      <c r="L1768" s="2"/>
      <c r="M1768" s="2"/>
    </row>
    <row r="1769" spans="2:13">
      <c r="B1769" s="2"/>
      <c r="C1769" s="1">
        <v>26.076867459999999</v>
      </c>
      <c r="D1769" s="1">
        <v>0.850861902</v>
      </c>
      <c r="E1769" s="1"/>
      <c r="H1769" s="2">
        <v>33.249655199999999</v>
      </c>
      <c r="I1769" s="2">
        <v>79.039265599999993</v>
      </c>
      <c r="J1769" s="2">
        <v>76.267373199999994</v>
      </c>
      <c r="L1769" s="2"/>
      <c r="M1769" s="2"/>
    </row>
    <row r="1770" spans="2:13">
      <c r="B1770" s="2"/>
      <c r="C1770" s="1">
        <v>37.325120310000003</v>
      </c>
      <c r="D1770" s="1">
        <v>3.2715310340000001</v>
      </c>
      <c r="E1770" s="1"/>
      <c r="H1770" s="2">
        <v>82.713721899999996</v>
      </c>
      <c r="I1770" s="2">
        <v>51.614941299999998</v>
      </c>
      <c r="J1770" s="2">
        <v>12.3056746</v>
      </c>
      <c r="L1770" s="2"/>
      <c r="M1770" s="2"/>
    </row>
    <row r="1771" spans="2:13">
      <c r="B1771" s="2"/>
      <c r="C1771" s="1">
        <v>68.612531090000004</v>
      </c>
      <c r="D1771" s="1">
        <v>0.39574972200000003</v>
      </c>
      <c r="E1771" s="1"/>
      <c r="H1771" s="2">
        <v>66.648011999999994</v>
      </c>
      <c r="I1771" s="2">
        <v>12.359601899999999</v>
      </c>
      <c r="J1771" s="2">
        <v>47.484608899999998</v>
      </c>
      <c r="L1771" s="2"/>
      <c r="M1771" s="2"/>
    </row>
    <row r="1772" spans="2:13">
      <c r="B1772" s="2"/>
      <c r="C1772" s="1">
        <v>46.532627339999998</v>
      </c>
      <c r="D1772" s="1">
        <v>8.7064938810000001</v>
      </c>
      <c r="E1772" s="1"/>
      <c r="H1772" s="2">
        <v>16.8686981</v>
      </c>
      <c r="I1772" s="2">
        <v>52.376728100000001</v>
      </c>
      <c r="J1772" s="2">
        <v>8.0994977099999996</v>
      </c>
      <c r="L1772" s="2"/>
      <c r="M1772" s="2"/>
    </row>
    <row r="1773" spans="2:13">
      <c r="B1773" s="2"/>
      <c r="C1773" s="1">
        <v>12.564473530000001</v>
      </c>
      <c r="D1773" s="1">
        <v>102.7498195</v>
      </c>
      <c r="E1773" s="1"/>
      <c r="H1773" s="2">
        <v>74.695737100000002</v>
      </c>
      <c r="I1773" s="2">
        <v>9.7788548500000001</v>
      </c>
      <c r="J1773" s="2">
        <v>135.883848</v>
      </c>
      <c r="L1773" s="2"/>
      <c r="M1773" s="2"/>
    </row>
    <row r="1774" spans="2:13">
      <c r="B1774" s="2"/>
      <c r="C1774" s="1">
        <v>62.007276859999997</v>
      </c>
      <c r="D1774" s="1">
        <v>1.7742779200000001</v>
      </c>
      <c r="E1774" s="1"/>
      <c r="H1774" s="2">
        <v>9.7369741699999999</v>
      </c>
      <c r="I1774" s="2">
        <v>112.806631</v>
      </c>
      <c r="J1774" s="2">
        <v>19.223271400000002</v>
      </c>
      <c r="L1774" s="2"/>
      <c r="M1774" s="2"/>
    </row>
    <row r="1775" spans="2:13">
      <c r="B1775" s="2"/>
      <c r="C1775" s="1">
        <v>8.4165670840000004</v>
      </c>
      <c r="D1775" s="1">
        <v>165.258488</v>
      </c>
      <c r="E1775" s="1"/>
      <c r="H1775" s="2">
        <v>125.319676</v>
      </c>
      <c r="I1775" s="2">
        <v>21.8741634</v>
      </c>
      <c r="J1775" s="2">
        <v>35.874170100000001</v>
      </c>
      <c r="L1775" s="2"/>
      <c r="M1775" s="2"/>
    </row>
    <row r="1776" spans="2:13">
      <c r="B1776" s="2"/>
      <c r="C1776" s="1">
        <v>107.18745730000001</v>
      </c>
      <c r="D1776" s="1">
        <v>1.035545106</v>
      </c>
      <c r="E1776" s="1"/>
      <c r="H1776" s="2">
        <v>19.075428299999999</v>
      </c>
      <c r="I1776" s="2">
        <v>36.332565600000002</v>
      </c>
      <c r="J1776" s="2">
        <v>31.876563900000001</v>
      </c>
      <c r="L1776" s="2"/>
      <c r="M1776" s="2"/>
    </row>
    <row r="1777" spans="2:13">
      <c r="B1777" s="2"/>
      <c r="C1777" s="1">
        <v>35.054941530000001</v>
      </c>
      <c r="D1777" s="1">
        <v>206.7462505</v>
      </c>
      <c r="E1777" s="1"/>
      <c r="H1777" s="2">
        <v>44.7115668</v>
      </c>
      <c r="I1777" s="2">
        <v>28.605871100000002</v>
      </c>
      <c r="J1777" s="2">
        <v>16.894231300000001</v>
      </c>
      <c r="L1777" s="2"/>
      <c r="M1777" s="2"/>
    </row>
    <row r="1778" spans="2:13">
      <c r="B1778" s="2"/>
      <c r="C1778" s="1">
        <v>33.110799059999998</v>
      </c>
      <c r="D1778" s="1">
        <v>9.2341601769999997</v>
      </c>
      <c r="E1778" s="1"/>
      <c r="H1778" s="2">
        <v>45.395593699999999</v>
      </c>
      <c r="I1778" s="2">
        <v>16.2462692</v>
      </c>
      <c r="J1778" s="2">
        <v>24.576587499999999</v>
      </c>
      <c r="L1778" s="2"/>
      <c r="M1778" s="2"/>
    </row>
    <row r="1779" spans="2:13">
      <c r="B1779" s="2"/>
      <c r="C1779" s="1">
        <v>42.221702739999998</v>
      </c>
      <c r="D1779" s="1">
        <v>0.13851240300000001</v>
      </c>
      <c r="E1779" s="1"/>
      <c r="H1779" s="2">
        <v>21.597405800000001</v>
      </c>
      <c r="I1779" s="2">
        <v>21.252296600000001</v>
      </c>
      <c r="J1779" s="2">
        <v>71.261675100000005</v>
      </c>
      <c r="L1779" s="2"/>
      <c r="M1779" s="2"/>
    </row>
    <row r="1780" spans="2:13">
      <c r="B1780" s="2"/>
      <c r="C1780" s="1">
        <v>25.4730965</v>
      </c>
      <c r="D1780" s="1">
        <v>0.38915389299999997</v>
      </c>
      <c r="E1780" s="1"/>
      <c r="H1780" s="2">
        <v>33.059317299999996</v>
      </c>
      <c r="I1780" s="2">
        <v>54.3511551</v>
      </c>
      <c r="J1780" s="2">
        <v>3.8585589900000001</v>
      </c>
      <c r="L1780" s="2"/>
      <c r="M1780" s="2"/>
    </row>
    <row r="1781" spans="2:13">
      <c r="B1781" s="2"/>
      <c r="C1781" s="1">
        <v>27.27837165</v>
      </c>
      <c r="D1781" s="1">
        <v>0.32319560600000002</v>
      </c>
      <c r="E1781" s="1"/>
      <c r="H1781" s="2">
        <v>86.264713700000001</v>
      </c>
      <c r="I1781" s="2">
        <v>2.6584804100000001</v>
      </c>
      <c r="J1781" s="2">
        <v>17.763276099999999</v>
      </c>
      <c r="L1781" s="2"/>
      <c r="M1781" s="2"/>
    </row>
    <row r="1782" spans="2:13">
      <c r="B1782" s="2"/>
      <c r="C1782" s="1">
        <v>169.56303439999999</v>
      </c>
      <c r="D1782" s="1">
        <v>269.10981090000001</v>
      </c>
      <c r="E1782" s="1"/>
      <c r="H1782" s="2">
        <v>4.0684730199999999</v>
      </c>
      <c r="I1782" s="2">
        <v>14.3340289</v>
      </c>
      <c r="J1782" s="2">
        <v>5.9790283500000001</v>
      </c>
      <c r="L1782" s="2"/>
      <c r="M1782" s="2"/>
    </row>
    <row r="1783" spans="2:13">
      <c r="B1783" s="2"/>
      <c r="C1783" s="1">
        <v>5.1863924859999999</v>
      </c>
      <c r="D1783" s="1">
        <v>0.31659977700000003</v>
      </c>
      <c r="E1783" s="1"/>
      <c r="H1783" s="2">
        <v>14.0433696</v>
      </c>
      <c r="I1783" s="2">
        <v>7.0892811</v>
      </c>
      <c r="J1783" s="2">
        <v>23.742304399999998</v>
      </c>
      <c r="L1783" s="2"/>
      <c r="M1783" s="2"/>
    </row>
    <row r="1784" spans="2:13">
      <c r="B1784" s="2"/>
      <c r="C1784" s="1">
        <v>17.213509869999999</v>
      </c>
      <c r="D1784" s="1">
        <v>4.636867574</v>
      </c>
      <c r="E1784" s="1"/>
      <c r="H1784" s="2">
        <v>7.6254128799999998</v>
      </c>
      <c r="I1784" s="2">
        <v>30.067257999999999</v>
      </c>
      <c r="J1784" s="2">
        <v>7.7518797800000003</v>
      </c>
      <c r="L1784" s="2"/>
      <c r="M1784" s="2"/>
    </row>
    <row r="1785" spans="2:13">
      <c r="B1785" s="2"/>
      <c r="C1785" s="1">
        <v>13.180319900000001</v>
      </c>
      <c r="D1785" s="1">
        <v>1.1608658510000001</v>
      </c>
      <c r="E1785" s="1"/>
      <c r="H1785" s="2">
        <v>27.610894399999999</v>
      </c>
      <c r="I1785" s="2">
        <v>9.4834681399999994</v>
      </c>
      <c r="J1785" s="2">
        <v>29.651809199999999</v>
      </c>
      <c r="L1785" s="2"/>
      <c r="M1785" s="2"/>
    </row>
    <row r="1786" spans="2:13">
      <c r="B1786" s="2"/>
      <c r="C1786" s="1">
        <v>33.219477830000002</v>
      </c>
      <c r="D1786" s="1">
        <v>0.90362853200000004</v>
      </c>
      <c r="E1786" s="1"/>
      <c r="H1786" s="2">
        <v>9.3741425100000004</v>
      </c>
      <c r="I1786" s="2">
        <v>28.6214178</v>
      </c>
      <c r="J1786" s="2">
        <v>37.925115900000002</v>
      </c>
      <c r="L1786" s="2"/>
      <c r="M1786" s="2"/>
    </row>
    <row r="1787" spans="2:13">
      <c r="B1787" s="2"/>
      <c r="C1787" s="1">
        <v>9.4188268659999999</v>
      </c>
      <c r="D1787" s="1">
        <v>2.6581189649999999</v>
      </c>
      <c r="E1787" s="1"/>
      <c r="H1787" s="2">
        <v>47.792661899999999</v>
      </c>
      <c r="I1787" s="2">
        <v>31.886218299999999</v>
      </c>
      <c r="J1787" s="2">
        <v>7.7866415699999996</v>
      </c>
      <c r="L1787" s="2"/>
      <c r="M1787" s="2"/>
    </row>
    <row r="1788" spans="2:13">
      <c r="B1788" s="2"/>
      <c r="C1788" s="1">
        <v>67.785364880000003</v>
      </c>
      <c r="D1788" s="1">
        <v>7.2554116000000002E-2</v>
      </c>
      <c r="E1788" s="1"/>
      <c r="H1788" s="2">
        <v>41.535302799999997</v>
      </c>
      <c r="I1788" s="2">
        <v>7.4157611499999998</v>
      </c>
      <c r="J1788" s="2">
        <v>42.166054600000002</v>
      </c>
      <c r="L1788" s="2"/>
      <c r="M1788" s="2"/>
    </row>
    <row r="1789" spans="2:13">
      <c r="B1789" s="2"/>
      <c r="C1789" s="1">
        <v>28.866289259999999</v>
      </c>
      <c r="D1789" s="1">
        <v>2.8955687980000002</v>
      </c>
      <c r="E1789" s="1"/>
      <c r="H1789" s="2">
        <v>13.1987451</v>
      </c>
      <c r="I1789" s="2">
        <v>56.589875399999997</v>
      </c>
      <c r="J1789" s="2">
        <v>9.90711093</v>
      </c>
      <c r="L1789" s="2"/>
      <c r="M1789" s="2"/>
    </row>
    <row r="1790" spans="2:13">
      <c r="B1790" s="2"/>
      <c r="C1790" s="1">
        <v>12.90862297</v>
      </c>
      <c r="D1790" s="1">
        <v>0.42872886500000001</v>
      </c>
      <c r="E1790" s="1"/>
      <c r="H1790" s="2">
        <v>46.032036099999999</v>
      </c>
      <c r="I1790" s="2">
        <v>8.6750413500000008</v>
      </c>
      <c r="J1790" s="2">
        <v>23.8465898</v>
      </c>
      <c r="L1790" s="2"/>
      <c r="M1790" s="2"/>
    </row>
    <row r="1791" spans="2:13">
      <c r="B1791" s="2"/>
      <c r="C1791" s="1">
        <v>39.510771159999997</v>
      </c>
      <c r="D1791" s="1">
        <v>22.18836774</v>
      </c>
      <c r="E1791" s="1"/>
      <c r="H1791" s="2">
        <v>10.8671056</v>
      </c>
      <c r="I1791" s="2">
        <v>28.279391100000002</v>
      </c>
      <c r="J1791" s="2">
        <v>6.6047406200000003</v>
      </c>
      <c r="L1791" s="2"/>
      <c r="M1791" s="2"/>
    </row>
    <row r="1792" spans="2:13">
      <c r="B1792" s="2"/>
      <c r="C1792" s="1">
        <v>2.9282891219999998</v>
      </c>
      <c r="D1792" s="1">
        <v>3.4100434370000001</v>
      </c>
      <c r="E1792" s="1"/>
      <c r="H1792" s="2">
        <v>33.225862999999997</v>
      </c>
      <c r="I1792" s="2">
        <v>14.2873889</v>
      </c>
      <c r="J1792" s="2">
        <v>4.0323679600000002</v>
      </c>
      <c r="L1792" s="2"/>
      <c r="M1792" s="2"/>
    </row>
    <row r="1793" spans="2:13">
      <c r="B1793" s="2"/>
      <c r="C1793" s="1">
        <v>23.710085320000001</v>
      </c>
      <c r="D1793" s="1">
        <v>1.767682091</v>
      </c>
      <c r="E1793" s="1"/>
      <c r="H1793" s="2">
        <v>10.7719366</v>
      </c>
      <c r="I1793" s="2">
        <v>4.5085340299999999</v>
      </c>
      <c r="J1793" s="2">
        <v>35.491790399999999</v>
      </c>
      <c r="L1793" s="2"/>
      <c r="M1793" s="2"/>
    </row>
    <row r="1794" spans="2:13">
      <c r="B1794" s="2"/>
      <c r="C1794" s="1">
        <v>4.1297933179999999</v>
      </c>
      <c r="D1794" s="1">
        <v>6.0022041149999996</v>
      </c>
      <c r="E1794" s="1"/>
      <c r="H1794" s="2">
        <v>5.9242677300000004</v>
      </c>
      <c r="I1794" s="2">
        <v>31.4509115</v>
      </c>
      <c r="J1794" s="2">
        <v>33.892747900000003</v>
      </c>
      <c r="L1794" s="2"/>
      <c r="M1794" s="2"/>
    </row>
    <row r="1795" spans="2:13">
      <c r="B1795" s="2"/>
      <c r="C1795" s="1">
        <v>12.37126683</v>
      </c>
      <c r="D1795" s="1">
        <v>4.5445259729999998</v>
      </c>
      <c r="E1795" s="1"/>
      <c r="H1795" s="2">
        <v>49.803106100000001</v>
      </c>
      <c r="I1795" s="2">
        <v>42.862166700000003</v>
      </c>
      <c r="J1795" s="2">
        <v>56.418389599999998</v>
      </c>
      <c r="L1795" s="2"/>
      <c r="M1795" s="2"/>
    </row>
    <row r="1796" spans="2:13">
      <c r="B1796" s="2"/>
      <c r="C1796" s="1">
        <v>58.879743329999997</v>
      </c>
      <c r="D1796" s="1">
        <v>79.097177740000006</v>
      </c>
      <c r="E1796" s="1"/>
      <c r="H1796" s="2">
        <v>40.4824962</v>
      </c>
      <c r="I1796" s="2">
        <v>53.7137417</v>
      </c>
      <c r="J1796" s="2">
        <v>42.548434299999997</v>
      </c>
      <c r="L1796" s="2"/>
      <c r="M1796" s="2"/>
    </row>
    <row r="1797" spans="2:13">
      <c r="B1797" s="2"/>
      <c r="C1797" s="1">
        <v>16.012005670000001</v>
      </c>
      <c r="D1797" s="1">
        <v>1.0553325920000001</v>
      </c>
      <c r="E1797" s="1"/>
      <c r="H1797" s="2">
        <v>68.890430600000002</v>
      </c>
      <c r="I1797" s="2">
        <v>26.351604099999999</v>
      </c>
      <c r="J1797" s="2">
        <v>6.0137901400000002</v>
      </c>
      <c r="L1797" s="2"/>
      <c r="M1797" s="2"/>
    </row>
    <row r="1798" spans="2:13">
      <c r="B1798" s="2"/>
      <c r="C1798" s="1">
        <v>69.801959870000005</v>
      </c>
      <c r="D1798" s="1">
        <v>0.91022435999999995</v>
      </c>
      <c r="E1798" s="1"/>
      <c r="H1798" s="2">
        <v>39.096598200000003</v>
      </c>
      <c r="I1798" s="2">
        <v>7.9754412400000003</v>
      </c>
      <c r="J1798" s="2">
        <v>18.4932737</v>
      </c>
      <c r="L1798" s="2"/>
      <c r="M1798" s="2"/>
    </row>
    <row r="1799" spans="2:13">
      <c r="B1799" s="2"/>
      <c r="C1799" s="1">
        <v>98.915795220000007</v>
      </c>
      <c r="D1799" s="1">
        <v>12.54526618</v>
      </c>
      <c r="E1799" s="1"/>
      <c r="H1799" s="2">
        <v>7.5302439200000002</v>
      </c>
      <c r="I1799" s="2">
        <v>17.490002700000002</v>
      </c>
      <c r="J1799" s="2">
        <v>21.204693599999999</v>
      </c>
      <c r="L1799" s="2"/>
      <c r="M1799" s="2"/>
    </row>
    <row r="1800" spans="2:13">
      <c r="B1800" s="2"/>
      <c r="C1800" s="1">
        <v>3.7252667800000001</v>
      </c>
      <c r="D1800" s="1">
        <v>1.2663991100000001</v>
      </c>
      <c r="E1800" s="1"/>
      <c r="H1800" s="2">
        <v>25.416060300000002</v>
      </c>
      <c r="I1800" s="2">
        <v>31.5286449</v>
      </c>
      <c r="J1800" s="2">
        <v>51.308406099999999</v>
      </c>
      <c r="L1800" s="2"/>
      <c r="M1800" s="2"/>
    </row>
    <row r="1801" spans="2:13">
      <c r="B1801" s="2"/>
      <c r="C1801" s="1">
        <v>13.790128559999999</v>
      </c>
      <c r="D1801" s="1">
        <v>0.44851635099999998</v>
      </c>
      <c r="E1801" s="1"/>
      <c r="H1801" s="2">
        <v>24.00637</v>
      </c>
      <c r="I1801" s="2">
        <v>32.943391800000001</v>
      </c>
      <c r="J1801" s="2">
        <v>33.54513</v>
      </c>
      <c r="L1801" s="2"/>
      <c r="M1801" s="2"/>
    </row>
    <row r="1802" spans="2:13">
      <c r="B1802" s="2"/>
      <c r="C1802" s="1">
        <v>15.80068584</v>
      </c>
      <c r="D1802" s="1">
        <v>136.11152100000001</v>
      </c>
      <c r="E1802" s="1"/>
      <c r="H1802" s="2">
        <v>51.266328899999998</v>
      </c>
      <c r="I1802" s="2">
        <v>42.209206600000002</v>
      </c>
      <c r="J1802" s="2">
        <v>4.7971273999999999</v>
      </c>
      <c r="L1802" s="2"/>
      <c r="M1802" s="2"/>
    </row>
    <row r="1803" spans="2:13">
      <c r="B1803" s="2"/>
      <c r="C1803" s="1">
        <v>31.957596540000001</v>
      </c>
      <c r="D1803" s="1">
        <v>0.60022041100000001</v>
      </c>
      <c r="E1803" s="1"/>
      <c r="H1803" s="2">
        <v>31.138093900000001</v>
      </c>
      <c r="I1803" s="2">
        <v>4.0421339600000001</v>
      </c>
      <c r="J1803" s="2">
        <v>15.3647124</v>
      </c>
      <c r="L1803" s="2"/>
      <c r="M1803" s="2"/>
    </row>
    <row r="1804" spans="2:13">
      <c r="B1804" s="2"/>
      <c r="C1804" s="1">
        <v>15.215028009999999</v>
      </c>
      <c r="D1804" s="1">
        <v>0.19127903199999999</v>
      </c>
      <c r="E1804" s="1"/>
      <c r="H1804" s="2">
        <v>7.9822964799999996</v>
      </c>
      <c r="I1804" s="2">
        <v>18.858109599999999</v>
      </c>
      <c r="J1804" s="2">
        <v>20.752790300000001</v>
      </c>
      <c r="L1804" s="2"/>
      <c r="M1804" s="2"/>
    </row>
    <row r="1805" spans="2:13">
      <c r="B1805" s="2"/>
      <c r="C1805" s="1">
        <v>6.4361983580000004</v>
      </c>
      <c r="D1805" s="1">
        <v>4.208138709</v>
      </c>
      <c r="E1805" s="1"/>
      <c r="H1805" s="2">
        <v>18.5579471</v>
      </c>
      <c r="I1805" s="2">
        <v>26.957924200000001</v>
      </c>
      <c r="J1805" s="2">
        <v>6.2223609</v>
      </c>
      <c r="L1805" s="2"/>
      <c r="M1805" s="2"/>
    </row>
    <row r="1806" spans="2:13">
      <c r="B1806" s="2"/>
      <c r="C1806" s="1">
        <v>30.57496106</v>
      </c>
      <c r="D1806" s="1">
        <v>0.58043292499999999</v>
      </c>
      <c r="E1806" s="1"/>
      <c r="H1806" s="2">
        <v>18.1177907</v>
      </c>
      <c r="I1806" s="2">
        <v>5.64344088</v>
      </c>
      <c r="J1806" s="2">
        <v>51.4126914</v>
      </c>
      <c r="L1806" s="2"/>
      <c r="M1806" s="2"/>
    </row>
    <row r="1807" spans="2:13">
      <c r="B1807" s="2"/>
      <c r="C1807" s="1">
        <v>7.7282681970000002</v>
      </c>
      <c r="D1807" s="1">
        <v>1.5038489429999999</v>
      </c>
      <c r="E1807" s="1"/>
      <c r="H1807" s="2">
        <v>7.4350749599999997</v>
      </c>
      <c r="I1807" s="2">
        <v>40.0171262</v>
      </c>
      <c r="J1807" s="2">
        <v>4.0323679600000002</v>
      </c>
      <c r="L1807" s="2"/>
      <c r="M1807" s="2"/>
    </row>
    <row r="1808" spans="2:13">
      <c r="B1808" s="2"/>
      <c r="C1808" s="1">
        <v>10.03467324</v>
      </c>
      <c r="D1808" s="1">
        <v>0.55404961100000005</v>
      </c>
      <c r="E1808" s="1"/>
      <c r="H1808" s="2">
        <v>68.949911200000003</v>
      </c>
      <c r="I1808" s="2">
        <v>11.4423484</v>
      </c>
      <c r="J1808" s="2">
        <v>18.354226600000001</v>
      </c>
      <c r="L1808" s="2"/>
      <c r="M1808" s="2"/>
    </row>
    <row r="1809" spans="2:13">
      <c r="B1809" s="2"/>
      <c r="C1809" s="1">
        <v>35.09720549</v>
      </c>
      <c r="D1809" s="1">
        <v>1537.2106450000001</v>
      </c>
      <c r="E1809" s="1"/>
      <c r="H1809" s="2">
        <v>7.02465882</v>
      </c>
      <c r="I1809" s="2">
        <v>19.386696300000001</v>
      </c>
      <c r="J1809" s="2">
        <v>7.7171179900000002</v>
      </c>
      <c r="L1809" s="2"/>
      <c r="M1809" s="2"/>
    </row>
    <row r="1810" spans="2:13">
      <c r="B1810" s="2"/>
      <c r="C1810" s="1">
        <v>11.61051542</v>
      </c>
      <c r="D1810" s="1">
        <v>6.457316295</v>
      </c>
      <c r="E1810" s="1"/>
      <c r="H1810" s="2">
        <v>23.643538400000001</v>
      </c>
      <c r="I1810" s="2">
        <v>14.5827756</v>
      </c>
      <c r="J1810" s="2">
        <v>36.256549800000002</v>
      </c>
      <c r="L1810" s="2"/>
      <c r="M1810" s="2"/>
    </row>
    <row r="1811" spans="2:13">
      <c r="B1811" s="2"/>
      <c r="C1811" s="1">
        <v>16.70634227</v>
      </c>
      <c r="D1811" s="1">
        <v>1.088311735</v>
      </c>
      <c r="E1811" s="1"/>
      <c r="H1811" s="2">
        <v>12.7823809</v>
      </c>
      <c r="I1811" s="2">
        <v>98.099481900000001</v>
      </c>
      <c r="J1811" s="2">
        <v>31.946087500000001</v>
      </c>
      <c r="L1811" s="2"/>
      <c r="M1811" s="2"/>
    </row>
    <row r="1812" spans="2:13">
      <c r="B1812" s="2"/>
      <c r="C1812" s="1">
        <v>8.8754330079999999</v>
      </c>
      <c r="D1812" s="1">
        <v>2623.2929899999999</v>
      </c>
      <c r="E1812" s="1"/>
      <c r="H1812" s="2">
        <v>57.8865196</v>
      </c>
      <c r="I1812" s="2">
        <v>59.947955999999998</v>
      </c>
      <c r="J1812" s="2">
        <v>11.645200600000001</v>
      </c>
      <c r="L1812" s="2"/>
      <c r="M1812" s="2"/>
    </row>
    <row r="1813" spans="2:13">
      <c r="B1813" s="2"/>
      <c r="C1813" s="1">
        <v>29.488173339999999</v>
      </c>
      <c r="D1813" s="1">
        <v>9.0890519449999996</v>
      </c>
      <c r="E1813" s="1"/>
      <c r="H1813" s="2">
        <v>50.427652399999999</v>
      </c>
      <c r="I1813" s="2">
        <v>13.9764555</v>
      </c>
      <c r="J1813" s="2">
        <v>89.615901699999995</v>
      </c>
      <c r="L1813" s="2"/>
      <c r="M1813" s="2"/>
    </row>
    <row r="1814" spans="2:13">
      <c r="B1814" s="2"/>
      <c r="C1814" s="1">
        <v>103.4803036</v>
      </c>
      <c r="D1814" s="1">
        <v>0.224258176</v>
      </c>
      <c r="E1814" s="1"/>
      <c r="H1814" s="2">
        <v>18.486570400000002</v>
      </c>
      <c r="I1814" s="2">
        <v>82.210786100000007</v>
      </c>
      <c r="J1814" s="2">
        <v>87.460670500000006</v>
      </c>
      <c r="L1814" s="2"/>
      <c r="M1814" s="2"/>
    </row>
    <row r="1815" spans="2:13">
      <c r="B1815" s="2"/>
      <c r="C1815" s="1">
        <v>16.428607629999998</v>
      </c>
      <c r="D1815" s="1">
        <v>1.4510823129999999</v>
      </c>
      <c r="E1815" s="1"/>
      <c r="H1815" s="2">
        <v>106.57733899999999</v>
      </c>
      <c r="I1815" s="2">
        <v>129.45711299999999</v>
      </c>
      <c r="J1815" s="2">
        <v>5.3533160799999999</v>
      </c>
      <c r="L1815" s="2"/>
      <c r="M1815" s="2"/>
    </row>
    <row r="1816" spans="2:13">
      <c r="B1816" s="2"/>
      <c r="C1816" s="1">
        <v>92.618464180000004</v>
      </c>
      <c r="D1816" s="1">
        <v>2.3876899890000001</v>
      </c>
      <c r="E1816" s="1"/>
      <c r="H1816" s="2">
        <v>108.343912</v>
      </c>
      <c r="I1816" s="2">
        <v>9.0792547399999997</v>
      </c>
      <c r="J1816" s="2">
        <v>29.165144099999999</v>
      </c>
      <c r="L1816" s="2"/>
      <c r="M1816" s="2"/>
    </row>
    <row r="1817" spans="2:13">
      <c r="B1817" s="2"/>
      <c r="C1817" s="1">
        <v>30.104019709999999</v>
      </c>
      <c r="D1817" s="1">
        <v>1.207036652</v>
      </c>
      <c r="E1817" s="1"/>
      <c r="H1817" s="2">
        <v>8.0655693199999998</v>
      </c>
      <c r="I1817" s="2">
        <v>22.760323499999998</v>
      </c>
      <c r="J1817" s="2">
        <v>72.061196300000006</v>
      </c>
      <c r="L1817" s="2"/>
      <c r="M1817" s="2"/>
    </row>
    <row r="1818" spans="2:13">
      <c r="B1818" s="2"/>
      <c r="C1818" s="1">
        <v>4.9267709760000002</v>
      </c>
      <c r="D1818" s="1">
        <v>3.8255806450000001</v>
      </c>
      <c r="E1818" s="1"/>
      <c r="H1818" s="2">
        <v>30.828794800000001</v>
      </c>
      <c r="I1818" s="2">
        <v>86.237373399999996</v>
      </c>
      <c r="J1818" s="2">
        <v>15.5037596</v>
      </c>
      <c r="L1818" s="2"/>
      <c r="M1818" s="2"/>
    </row>
    <row r="1819" spans="2:13">
      <c r="B1819" s="2"/>
      <c r="C1819" s="1">
        <v>33.062497380000003</v>
      </c>
      <c r="D1819" s="1">
        <v>0.82447858699999998</v>
      </c>
      <c r="E1819" s="1"/>
      <c r="H1819" s="2">
        <v>61.5862129</v>
      </c>
      <c r="I1819" s="2">
        <v>22.014083400000001</v>
      </c>
      <c r="J1819" s="2">
        <v>69.0369204</v>
      </c>
      <c r="L1819" s="2"/>
      <c r="M1819" s="2"/>
    </row>
    <row r="1820" spans="2:13">
      <c r="B1820" s="2"/>
      <c r="C1820" s="1">
        <v>50.56581731</v>
      </c>
      <c r="D1820" s="1">
        <v>6.5958287000000004E-2</v>
      </c>
      <c r="E1820" s="1"/>
      <c r="H1820" s="2">
        <v>22.108938899999998</v>
      </c>
      <c r="I1820" s="2">
        <v>48.148034099999997</v>
      </c>
      <c r="J1820" s="2">
        <v>11.9232949</v>
      </c>
      <c r="L1820" s="2"/>
      <c r="M1820" s="2"/>
    </row>
    <row r="1821" spans="2:13">
      <c r="B1821" s="2"/>
      <c r="C1821" s="1">
        <v>38.267003000000003</v>
      </c>
      <c r="D1821" s="1">
        <v>90.36285316</v>
      </c>
      <c r="E1821" s="1"/>
      <c r="H1821" s="2">
        <v>69.854016299999998</v>
      </c>
      <c r="I1821" s="2">
        <v>26.118404099999999</v>
      </c>
      <c r="J1821" s="2">
        <v>0.97333020000000003</v>
      </c>
      <c r="L1821" s="2"/>
      <c r="M1821" s="2"/>
    </row>
    <row r="1822" spans="2:13">
      <c r="B1822" s="2"/>
      <c r="C1822" s="1">
        <v>85.222269999999995</v>
      </c>
      <c r="D1822" s="1">
        <v>0.77171195800000003</v>
      </c>
      <c r="E1822" s="1"/>
      <c r="H1822" s="2">
        <v>17.766855100000001</v>
      </c>
      <c r="I1822" s="2">
        <v>3.7312005799999999</v>
      </c>
      <c r="J1822" s="2">
        <v>21.413264300000002</v>
      </c>
      <c r="L1822" s="2"/>
      <c r="M1822" s="2"/>
    </row>
    <row r="1823" spans="2:13">
      <c r="B1823" s="2"/>
      <c r="C1823" s="1">
        <v>7.0761955680000002</v>
      </c>
      <c r="D1823" s="1">
        <v>1.6885321470000001</v>
      </c>
      <c r="E1823" s="1"/>
      <c r="H1823" s="2">
        <v>1.7844179899999999</v>
      </c>
      <c r="I1823" s="2">
        <v>24.625923799999999</v>
      </c>
      <c r="J1823" s="2">
        <v>22.490879899999999</v>
      </c>
      <c r="L1823" s="2"/>
      <c r="M1823" s="2"/>
    </row>
    <row r="1824" spans="2:13">
      <c r="B1824" s="2"/>
      <c r="C1824" s="1">
        <v>2.6022528070000002</v>
      </c>
      <c r="D1824" s="1">
        <v>1.0553325920000001</v>
      </c>
      <c r="E1824" s="1"/>
      <c r="H1824" s="2">
        <v>27.022036400000001</v>
      </c>
      <c r="I1824" s="2">
        <v>20.2262165</v>
      </c>
      <c r="J1824" s="2">
        <v>40.8451065</v>
      </c>
      <c r="L1824" s="2"/>
      <c r="M1824" s="2"/>
    </row>
    <row r="1825" spans="2:13">
      <c r="B1825" s="2"/>
      <c r="C1825" s="1">
        <v>17.19539674</v>
      </c>
      <c r="D1825" s="1">
        <v>1.4444864850000001</v>
      </c>
      <c r="E1825" s="1"/>
      <c r="H1825" s="2">
        <v>21.145353199999999</v>
      </c>
      <c r="I1825" s="2">
        <v>55.330595299999999</v>
      </c>
      <c r="J1825" s="2">
        <v>32.224181899999998</v>
      </c>
      <c r="L1825" s="2"/>
      <c r="M1825" s="2"/>
    </row>
    <row r="1826" spans="2:13">
      <c r="B1826" s="2"/>
      <c r="C1826" s="1">
        <v>12.76975565</v>
      </c>
      <c r="D1826" s="1">
        <v>0.35617474999999998</v>
      </c>
      <c r="E1826" s="1"/>
      <c r="H1826" s="2">
        <v>46.382971599999998</v>
      </c>
      <c r="I1826" s="2">
        <v>32.663551699999999</v>
      </c>
      <c r="J1826" s="2">
        <v>11.3671062</v>
      </c>
      <c r="L1826" s="2"/>
      <c r="M1826" s="2"/>
    </row>
    <row r="1827" spans="2:13">
      <c r="B1827" s="2"/>
      <c r="C1827" s="1">
        <v>31.00967614</v>
      </c>
      <c r="D1827" s="1">
        <v>5.6460293650000004</v>
      </c>
      <c r="E1827" s="1"/>
      <c r="H1827" s="2">
        <v>30.751470000000001</v>
      </c>
      <c r="I1827" s="2">
        <v>15.1113623</v>
      </c>
      <c r="J1827" s="2">
        <v>4.8318891900000001</v>
      </c>
      <c r="L1827" s="2"/>
      <c r="M1827" s="2"/>
    </row>
    <row r="1828" spans="2:13">
      <c r="B1828" s="2"/>
      <c r="C1828" s="1">
        <v>29.88062446</v>
      </c>
      <c r="D1828" s="1">
        <v>0.74532864300000001</v>
      </c>
      <c r="E1828" s="1"/>
      <c r="H1828" s="2">
        <v>15.4649559</v>
      </c>
      <c r="I1828" s="2">
        <v>5.4724275200000001</v>
      </c>
      <c r="J1828" s="2">
        <v>51.273644300000001</v>
      </c>
      <c r="L1828" s="2"/>
      <c r="M1828" s="2"/>
    </row>
    <row r="1829" spans="2:13">
      <c r="B1829" s="2"/>
      <c r="C1829" s="1">
        <v>21.131983349999999</v>
      </c>
      <c r="D1829" s="1">
        <v>0.36936640700000001</v>
      </c>
      <c r="E1829" s="1"/>
      <c r="H1829" s="2">
        <v>9.1778565299999997</v>
      </c>
      <c r="I1829" s="2">
        <v>57.989075700000001</v>
      </c>
      <c r="J1829" s="2">
        <v>22.386594500000001</v>
      </c>
      <c r="L1829" s="2"/>
      <c r="M1829" s="2"/>
    </row>
    <row r="1830" spans="2:13">
      <c r="B1830" s="2"/>
      <c r="C1830" s="1">
        <v>13.941071300000001</v>
      </c>
      <c r="D1830" s="1">
        <v>373.2711377</v>
      </c>
      <c r="E1830" s="1"/>
      <c r="H1830" s="2">
        <v>66.618271699999994</v>
      </c>
      <c r="I1830" s="2">
        <v>21.749790000000001</v>
      </c>
      <c r="J1830" s="2">
        <v>6.6395024100000004</v>
      </c>
      <c r="L1830" s="2"/>
      <c r="M1830" s="2"/>
    </row>
    <row r="1831" spans="2:13">
      <c r="B1831" s="2"/>
      <c r="C1831" s="1">
        <v>35.399090970000003</v>
      </c>
      <c r="D1831" s="1">
        <v>0.96299098999999999</v>
      </c>
      <c r="E1831" s="1"/>
      <c r="H1831" s="2">
        <v>18.766129200000002</v>
      </c>
      <c r="I1831" s="2">
        <v>3.9644006200000002</v>
      </c>
      <c r="J1831" s="2">
        <v>48.527462700000001</v>
      </c>
      <c r="L1831" s="2"/>
      <c r="M1831" s="2"/>
    </row>
    <row r="1832" spans="2:13">
      <c r="B1832" s="2"/>
      <c r="C1832" s="1">
        <v>12.606737499999999</v>
      </c>
      <c r="D1832" s="1">
        <v>1.279590767</v>
      </c>
      <c r="E1832" s="1"/>
      <c r="H1832" s="2">
        <v>9.3027657900000005</v>
      </c>
      <c r="I1832" s="2">
        <v>36.705685699999997</v>
      </c>
      <c r="J1832" s="2">
        <v>18.110893999999998</v>
      </c>
      <c r="L1832" s="2"/>
      <c r="M1832" s="2"/>
    </row>
    <row r="1833" spans="2:13">
      <c r="B1833" s="2"/>
      <c r="C1833" s="1">
        <v>4.5463952750000001</v>
      </c>
      <c r="D1833" s="1">
        <v>1.7610862620000001</v>
      </c>
      <c r="E1833" s="1"/>
      <c r="H1833" s="2">
        <v>47.994895900000003</v>
      </c>
      <c r="I1833" s="2">
        <v>22.853603499999998</v>
      </c>
      <c r="J1833" s="2">
        <v>18.8408917</v>
      </c>
      <c r="L1833" s="2"/>
      <c r="M1833" s="2"/>
    </row>
    <row r="1834" spans="2:13">
      <c r="B1834" s="2"/>
      <c r="C1834" s="1">
        <v>33.297968050000001</v>
      </c>
      <c r="D1834" s="1">
        <v>0.481495495</v>
      </c>
      <c r="E1834" s="1"/>
      <c r="H1834" s="2">
        <v>22.025666099999999</v>
      </c>
      <c r="I1834" s="2">
        <v>25.698644000000002</v>
      </c>
      <c r="J1834" s="2">
        <v>43.973667800000001</v>
      </c>
      <c r="L1834" s="2"/>
      <c r="M1834" s="2"/>
    </row>
    <row r="1835" spans="2:13">
      <c r="B1835" s="2"/>
      <c r="C1835" s="1">
        <v>29.270815800000001</v>
      </c>
      <c r="D1835" s="1">
        <v>1.1674616790000001</v>
      </c>
      <c r="E1835" s="1"/>
      <c r="H1835" s="2">
        <v>24.3632536</v>
      </c>
      <c r="I1835" s="2">
        <v>36.783419000000002</v>
      </c>
      <c r="J1835" s="2">
        <v>12.40996</v>
      </c>
      <c r="L1835" s="2"/>
      <c r="M1835" s="2"/>
    </row>
    <row r="1836" spans="2:13">
      <c r="B1836" s="2"/>
      <c r="C1836" s="1">
        <v>17.298037799999999</v>
      </c>
      <c r="D1836" s="1">
        <v>0.712349499</v>
      </c>
      <c r="E1836" s="1"/>
      <c r="H1836" s="2">
        <v>50.0172363</v>
      </c>
      <c r="I1836" s="2">
        <v>13.556695400000001</v>
      </c>
      <c r="J1836" s="2">
        <v>17.5894671</v>
      </c>
      <c r="L1836" s="2"/>
      <c r="M1836" s="2"/>
    </row>
    <row r="1837" spans="2:13">
      <c r="B1837" s="2"/>
      <c r="C1837" s="1">
        <v>36.383237620000003</v>
      </c>
      <c r="D1837" s="1">
        <v>183.2519087</v>
      </c>
      <c r="E1837" s="1"/>
      <c r="H1837" s="2">
        <v>12.4314453</v>
      </c>
      <c r="I1837" s="2">
        <v>26.942377499999999</v>
      </c>
      <c r="J1837" s="2">
        <v>13.800431700000001</v>
      </c>
      <c r="L1837" s="2"/>
      <c r="M1837" s="2"/>
    </row>
    <row r="1838" spans="2:13">
      <c r="B1838" s="2"/>
      <c r="C1838" s="1">
        <v>9.7509008900000005</v>
      </c>
      <c r="D1838" s="1">
        <v>9.1813935470000008</v>
      </c>
      <c r="E1838" s="1"/>
      <c r="H1838" s="2">
        <v>20.818209899999999</v>
      </c>
      <c r="I1838" s="2">
        <v>15.204642399999999</v>
      </c>
      <c r="J1838" s="2">
        <v>11.2975826</v>
      </c>
      <c r="L1838" s="2"/>
      <c r="M1838" s="2"/>
    </row>
    <row r="1839" spans="2:13">
      <c r="B1839" s="2"/>
      <c r="C1839" s="1">
        <v>36.15984237</v>
      </c>
      <c r="D1839" s="1">
        <v>2.63173565</v>
      </c>
      <c r="E1839" s="1"/>
      <c r="H1839" s="2">
        <v>13.924408400000001</v>
      </c>
      <c r="I1839" s="2">
        <v>13.4945088</v>
      </c>
      <c r="J1839" s="2">
        <v>151.90903399999999</v>
      </c>
      <c r="L1839" s="2"/>
      <c r="M1839" s="2"/>
    </row>
    <row r="1840" spans="2:13">
      <c r="B1840" s="2"/>
      <c r="C1840" s="1">
        <v>21.75386743</v>
      </c>
      <c r="D1840" s="1">
        <v>1.0091617909999999</v>
      </c>
      <c r="E1840" s="1"/>
      <c r="H1840" s="2">
        <v>18.302180499999999</v>
      </c>
      <c r="I1840" s="2">
        <v>117.766018</v>
      </c>
      <c r="J1840" s="2">
        <v>42.027007400000002</v>
      </c>
      <c r="L1840" s="2"/>
      <c r="M1840" s="2"/>
    </row>
    <row r="1841" spans="2:13">
      <c r="B1841" s="2"/>
      <c r="C1841" s="1">
        <v>17.841431660000001</v>
      </c>
      <c r="D1841" s="1">
        <v>1.6027863739999999</v>
      </c>
      <c r="E1841" s="1"/>
      <c r="H1841" s="2">
        <v>173.87368900000001</v>
      </c>
      <c r="I1841" s="2">
        <v>34.233765300000002</v>
      </c>
      <c r="J1841" s="2">
        <v>9.8375873400000007</v>
      </c>
      <c r="L1841" s="2"/>
      <c r="M1841" s="2"/>
    </row>
    <row r="1842" spans="2:13">
      <c r="B1842" s="2"/>
      <c r="C1842" s="1">
        <v>245.76496639999999</v>
      </c>
      <c r="D1842" s="1">
        <v>176.7022508</v>
      </c>
      <c r="E1842" s="1"/>
      <c r="H1842" s="2">
        <v>54.769736199999997</v>
      </c>
      <c r="I1842" s="2">
        <v>15.266829</v>
      </c>
      <c r="J1842" s="2">
        <v>29.721332799999999</v>
      </c>
      <c r="L1842" s="2"/>
      <c r="M1842" s="2"/>
    </row>
    <row r="1843" spans="2:13">
      <c r="B1843" s="2"/>
      <c r="C1843" s="1">
        <v>80.392102379999997</v>
      </c>
      <c r="D1843" s="1">
        <v>0.52766629600000003</v>
      </c>
      <c r="E1843" s="1"/>
      <c r="H1843" s="2">
        <v>14.7928251</v>
      </c>
      <c r="I1843" s="2">
        <v>42.7377933</v>
      </c>
      <c r="J1843" s="2">
        <v>31.911325699999999</v>
      </c>
      <c r="L1843" s="2"/>
      <c r="M1843" s="2"/>
    </row>
    <row r="1844" spans="2:13">
      <c r="B1844" s="2"/>
      <c r="C1844" s="1">
        <v>20.763683069999999</v>
      </c>
      <c r="D1844" s="1">
        <v>0.72554115699999999</v>
      </c>
      <c r="E1844" s="1"/>
      <c r="H1844" s="2">
        <v>36.140412400000002</v>
      </c>
      <c r="I1844" s="2">
        <v>35.306485500000001</v>
      </c>
      <c r="J1844" s="2">
        <v>8.0299741200000003</v>
      </c>
      <c r="L1844" s="2"/>
      <c r="M1844" s="2"/>
    </row>
    <row r="1845" spans="2:13">
      <c r="B1845" s="2"/>
      <c r="C1845" s="1">
        <v>61.288789430000001</v>
      </c>
      <c r="D1845" s="1">
        <v>7.7764820349999999</v>
      </c>
      <c r="E1845" s="1"/>
      <c r="H1845" s="2">
        <v>35.230359200000002</v>
      </c>
      <c r="I1845" s="2">
        <v>7.5090411699999997</v>
      </c>
      <c r="J1845" s="2">
        <v>7.7171179900000002</v>
      </c>
      <c r="L1845" s="2"/>
      <c r="M1845" s="2"/>
    </row>
    <row r="1846" spans="2:13">
      <c r="B1846" s="2"/>
      <c r="C1846" s="1">
        <v>59.531815960000003</v>
      </c>
      <c r="D1846" s="1">
        <v>0.35617474999999998</v>
      </c>
      <c r="E1846" s="1"/>
      <c r="H1846" s="2">
        <v>10.331780200000001</v>
      </c>
      <c r="I1846" s="2">
        <v>7.9288012300000004</v>
      </c>
      <c r="J1846" s="2">
        <v>48.388415500000001</v>
      </c>
      <c r="L1846" s="2"/>
      <c r="M1846" s="2"/>
    </row>
    <row r="1847" spans="2:13">
      <c r="B1847" s="2"/>
      <c r="C1847" s="1">
        <v>9.5335433470000002</v>
      </c>
      <c r="D1847" s="1">
        <v>0.857457731</v>
      </c>
      <c r="E1847" s="1"/>
      <c r="H1847" s="2">
        <v>9.7845586499999992</v>
      </c>
      <c r="I1847" s="2">
        <v>95.518734800000004</v>
      </c>
      <c r="J1847" s="2">
        <v>9.6637783800000001</v>
      </c>
      <c r="L1847" s="2"/>
      <c r="M1847" s="2"/>
    </row>
    <row r="1848" spans="2:13">
      <c r="B1848" s="2"/>
      <c r="C1848" s="1">
        <v>24.549326950000001</v>
      </c>
      <c r="D1848" s="1">
        <v>0.105533259</v>
      </c>
      <c r="E1848" s="1"/>
      <c r="H1848" s="2">
        <v>65.737958800000001</v>
      </c>
      <c r="I1848" s="2">
        <v>11.3335218</v>
      </c>
      <c r="J1848" s="2">
        <v>15.9556629</v>
      </c>
      <c r="L1848" s="2"/>
      <c r="M1848" s="2"/>
    </row>
    <row r="1849" spans="2:13">
      <c r="B1849" s="2"/>
      <c r="C1849" s="1">
        <v>116.92024499999999</v>
      </c>
      <c r="D1849" s="1">
        <v>0.58043292499999999</v>
      </c>
      <c r="E1849" s="1"/>
      <c r="H1849" s="2">
        <v>11.884223799999999</v>
      </c>
      <c r="I1849" s="2">
        <v>24.703657199999999</v>
      </c>
      <c r="J1849" s="2">
        <v>4.0323679600000002</v>
      </c>
      <c r="L1849" s="2"/>
      <c r="M1849" s="2"/>
    </row>
    <row r="1850" spans="2:13">
      <c r="B1850" s="2"/>
      <c r="C1850" s="1">
        <v>11.24825285</v>
      </c>
      <c r="D1850" s="1">
        <v>1.6687446610000001</v>
      </c>
      <c r="E1850" s="1"/>
      <c r="H1850" s="2">
        <v>18.748284999999999</v>
      </c>
      <c r="I1850" s="2">
        <v>3.4824538700000001</v>
      </c>
      <c r="J1850" s="2">
        <v>10.498061399999999</v>
      </c>
      <c r="L1850" s="2"/>
      <c r="M1850" s="2"/>
    </row>
    <row r="1851" spans="2:13">
      <c r="B1851" s="2"/>
      <c r="C1851" s="1">
        <v>10.2037291</v>
      </c>
      <c r="D1851" s="1">
        <v>4.7424008339999997</v>
      </c>
      <c r="E1851" s="1"/>
      <c r="H1851" s="2">
        <v>4.0625249600000002</v>
      </c>
      <c r="I1851" s="2">
        <v>11.8154685</v>
      </c>
      <c r="J1851" s="2">
        <v>16.824707700000001</v>
      </c>
      <c r="L1851" s="2"/>
      <c r="M1851" s="2"/>
    </row>
    <row r="1852" spans="2:13">
      <c r="B1852" s="2"/>
      <c r="C1852" s="1">
        <v>1.859614535</v>
      </c>
      <c r="D1852" s="1">
        <v>1.108099221</v>
      </c>
      <c r="E1852" s="1"/>
      <c r="H1852" s="2">
        <v>13.4128752</v>
      </c>
      <c r="I1852" s="2">
        <v>18.127416100000001</v>
      </c>
      <c r="J1852" s="2">
        <v>91.041135199999999</v>
      </c>
      <c r="L1852" s="2"/>
      <c r="M1852" s="2"/>
    </row>
    <row r="1853" spans="2:13">
      <c r="B1853" s="2"/>
      <c r="C1853" s="1">
        <v>19.996893960000001</v>
      </c>
      <c r="D1853" s="1">
        <v>4.0762221350000001</v>
      </c>
      <c r="E1853" s="1"/>
      <c r="H1853" s="2">
        <v>18.212959600000001</v>
      </c>
      <c r="I1853" s="2">
        <v>70.675157600000006</v>
      </c>
      <c r="J1853" s="2">
        <v>14.8780473</v>
      </c>
      <c r="L1853" s="2"/>
      <c r="M1853" s="2"/>
    </row>
    <row r="1854" spans="2:13">
      <c r="B1854" s="2"/>
      <c r="C1854" s="1">
        <v>47.685829859999998</v>
      </c>
      <c r="D1854" s="1">
        <v>1.965556952</v>
      </c>
      <c r="E1854" s="1"/>
      <c r="H1854" s="2">
        <v>87.716040399999997</v>
      </c>
      <c r="I1854" s="2">
        <v>23.024616900000002</v>
      </c>
      <c r="J1854" s="2">
        <v>72.269767099999996</v>
      </c>
      <c r="L1854" s="2"/>
      <c r="M1854" s="2"/>
    </row>
    <row r="1855" spans="2:13">
      <c r="B1855" s="2"/>
      <c r="C1855" s="1">
        <v>91.096961379999996</v>
      </c>
      <c r="D1855" s="1">
        <v>0.46830383799999997</v>
      </c>
      <c r="E1855" s="1"/>
      <c r="H1855" s="2">
        <v>17.558672999999999</v>
      </c>
      <c r="I1855" s="2">
        <v>57.957982299999998</v>
      </c>
      <c r="J1855" s="2">
        <v>33.9622715</v>
      </c>
      <c r="L1855" s="2"/>
      <c r="M1855" s="2"/>
    </row>
    <row r="1856" spans="2:13">
      <c r="B1856" s="2"/>
      <c r="C1856" s="1">
        <v>10.60221793</v>
      </c>
      <c r="D1856" s="1">
        <v>0.54745378200000006</v>
      </c>
      <c r="E1856" s="1"/>
      <c r="H1856" s="2">
        <v>87.484065999999999</v>
      </c>
      <c r="I1856" s="2">
        <v>18.593816199999999</v>
      </c>
      <c r="J1856" s="2">
        <v>6.1180755199999997</v>
      </c>
      <c r="L1856" s="2"/>
      <c r="M1856" s="2"/>
    </row>
    <row r="1857" spans="2:13">
      <c r="B1857" s="2"/>
      <c r="C1857" s="1">
        <v>48.839032379999999</v>
      </c>
      <c r="D1857" s="1">
        <v>2.4272649610000001</v>
      </c>
      <c r="E1857" s="1"/>
      <c r="H1857" s="2">
        <v>33.178278499999998</v>
      </c>
      <c r="I1857" s="2">
        <v>6.3430409799999996</v>
      </c>
      <c r="J1857" s="2">
        <v>20.266125200000001</v>
      </c>
      <c r="L1857" s="2"/>
      <c r="M1857" s="2"/>
    </row>
    <row r="1858" spans="2:13">
      <c r="B1858" s="2"/>
      <c r="C1858" s="1">
        <v>24.23536605</v>
      </c>
      <c r="D1858" s="1">
        <v>0.46170800899999997</v>
      </c>
      <c r="E1858" s="1"/>
      <c r="H1858" s="2">
        <v>6.2752032700000004</v>
      </c>
      <c r="I1858" s="2">
        <v>23.584296999999999</v>
      </c>
      <c r="J1858" s="2">
        <v>42.4789107</v>
      </c>
      <c r="L1858" s="2"/>
      <c r="M1858" s="2"/>
    </row>
    <row r="1859" spans="2:13">
      <c r="B1859" s="2"/>
      <c r="C1859" s="1">
        <v>7.1969497589999998</v>
      </c>
      <c r="D1859" s="1">
        <v>2.6119481640000002</v>
      </c>
      <c r="E1859" s="1"/>
      <c r="H1859" s="2">
        <v>22.4241861</v>
      </c>
      <c r="I1859" s="2">
        <v>61.689182899999999</v>
      </c>
      <c r="J1859" s="2">
        <v>5.94426656</v>
      </c>
      <c r="L1859" s="2"/>
      <c r="M1859" s="2"/>
    </row>
    <row r="1860" spans="2:13">
      <c r="B1860" s="2"/>
      <c r="C1860" s="1">
        <v>7.9456257399999997</v>
      </c>
      <c r="D1860" s="1">
        <v>1.0619284200000001</v>
      </c>
      <c r="E1860" s="1"/>
      <c r="H1860" s="2">
        <v>53.163760000000003</v>
      </c>
      <c r="I1860" s="2">
        <v>8.1775479400000002</v>
      </c>
      <c r="J1860" s="2">
        <v>41.818436699999999</v>
      </c>
      <c r="L1860" s="2"/>
      <c r="M1860" s="2"/>
    </row>
    <row r="1861" spans="2:13">
      <c r="B1861" s="2"/>
      <c r="C1861" s="1">
        <v>99.507490750000002</v>
      </c>
      <c r="D1861" s="1">
        <v>6.5958287000000004E-2</v>
      </c>
      <c r="E1861" s="1"/>
      <c r="H1861" s="2">
        <v>8.4165048599999999</v>
      </c>
      <c r="I1861" s="2">
        <v>49.935901100000002</v>
      </c>
      <c r="J1861" s="2">
        <v>13.348528399999999</v>
      </c>
      <c r="L1861" s="2"/>
      <c r="M1861" s="2"/>
    </row>
    <row r="1862" spans="2:13">
      <c r="B1862" s="2"/>
      <c r="C1862" s="1">
        <v>12.697303140000001</v>
      </c>
      <c r="D1862" s="1">
        <v>2.8296105109999998</v>
      </c>
      <c r="E1862" s="1"/>
      <c r="H1862" s="2">
        <v>55.447814999999999</v>
      </c>
      <c r="I1862" s="2">
        <v>14.6449623</v>
      </c>
      <c r="J1862" s="2">
        <v>1.49475709</v>
      </c>
      <c r="L1862" s="2"/>
      <c r="M1862" s="2"/>
    </row>
    <row r="1863" spans="2:13">
      <c r="B1863" s="2"/>
      <c r="C1863" s="1">
        <v>37.210403829999997</v>
      </c>
      <c r="D1863" s="1">
        <v>1.154270022</v>
      </c>
      <c r="E1863" s="1"/>
      <c r="H1863" s="2">
        <v>20.1639233</v>
      </c>
      <c r="I1863" s="2">
        <v>1.2748268599999999</v>
      </c>
      <c r="J1863" s="2">
        <v>37.438450799999998</v>
      </c>
      <c r="L1863" s="2"/>
      <c r="M1863" s="2"/>
    </row>
    <row r="1864" spans="2:13">
      <c r="B1864" s="2"/>
      <c r="C1864" s="1">
        <v>11.405233300000001</v>
      </c>
      <c r="D1864" s="1">
        <v>0.44192052300000001</v>
      </c>
      <c r="E1864" s="1"/>
      <c r="H1864" s="2">
        <v>3.4022903000000002</v>
      </c>
      <c r="I1864" s="2">
        <v>36.441392299999997</v>
      </c>
      <c r="J1864" s="2">
        <v>17.624228899999999</v>
      </c>
      <c r="L1864" s="2"/>
      <c r="M1864" s="2"/>
    </row>
    <row r="1865" spans="2:13">
      <c r="B1865" s="2"/>
      <c r="C1865" s="1">
        <v>3.7977192940000002</v>
      </c>
      <c r="D1865" s="1">
        <v>0.74532864300000001</v>
      </c>
      <c r="E1865" s="1"/>
      <c r="H1865" s="2">
        <v>51.373393999999998</v>
      </c>
      <c r="I1865" s="2">
        <v>18.858109599999999</v>
      </c>
      <c r="J1865" s="2">
        <v>9.4552076199999995</v>
      </c>
      <c r="L1865" s="2"/>
      <c r="M1865" s="2"/>
    </row>
    <row r="1866" spans="2:13">
      <c r="B1866" s="2"/>
      <c r="C1866" s="1">
        <v>21.34330319</v>
      </c>
      <c r="D1866" s="1">
        <v>0.48809132399999999</v>
      </c>
      <c r="E1866" s="1"/>
      <c r="H1866" s="2">
        <v>24.030162300000001</v>
      </c>
      <c r="I1866" s="2">
        <v>13.6655221</v>
      </c>
      <c r="J1866" s="2">
        <v>12.0623421</v>
      </c>
      <c r="L1866" s="2"/>
      <c r="M1866" s="2"/>
    </row>
    <row r="1867" spans="2:13">
      <c r="B1867" s="2"/>
      <c r="C1867" s="1">
        <v>16.259551760000001</v>
      </c>
      <c r="D1867" s="1">
        <v>125.2481911</v>
      </c>
      <c r="E1867" s="1"/>
      <c r="H1867" s="2">
        <v>13.853031700000001</v>
      </c>
      <c r="I1867" s="2">
        <v>21.796430000000001</v>
      </c>
      <c r="J1867" s="2">
        <v>6.1180755199999997</v>
      </c>
      <c r="L1867" s="2"/>
      <c r="M1867" s="2"/>
    </row>
    <row r="1868" spans="2:13">
      <c r="B1868" s="2"/>
      <c r="C1868" s="1">
        <v>7.0097807630000002</v>
      </c>
      <c r="D1868" s="1">
        <v>0.158299889</v>
      </c>
      <c r="E1868" s="1"/>
      <c r="H1868" s="2">
        <v>14.7095523</v>
      </c>
      <c r="I1868" s="2">
        <v>17.210162700000001</v>
      </c>
      <c r="J1868" s="2">
        <v>11.540915200000001</v>
      </c>
      <c r="L1868" s="2"/>
      <c r="M1868" s="2"/>
    </row>
    <row r="1869" spans="2:13">
      <c r="B1869" s="2"/>
      <c r="C1869" s="1">
        <v>23.861028059999999</v>
      </c>
      <c r="D1869" s="1">
        <v>3.119826974</v>
      </c>
      <c r="E1869" s="1"/>
      <c r="H1869" s="2">
        <v>10.212819</v>
      </c>
      <c r="I1869" s="2">
        <v>13.0902954</v>
      </c>
      <c r="J1869" s="2">
        <v>9.4204458300000002</v>
      </c>
      <c r="L1869" s="2"/>
      <c r="M1869" s="2"/>
    </row>
    <row r="1870" spans="2:13">
      <c r="B1870" s="2"/>
      <c r="C1870" s="1">
        <v>13.639185830000001</v>
      </c>
      <c r="D1870" s="1">
        <v>0.15170406</v>
      </c>
      <c r="E1870" s="1"/>
      <c r="H1870" s="2">
        <v>11.842587399999999</v>
      </c>
      <c r="I1870" s="2">
        <v>3.9644006200000002</v>
      </c>
      <c r="J1870" s="2">
        <v>42.826528600000003</v>
      </c>
      <c r="L1870" s="2"/>
      <c r="M1870" s="2"/>
    </row>
    <row r="1871" spans="2:13">
      <c r="B1871" s="2"/>
      <c r="C1871" s="1">
        <v>7.9033617740000004</v>
      </c>
      <c r="D1871" s="1">
        <v>2.8625896549999998</v>
      </c>
      <c r="E1871" s="1"/>
      <c r="H1871" s="2">
        <v>9.4395711700000007</v>
      </c>
      <c r="I1871" s="2">
        <v>33.456431899999998</v>
      </c>
      <c r="J1871" s="2">
        <v>2.25951653</v>
      </c>
      <c r="L1871" s="2"/>
      <c r="M1871" s="2"/>
    </row>
    <row r="1872" spans="2:13">
      <c r="B1872" s="2"/>
      <c r="C1872" s="1">
        <v>2.1916885590000001</v>
      </c>
      <c r="D1872" s="1">
        <v>6.5958290000000001E-3</v>
      </c>
      <c r="E1872" s="1"/>
      <c r="H1872" s="2">
        <v>51.563731900000001</v>
      </c>
      <c r="I1872" s="2">
        <v>2.3630936999999999</v>
      </c>
      <c r="J1872" s="2">
        <v>44.7036655</v>
      </c>
      <c r="L1872" s="2"/>
      <c r="M1872" s="2"/>
    </row>
    <row r="1873" spans="2:13">
      <c r="B1873" s="2"/>
      <c r="C1873" s="1">
        <v>70.629126069999998</v>
      </c>
      <c r="D1873" s="1">
        <v>2.4404566179999998</v>
      </c>
      <c r="E1873" s="1"/>
      <c r="H1873" s="2">
        <v>3.6996932999999999</v>
      </c>
      <c r="I1873" s="2">
        <v>48.5522475</v>
      </c>
      <c r="J1873" s="2">
        <v>55.931724500000001</v>
      </c>
      <c r="L1873" s="2"/>
      <c r="M1873" s="2"/>
    </row>
    <row r="1874" spans="2:13">
      <c r="B1874" s="2"/>
      <c r="C1874" s="1">
        <v>5.1139399709999998</v>
      </c>
      <c r="D1874" s="1">
        <v>3.1066353169999998</v>
      </c>
      <c r="E1874" s="1"/>
      <c r="H1874" s="2">
        <v>40.060183899999998</v>
      </c>
      <c r="I1874" s="2">
        <v>0.26429337000000003</v>
      </c>
      <c r="J1874" s="2">
        <v>71.053104300000001</v>
      </c>
      <c r="L1874" s="2"/>
      <c r="M1874" s="2"/>
    </row>
    <row r="1875" spans="2:13">
      <c r="B1875" s="2"/>
      <c r="C1875" s="1">
        <v>73.249492009999997</v>
      </c>
      <c r="D1875" s="1">
        <v>0.89043687400000004</v>
      </c>
      <c r="E1875" s="1"/>
      <c r="H1875" s="2">
        <v>0.24387046000000001</v>
      </c>
      <c r="I1875" s="2">
        <v>68.032223900000005</v>
      </c>
      <c r="J1875" s="2">
        <v>10.289490600000001</v>
      </c>
      <c r="L1875" s="2"/>
      <c r="M1875" s="2"/>
    </row>
    <row r="1876" spans="2:13">
      <c r="B1876" s="2"/>
      <c r="C1876" s="1">
        <v>0.163018157</v>
      </c>
      <c r="D1876" s="1">
        <v>182.27572610000001</v>
      </c>
      <c r="E1876" s="1"/>
      <c r="H1876" s="2">
        <v>53.746669900000001</v>
      </c>
      <c r="I1876" s="2">
        <v>51.770408000000003</v>
      </c>
      <c r="J1876" s="2">
        <v>13.6613845</v>
      </c>
      <c r="L1876" s="2"/>
      <c r="M1876" s="2"/>
    </row>
    <row r="1877" spans="2:13">
      <c r="B1877" s="2"/>
      <c r="C1877" s="1">
        <v>55.402022639999998</v>
      </c>
      <c r="D1877" s="1">
        <v>0.21106651800000001</v>
      </c>
      <c r="E1877" s="1"/>
      <c r="H1877" s="2">
        <v>71.840668300000004</v>
      </c>
      <c r="I1877" s="2">
        <v>8.9237880500000006</v>
      </c>
      <c r="J1877" s="2">
        <v>5.8052193900000004</v>
      </c>
      <c r="L1877" s="2"/>
      <c r="M1877" s="2"/>
    </row>
    <row r="1878" spans="2:13">
      <c r="B1878" s="2"/>
      <c r="C1878" s="1">
        <v>34.879847949999998</v>
      </c>
      <c r="D1878" s="1">
        <v>814.9014439</v>
      </c>
      <c r="E1878" s="1"/>
      <c r="H1878" s="2">
        <v>11.913964099999999</v>
      </c>
      <c r="I1878" s="2">
        <v>13.8209888</v>
      </c>
      <c r="J1878" s="2">
        <v>21.3785025</v>
      </c>
      <c r="L1878" s="2"/>
      <c r="M1878" s="2"/>
    </row>
    <row r="1879" spans="2:13">
      <c r="B1879" s="2"/>
      <c r="C1879" s="1">
        <v>32.120614699999997</v>
      </c>
      <c r="D1879" s="1">
        <v>3.0274853720000001</v>
      </c>
      <c r="E1879" s="1"/>
      <c r="H1879" s="2">
        <v>17.3445429</v>
      </c>
      <c r="I1879" s="2">
        <v>5.3636008300000002</v>
      </c>
      <c r="J1879" s="2">
        <v>40.8451065</v>
      </c>
      <c r="L1879" s="2"/>
      <c r="M1879" s="2"/>
    </row>
    <row r="1880" spans="2:13">
      <c r="B1880" s="2"/>
      <c r="C1880" s="1">
        <v>19.423311559999998</v>
      </c>
      <c r="D1880" s="1">
        <v>2.0974735259999999</v>
      </c>
      <c r="E1880" s="1"/>
      <c r="H1880" s="2">
        <v>6.5250217900000003</v>
      </c>
      <c r="I1880" s="2">
        <v>37.809499199999998</v>
      </c>
      <c r="J1880" s="2">
        <v>15.608044899999999</v>
      </c>
      <c r="L1880" s="2"/>
      <c r="M1880" s="2"/>
    </row>
    <row r="1881" spans="2:13">
      <c r="B1881" s="2"/>
      <c r="C1881" s="1">
        <v>9.5878827320000006</v>
      </c>
      <c r="D1881" s="1">
        <v>0.25064149099999999</v>
      </c>
      <c r="E1881" s="1"/>
      <c r="H1881" s="2">
        <v>27.432452600000001</v>
      </c>
      <c r="I1881" s="2">
        <v>47.308514000000002</v>
      </c>
      <c r="J1881" s="2">
        <v>10.7066322</v>
      </c>
      <c r="L1881" s="2"/>
      <c r="M1881" s="2"/>
    </row>
    <row r="1882" spans="2:13">
      <c r="B1882" s="2"/>
      <c r="C1882" s="1">
        <v>41.980194359999999</v>
      </c>
      <c r="D1882" s="1">
        <v>0.83767024499999998</v>
      </c>
      <c r="E1882" s="1"/>
      <c r="H1882" s="2">
        <v>38.353090700000003</v>
      </c>
      <c r="I1882" s="2">
        <v>22.7292302</v>
      </c>
      <c r="J1882" s="2">
        <v>14.8780473</v>
      </c>
      <c r="L1882" s="2"/>
      <c r="M1882" s="2"/>
    </row>
    <row r="1883" spans="2:13">
      <c r="B1883" s="2"/>
      <c r="C1883" s="1">
        <v>62.641236370000001</v>
      </c>
      <c r="D1883" s="1">
        <v>483.9161641</v>
      </c>
      <c r="E1883" s="1"/>
      <c r="H1883" s="2">
        <v>20.931222999999999</v>
      </c>
      <c r="I1883" s="2">
        <v>11.5356285</v>
      </c>
      <c r="J1883" s="2">
        <v>35.561314000000003</v>
      </c>
      <c r="L1883" s="2"/>
      <c r="M1883" s="2"/>
    </row>
    <row r="1884" spans="2:13">
      <c r="B1884" s="2"/>
      <c r="C1884" s="1">
        <v>30.33345267</v>
      </c>
      <c r="D1884" s="1">
        <v>0.58702875399999999</v>
      </c>
      <c r="E1884" s="1"/>
      <c r="H1884" s="2">
        <v>10.1473903</v>
      </c>
      <c r="I1884" s="2">
        <v>11.1469617</v>
      </c>
      <c r="J1884" s="2">
        <v>8.1690212899999999</v>
      </c>
      <c r="L1884" s="2"/>
      <c r="M1884" s="2"/>
    </row>
    <row r="1885" spans="2:13">
      <c r="B1885" s="2"/>
      <c r="C1885" s="1">
        <v>13.10182968</v>
      </c>
      <c r="D1885" s="1">
        <v>0.46170800899999997</v>
      </c>
      <c r="E1885" s="1"/>
      <c r="H1885" s="2">
        <v>17.826335700000001</v>
      </c>
      <c r="I1885" s="2">
        <v>41.727259799999999</v>
      </c>
      <c r="J1885" s="2">
        <v>7.5433090199999997</v>
      </c>
      <c r="L1885" s="2"/>
      <c r="M1885" s="2"/>
    </row>
    <row r="1886" spans="2:13">
      <c r="B1886" s="2"/>
      <c r="C1886" s="1">
        <v>22.236884199999999</v>
      </c>
      <c r="D1886" s="1">
        <v>0.13851240300000001</v>
      </c>
      <c r="E1886" s="1"/>
      <c r="H1886" s="2">
        <v>58.790624700000002</v>
      </c>
      <c r="I1886" s="2">
        <v>11.0536817</v>
      </c>
      <c r="J1886" s="2">
        <v>3.4761792699999998</v>
      </c>
      <c r="L1886" s="2"/>
      <c r="M1886" s="2"/>
    </row>
    <row r="1887" spans="2:13">
      <c r="B1887" s="2"/>
      <c r="C1887" s="1">
        <v>86.556603809999999</v>
      </c>
      <c r="D1887" s="1">
        <v>0.93660767499999997</v>
      </c>
      <c r="E1887" s="1"/>
      <c r="H1887" s="2">
        <v>10.765988500000001</v>
      </c>
      <c r="I1887" s="2">
        <v>8.1464546000000002</v>
      </c>
      <c r="J1887" s="2">
        <v>25.793250199999999</v>
      </c>
      <c r="L1887" s="2"/>
      <c r="M1887" s="2"/>
    </row>
    <row r="1888" spans="2:13">
      <c r="B1888" s="2"/>
      <c r="C1888" s="1">
        <v>16.319928860000001</v>
      </c>
      <c r="D1888" s="1">
        <v>0.38255806399999998</v>
      </c>
      <c r="E1888" s="1"/>
      <c r="H1888" s="2">
        <v>8.9756224899999992</v>
      </c>
      <c r="I1888" s="2">
        <v>3.0471471399999999</v>
      </c>
      <c r="J1888" s="2">
        <v>11.7842477</v>
      </c>
      <c r="L1888" s="2"/>
      <c r="M1888" s="2"/>
    </row>
    <row r="1889" spans="2:13">
      <c r="B1889" s="2"/>
      <c r="C1889" s="1">
        <v>13.560695600000001</v>
      </c>
      <c r="D1889" s="1">
        <v>1.860023693</v>
      </c>
      <c r="E1889" s="1"/>
      <c r="H1889" s="2">
        <v>3.89003122</v>
      </c>
      <c r="I1889" s="2">
        <v>12.577255299999999</v>
      </c>
      <c r="J1889" s="2">
        <v>70.218821300000002</v>
      </c>
      <c r="L1889" s="2"/>
      <c r="M1889" s="2"/>
    </row>
    <row r="1890" spans="2:13">
      <c r="B1890" s="2"/>
      <c r="C1890" s="1">
        <v>1.974331016</v>
      </c>
      <c r="D1890" s="1">
        <v>6.6222120120000003</v>
      </c>
      <c r="E1890" s="1"/>
      <c r="H1890" s="2">
        <v>24.351357499999999</v>
      </c>
      <c r="I1890" s="2">
        <v>16.5105626</v>
      </c>
      <c r="J1890" s="2">
        <v>85.166392200000004</v>
      </c>
      <c r="L1890" s="2"/>
      <c r="M1890" s="2"/>
    </row>
    <row r="1891" spans="2:13">
      <c r="B1891" s="2"/>
      <c r="C1891" s="1">
        <v>22.04367749</v>
      </c>
      <c r="D1891" s="1">
        <v>0.49468715200000002</v>
      </c>
      <c r="E1891" s="1"/>
      <c r="H1891" s="2">
        <v>16.725944599999998</v>
      </c>
      <c r="I1891" s="2">
        <v>47.5572607</v>
      </c>
      <c r="J1891" s="2">
        <v>7.0218821299999998</v>
      </c>
      <c r="L1891" s="2"/>
      <c r="M1891" s="2"/>
    </row>
    <row r="1892" spans="2:13">
      <c r="B1892" s="2"/>
      <c r="C1892" s="1">
        <v>5.4701648330000001</v>
      </c>
      <c r="D1892" s="1">
        <v>2.7174814230000002</v>
      </c>
      <c r="E1892" s="1"/>
      <c r="H1892" s="2">
        <v>51.486407100000001</v>
      </c>
      <c r="I1892" s="2">
        <v>73.7689448</v>
      </c>
      <c r="J1892" s="2">
        <v>38.863684300000003</v>
      </c>
      <c r="L1892" s="2"/>
      <c r="M1892" s="2"/>
    </row>
    <row r="1893" spans="2:13">
      <c r="B1893" s="2"/>
      <c r="C1893" s="1">
        <v>20.021044799999999</v>
      </c>
      <c r="D1893" s="1">
        <v>1.088311735</v>
      </c>
      <c r="E1893" s="1"/>
      <c r="H1893" s="2">
        <v>119.407304</v>
      </c>
      <c r="I1893" s="2">
        <v>9.94986821</v>
      </c>
      <c r="J1893" s="2">
        <v>28.921811600000002</v>
      </c>
      <c r="L1893" s="2"/>
      <c r="M1893" s="2"/>
    </row>
    <row r="1894" spans="2:13">
      <c r="B1894" s="2"/>
      <c r="C1894" s="1">
        <v>30.568923349999999</v>
      </c>
      <c r="D1894" s="1">
        <v>1.6951279749999999</v>
      </c>
      <c r="E1894" s="1"/>
      <c r="H1894" s="2">
        <v>8.4878815799999998</v>
      </c>
      <c r="I1894" s="2">
        <v>48.490060900000003</v>
      </c>
      <c r="J1894" s="2">
        <v>31.320375200000001</v>
      </c>
      <c r="L1894" s="2"/>
      <c r="M1894" s="2"/>
    </row>
    <row r="1895" spans="2:13">
      <c r="B1895" s="2"/>
      <c r="C1895" s="1">
        <v>9.7267500519999999</v>
      </c>
      <c r="D1895" s="1">
        <v>0.40894137899999999</v>
      </c>
      <c r="E1895" s="1"/>
      <c r="H1895" s="2">
        <v>59.206988899999999</v>
      </c>
      <c r="I1895" s="2">
        <v>16.728215899999999</v>
      </c>
      <c r="J1895" s="2">
        <v>11.2628208</v>
      </c>
      <c r="L1895" s="2"/>
      <c r="M1895" s="2"/>
    </row>
    <row r="1896" spans="2:13">
      <c r="B1896" s="2"/>
      <c r="C1896" s="1">
        <v>30.206660769999999</v>
      </c>
      <c r="D1896" s="1">
        <v>0.36277057800000001</v>
      </c>
      <c r="E1896" s="1"/>
      <c r="H1896" s="2">
        <v>33.249655199999999</v>
      </c>
      <c r="I1896" s="2">
        <v>34.187125299999998</v>
      </c>
      <c r="J1896" s="2">
        <v>8.8990189399999995</v>
      </c>
      <c r="L1896" s="2"/>
      <c r="M1896" s="2"/>
    </row>
    <row r="1897" spans="2:13">
      <c r="B1897" s="2"/>
      <c r="C1897" s="1">
        <v>12.63088834</v>
      </c>
      <c r="D1897" s="1">
        <v>10.705029980000001</v>
      </c>
      <c r="E1897" s="1"/>
      <c r="H1897" s="2">
        <v>39.649767799999999</v>
      </c>
      <c r="I1897" s="2">
        <v>13.6810688</v>
      </c>
      <c r="J1897" s="2">
        <v>2.6418962499999998</v>
      </c>
      <c r="L1897" s="2"/>
      <c r="M1897" s="2"/>
    </row>
    <row r="1898" spans="2:13">
      <c r="B1898" s="2"/>
      <c r="C1898" s="1">
        <v>13.693525210000001</v>
      </c>
      <c r="D1898" s="1">
        <v>628.72098730000005</v>
      </c>
      <c r="E1898" s="1"/>
      <c r="H1898" s="2">
        <v>13.567524799999999</v>
      </c>
      <c r="I1898" s="2">
        <v>7.2447477899999999</v>
      </c>
      <c r="J1898" s="2">
        <v>120.727706</v>
      </c>
      <c r="L1898" s="2"/>
      <c r="M1898" s="2"/>
    </row>
    <row r="1899" spans="2:13">
      <c r="B1899" s="2"/>
      <c r="C1899" s="1">
        <v>5.977332434</v>
      </c>
      <c r="D1899" s="1">
        <v>0.93001184599999998</v>
      </c>
      <c r="E1899" s="1"/>
      <c r="H1899" s="2">
        <v>10.153338400000001</v>
      </c>
      <c r="I1899" s="2">
        <v>3.43581387</v>
      </c>
      <c r="J1899" s="2">
        <v>29.8951417</v>
      </c>
      <c r="L1899" s="2"/>
      <c r="M1899" s="2"/>
    </row>
    <row r="1900" spans="2:13">
      <c r="B1900" s="2"/>
      <c r="C1900" s="1">
        <v>3.8882849369999999</v>
      </c>
      <c r="D1900" s="1">
        <v>0.38255806399999998</v>
      </c>
      <c r="E1900" s="1"/>
      <c r="H1900" s="2">
        <v>3.5093553800000001</v>
      </c>
      <c r="I1900" s="2">
        <v>168.57253299999999</v>
      </c>
      <c r="J1900" s="2">
        <v>10.8456793</v>
      </c>
      <c r="L1900" s="2"/>
      <c r="M1900" s="2"/>
    </row>
    <row r="1901" spans="2:13">
      <c r="B1901" s="2"/>
      <c r="C1901" s="1">
        <v>2.9947039260000001</v>
      </c>
      <c r="D1901" s="1">
        <v>0.37596223600000001</v>
      </c>
      <c r="E1901" s="1"/>
      <c r="H1901" s="2">
        <v>122.369438</v>
      </c>
      <c r="I1901" s="2">
        <v>56.481048800000003</v>
      </c>
      <c r="J1901" s="2">
        <v>10.393776000000001</v>
      </c>
      <c r="L1901" s="2"/>
      <c r="M1901" s="2"/>
    </row>
    <row r="1902" spans="2:13">
      <c r="B1902" s="2"/>
      <c r="C1902" s="1">
        <v>208.16814909999999</v>
      </c>
      <c r="D1902" s="1">
        <v>1.6027863739999999</v>
      </c>
      <c r="E1902" s="1"/>
      <c r="H1902" s="2">
        <v>29.0027404</v>
      </c>
      <c r="I1902" s="2">
        <v>15.0647223</v>
      </c>
      <c r="J1902" s="2">
        <v>28.782764400000001</v>
      </c>
      <c r="L1902" s="2"/>
      <c r="M1902" s="2"/>
    </row>
    <row r="1903" spans="2:13">
      <c r="B1903" s="2"/>
      <c r="C1903" s="1">
        <v>30.152321390000001</v>
      </c>
      <c r="D1903" s="1">
        <v>184.4061787</v>
      </c>
      <c r="E1903" s="1"/>
      <c r="H1903" s="2">
        <v>14.3883571</v>
      </c>
      <c r="I1903" s="2">
        <v>8.9393347199999997</v>
      </c>
      <c r="J1903" s="2">
        <v>19.536127499999999</v>
      </c>
      <c r="L1903" s="2"/>
      <c r="M1903" s="2"/>
    </row>
    <row r="1904" spans="2:13">
      <c r="B1904" s="2"/>
      <c r="C1904" s="1">
        <v>8.6822263030000002</v>
      </c>
      <c r="D1904" s="1">
        <v>40.320300830000001</v>
      </c>
      <c r="E1904" s="1"/>
      <c r="H1904" s="2">
        <v>11.402431</v>
      </c>
      <c r="I1904" s="2">
        <v>33.254325199999997</v>
      </c>
      <c r="J1904" s="2">
        <v>3.26760852</v>
      </c>
      <c r="L1904" s="2"/>
      <c r="M1904" s="2"/>
    </row>
    <row r="1905" spans="2:13">
      <c r="B1905" s="2"/>
      <c r="C1905" s="1">
        <v>9.8475042419999994</v>
      </c>
      <c r="D1905" s="1">
        <v>12.05717486</v>
      </c>
      <c r="E1905" s="1"/>
      <c r="H1905" s="2">
        <v>30.751470000000001</v>
      </c>
      <c r="I1905" s="2">
        <v>14.2096555</v>
      </c>
      <c r="J1905" s="2">
        <v>78.874507699999995</v>
      </c>
      <c r="L1905" s="2"/>
      <c r="M1905" s="2"/>
    </row>
    <row r="1906" spans="2:13">
      <c r="B1906" s="2"/>
      <c r="C1906" s="1">
        <v>19.296519660000001</v>
      </c>
      <c r="D1906" s="1">
        <v>0.81788275899999996</v>
      </c>
      <c r="E1906" s="1"/>
      <c r="H1906" s="2">
        <v>21.002599799999999</v>
      </c>
      <c r="I1906" s="2">
        <v>2.6895737500000001</v>
      </c>
      <c r="J1906" s="2">
        <v>11.9232949</v>
      </c>
      <c r="L1906" s="2"/>
      <c r="M1906" s="2"/>
    </row>
    <row r="1907" spans="2:13">
      <c r="B1907" s="2"/>
      <c r="C1907" s="1">
        <v>17.473131380000002</v>
      </c>
      <c r="D1907" s="1">
        <v>1.4049115130000001</v>
      </c>
      <c r="E1907" s="1"/>
      <c r="H1907" s="2">
        <v>6.0670211700000003</v>
      </c>
      <c r="I1907" s="2">
        <v>109.184257</v>
      </c>
      <c r="J1907" s="2">
        <v>23.255639299999999</v>
      </c>
      <c r="L1907" s="2"/>
      <c r="M1907" s="2"/>
    </row>
    <row r="1908" spans="2:13">
      <c r="B1908" s="2"/>
      <c r="C1908" s="1">
        <v>4.4980935989999997</v>
      </c>
      <c r="D1908" s="1">
        <v>0.40894137899999999</v>
      </c>
      <c r="E1908" s="1"/>
      <c r="H1908" s="2">
        <v>104.174322</v>
      </c>
      <c r="I1908" s="2">
        <v>12.266321899999999</v>
      </c>
      <c r="J1908" s="2">
        <v>3.40665569</v>
      </c>
      <c r="L1908" s="2"/>
      <c r="M1908" s="2"/>
    </row>
    <row r="1909" spans="2:13">
      <c r="B1909" s="2"/>
      <c r="C1909" s="1">
        <v>66.269899789999997</v>
      </c>
      <c r="D1909" s="1">
        <v>41.34925011</v>
      </c>
      <c r="E1909" s="1"/>
      <c r="H1909" s="2">
        <v>15.827787600000001</v>
      </c>
      <c r="I1909" s="2">
        <v>37.451925799999998</v>
      </c>
      <c r="J1909" s="2">
        <v>81.968307300000006</v>
      </c>
      <c r="L1909" s="2"/>
      <c r="M1909" s="2"/>
    </row>
    <row r="1910" spans="2:13">
      <c r="B1910" s="2"/>
      <c r="C1910" s="1">
        <v>16.99615232</v>
      </c>
      <c r="D1910" s="1">
        <v>2.6185439929999998</v>
      </c>
      <c r="E1910" s="1"/>
      <c r="H1910" s="2">
        <v>27.4205565</v>
      </c>
      <c r="I1910" s="2">
        <v>4.4774406899999999</v>
      </c>
      <c r="J1910" s="2">
        <v>60.694090099999997</v>
      </c>
      <c r="L1910" s="2"/>
      <c r="M1910" s="2"/>
    </row>
    <row r="1911" spans="2:13">
      <c r="B1911" s="2"/>
      <c r="C1911" s="1">
        <v>41.358310279999998</v>
      </c>
      <c r="D1911" s="1">
        <v>0.20447069000000001</v>
      </c>
      <c r="E1911" s="1"/>
      <c r="H1911" s="2">
        <v>4.4967333399999996</v>
      </c>
      <c r="I1911" s="2">
        <v>41.8360865</v>
      </c>
      <c r="J1911" s="2">
        <v>3.26760852</v>
      </c>
      <c r="L1911" s="2"/>
      <c r="M1911" s="2"/>
    </row>
    <row r="1912" spans="2:13">
      <c r="B1912" s="2"/>
      <c r="C1912" s="1">
        <v>3.858096389</v>
      </c>
      <c r="D1912" s="1">
        <v>0.36936640700000001</v>
      </c>
      <c r="E1912" s="1"/>
      <c r="H1912" s="2">
        <v>73.345527500000003</v>
      </c>
      <c r="I1912" s="2">
        <v>61.331609499999999</v>
      </c>
      <c r="J1912" s="2">
        <v>5.5618868399999997</v>
      </c>
      <c r="L1912" s="2"/>
      <c r="M1912" s="2"/>
    </row>
    <row r="1913" spans="2:13">
      <c r="B1913" s="2"/>
      <c r="C1913" s="1">
        <v>106.6802897</v>
      </c>
      <c r="D1913" s="1">
        <v>2.0842818680000001</v>
      </c>
      <c r="E1913" s="1"/>
      <c r="H1913" s="2">
        <v>68.283728499999995</v>
      </c>
      <c r="I1913" s="2">
        <v>4.25978733</v>
      </c>
      <c r="J1913" s="2">
        <v>29.8951417</v>
      </c>
      <c r="L1913" s="2"/>
      <c r="M1913" s="2"/>
    </row>
    <row r="1914" spans="2:13">
      <c r="B1914" s="2"/>
      <c r="C1914" s="1">
        <v>24.211215209999999</v>
      </c>
      <c r="D1914" s="1">
        <v>0.75852030000000004</v>
      </c>
      <c r="E1914" s="1"/>
      <c r="H1914" s="2">
        <v>4.6037984200000004</v>
      </c>
      <c r="I1914" s="2">
        <v>9.8876815300000001</v>
      </c>
      <c r="J1914" s="2">
        <v>13.696146300000001</v>
      </c>
      <c r="L1914" s="2"/>
      <c r="M1914" s="2"/>
    </row>
    <row r="1915" spans="2:13">
      <c r="B1915" s="2"/>
      <c r="C1915" s="1">
        <v>11.218064310000001</v>
      </c>
      <c r="D1915" s="1">
        <v>1.292782425</v>
      </c>
      <c r="E1915" s="1"/>
      <c r="H1915" s="2">
        <v>9.9927407499999994</v>
      </c>
      <c r="I1915" s="2">
        <v>26.367150800000001</v>
      </c>
      <c r="J1915" s="2">
        <v>27.009913000000001</v>
      </c>
      <c r="L1915" s="2"/>
      <c r="M1915" s="2"/>
    </row>
    <row r="1916" spans="2:13">
      <c r="B1916" s="2"/>
      <c r="C1916" s="1">
        <v>5.9652570149999997</v>
      </c>
      <c r="D1916" s="1">
        <v>0.49468715200000002</v>
      </c>
      <c r="E1916" s="1"/>
      <c r="H1916" s="2">
        <v>38.757558799999998</v>
      </c>
      <c r="I1916" s="2">
        <v>14.8626156</v>
      </c>
      <c r="J1916" s="2">
        <v>10.741394</v>
      </c>
      <c r="L1916" s="2"/>
      <c r="M1916" s="2"/>
    </row>
    <row r="1917" spans="2:13">
      <c r="B1917" s="2"/>
      <c r="C1917" s="1">
        <v>22.665561570000001</v>
      </c>
      <c r="D1917" s="1">
        <v>273.82582839999998</v>
      </c>
      <c r="E1917" s="1"/>
      <c r="H1917" s="2">
        <v>18.575791299999999</v>
      </c>
      <c r="I1917" s="2">
        <v>24.703657199999999</v>
      </c>
      <c r="J1917" s="2">
        <v>53.950302299999997</v>
      </c>
      <c r="L1917" s="2"/>
      <c r="M1917" s="2"/>
    </row>
    <row r="1918" spans="2:13">
      <c r="B1918" s="2"/>
      <c r="C1918" s="1">
        <v>27.13346662</v>
      </c>
      <c r="D1918" s="1">
        <v>0.32319560600000002</v>
      </c>
      <c r="E1918" s="1"/>
      <c r="H1918" s="2">
        <v>33.523266</v>
      </c>
      <c r="I1918" s="2">
        <v>15.002535699999999</v>
      </c>
      <c r="J1918" s="2">
        <v>9.9766345100000002</v>
      </c>
      <c r="L1918" s="2"/>
      <c r="M1918" s="2"/>
    </row>
    <row r="1919" spans="2:13">
      <c r="B1919" s="2"/>
      <c r="C1919" s="1">
        <v>12.14183386</v>
      </c>
      <c r="D1919" s="1">
        <v>3.2385518910000002</v>
      </c>
      <c r="E1919" s="1"/>
      <c r="H1919" s="2">
        <v>14.1147463</v>
      </c>
      <c r="I1919" s="2">
        <v>79.241372299999995</v>
      </c>
      <c r="J1919" s="2">
        <v>44.043191399999998</v>
      </c>
      <c r="L1919" s="2"/>
      <c r="M1919" s="2"/>
    </row>
    <row r="1920" spans="2:13">
      <c r="B1920" s="2"/>
      <c r="C1920" s="1">
        <v>9.2739218369999996</v>
      </c>
      <c r="D1920" s="1">
        <v>1.352144883</v>
      </c>
      <c r="E1920" s="1"/>
      <c r="H1920" s="2">
        <v>55.673841299999999</v>
      </c>
      <c r="I1920" s="2">
        <v>6.1253876199999997</v>
      </c>
      <c r="J1920" s="2">
        <v>11.9232949</v>
      </c>
      <c r="L1920" s="2"/>
      <c r="M1920" s="2"/>
    </row>
    <row r="1921" spans="2:13">
      <c r="B1921" s="2"/>
      <c r="C1921" s="1">
        <v>44.467730680000003</v>
      </c>
      <c r="D1921" s="1">
        <v>5.0326172959999997</v>
      </c>
      <c r="E1921" s="1"/>
      <c r="H1921" s="2">
        <v>11.783106800000001</v>
      </c>
      <c r="I1921" s="2">
        <v>38.944406000000001</v>
      </c>
      <c r="J1921" s="2">
        <v>63.023130199999997</v>
      </c>
      <c r="L1921" s="2"/>
      <c r="M1921" s="2"/>
    </row>
    <row r="1922" spans="2:13">
      <c r="B1922" s="2"/>
      <c r="C1922" s="1">
        <v>14.34559784</v>
      </c>
      <c r="D1922" s="1">
        <v>0.93660767499999997</v>
      </c>
      <c r="E1922" s="1"/>
      <c r="H1922" s="2">
        <v>46.495984800000002</v>
      </c>
      <c r="I1922" s="2">
        <v>19.884189800000001</v>
      </c>
      <c r="J1922" s="2">
        <v>14.391382200000001</v>
      </c>
      <c r="L1922" s="2"/>
      <c r="M1922" s="2"/>
    </row>
    <row r="1923" spans="2:13">
      <c r="B1923" s="2"/>
      <c r="C1923" s="1">
        <v>69.331018520000001</v>
      </c>
      <c r="D1923" s="1">
        <v>3.3572768069999999</v>
      </c>
      <c r="E1923" s="1"/>
      <c r="H1923" s="2">
        <v>19.943845100000001</v>
      </c>
      <c r="I1923" s="2">
        <v>56.7142488</v>
      </c>
      <c r="J1923" s="2">
        <v>31.424660599999999</v>
      </c>
      <c r="L1923" s="2"/>
      <c r="M1923" s="2"/>
    </row>
    <row r="1924" spans="2:13">
      <c r="B1924" s="2"/>
      <c r="C1924" s="1">
        <v>10.52976542</v>
      </c>
      <c r="D1924" s="1">
        <v>0.97618264700000001</v>
      </c>
      <c r="E1924" s="1"/>
      <c r="H1924" s="2">
        <v>67.861416199999994</v>
      </c>
      <c r="I1924" s="2">
        <v>9.8565881999999991</v>
      </c>
      <c r="J1924" s="2">
        <v>18.875653499999999</v>
      </c>
      <c r="L1924" s="2"/>
      <c r="M1924" s="2"/>
    </row>
    <row r="1925" spans="2:13">
      <c r="B1925" s="2"/>
      <c r="C1925" s="1">
        <v>147.16916979999999</v>
      </c>
      <c r="D1925" s="1">
        <v>1.576403059</v>
      </c>
      <c r="E1925" s="1"/>
      <c r="H1925" s="2">
        <v>17.6478939</v>
      </c>
      <c r="I1925" s="2">
        <v>30.098351300000001</v>
      </c>
      <c r="J1925" s="2">
        <v>38.237971999999999</v>
      </c>
      <c r="L1925" s="2"/>
      <c r="M1925" s="2"/>
    </row>
    <row r="1926" spans="2:13">
      <c r="B1926" s="2"/>
      <c r="C1926" s="1">
        <v>34.8496594</v>
      </c>
      <c r="D1926" s="1">
        <v>0.82447858699999998</v>
      </c>
      <c r="E1926" s="1"/>
      <c r="H1926" s="2">
        <v>45.038710100000003</v>
      </c>
      <c r="I1926" s="2">
        <v>21.065736600000001</v>
      </c>
      <c r="J1926" s="2">
        <v>20.057554400000001</v>
      </c>
      <c r="L1926" s="2"/>
      <c r="M1926" s="2"/>
    </row>
    <row r="1927" spans="2:13">
      <c r="B1927" s="2"/>
      <c r="C1927" s="1">
        <v>38.979452719999998</v>
      </c>
      <c r="D1927" s="1">
        <v>1.0751200780000001</v>
      </c>
      <c r="E1927" s="1"/>
      <c r="H1927" s="2">
        <v>22.929771200000001</v>
      </c>
      <c r="I1927" s="2">
        <v>40.3746996</v>
      </c>
      <c r="J1927" s="2">
        <v>43.834620600000001</v>
      </c>
      <c r="L1927" s="2"/>
      <c r="M1927" s="2"/>
    </row>
    <row r="1928" spans="2:13">
      <c r="B1928" s="2"/>
      <c r="C1928" s="1">
        <v>5.9169553390000003</v>
      </c>
      <c r="D1928" s="1">
        <v>176.65608</v>
      </c>
      <c r="E1928" s="1"/>
      <c r="H1928" s="2">
        <v>36.788750899999997</v>
      </c>
      <c r="I1928" s="2">
        <v>32.492538400000001</v>
      </c>
      <c r="J1928" s="2">
        <v>82.733066699999995</v>
      </c>
      <c r="L1928" s="2"/>
      <c r="M1928" s="2"/>
    </row>
    <row r="1929" spans="2:13">
      <c r="B1929" s="2"/>
      <c r="C1929" s="1">
        <v>45.445839630000002</v>
      </c>
      <c r="D1929" s="1">
        <v>0.18468320399999999</v>
      </c>
      <c r="E1929" s="1"/>
      <c r="H1929" s="2">
        <v>26.2309445</v>
      </c>
      <c r="I1929" s="2">
        <v>31.155524799999998</v>
      </c>
      <c r="J1929" s="2">
        <v>2.6071344500000002</v>
      </c>
      <c r="L1929" s="2"/>
      <c r="M1929" s="2"/>
    </row>
    <row r="1930" spans="2:13">
      <c r="B1930" s="2"/>
      <c r="C1930" s="1">
        <v>25.77498198</v>
      </c>
      <c r="D1930" s="1">
        <v>3.2451477190000002</v>
      </c>
      <c r="E1930" s="1"/>
      <c r="H1930" s="2">
        <v>44.527176900000001</v>
      </c>
      <c r="I1930" s="2">
        <v>55.470515300000002</v>
      </c>
      <c r="J1930" s="2">
        <v>89.2335219</v>
      </c>
      <c r="L1930" s="2"/>
      <c r="M1930" s="2"/>
    </row>
    <row r="1931" spans="2:13">
      <c r="B1931" s="2"/>
      <c r="C1931" s="1">
        <v>45.367349400000002</v>
      </c>
      <c r="D1931" s="1">
        <v>0.15170406</v>
      </c>
      <c r="E1931" s="1"/>
      <c r="H1931" s="2">
        <v>102.699203</v>
      </c>
      <c r="I1931" s="2">
        <v>3.2958938400000002</v>
      </c>
      <c r="J1931" s="2">
        <v>4.2061769199999999</v>
      </c>
      <c r="L1931" s="2"/>
      <c r="M1931" s="2"/>
    </row>
    <row r="1932" spans="2:13">
      <c r="B1932" s="2"/>
      <c r="C1932" s="1">
        <v>58.48729221</v>
      </c>
      <c r="D1932" s="1">
        <v>0.69915784199999997</v>
      </c>
      <c r="E1932" s="1"/>
      <c r="H1932" s="2">
        <v>5.0677470900000001</v>
      </c>
      <c r="I1932" s="2">
        <v>66.462010300000003</v>
      </c>
      <c r="J1932" s="2">
        <v>20.231363399999999</v>
      </c>
      <c r="L1932" s="2"/>
      <c r="M1932" s="2"/>
    </row>
    <row r="1933" spans="2:13">
      <c r="B1933" s="2"/>
      <c r="C1933" s="1">
        <v>7.0218561819999996</v>
      </c>
      <c r="D1933" s="1">
        <v>1.226824138</v>
      </c>
      <c r="E1933" s="1"/>
      <c r="H1933" s="2">
        <v>88.352482800000004</v>
      </c>
      <c r="I1933" s="2">
        <v>4.13541398</v>
      </c>
      <c r="J1933" s="2">
        <v>22.595165300000001</v>
      </c>
      <c r="L1933" s="2"/>
      <c r="M1933" s="2"/>
    </row>
    <row r="1934" spans="2:13">
      <c r="B1934" s="2"/>
      <c r="C1934" s="1">
        <v>85.336986490000001</v>
      </c>
      <c r="D1934" s="1">
        <v>2.4998190760000001</v>
      </c>
      <c r="E1934" s="1"/>
      <c r="H1934" s="2">
        <v>6.0789172899999997</v>
      </c>
      <c r="I1934" s="2">
        <v>13.603335400000001</v>
      </c>
      <c r="J1934" s="2">
        <v>50.056981499999999</v>
      </c>
      <c r="L1934" s="2"/>
      <c r="M1934" s="2"/>
    </row>
    <row r="1935" spans="2:13">
      <c r="B1935" s="2"/>
      <c r="C1935" s="1">
        <v>2.6988561600000001</v>
      </c>
      <c r="D1935" s="1">
        <v>133.11041890000001</v>
      </c>
      <c r="E1935" s="1"/>
      <c r="H1935" s="2">
        <v>27.265906900000001</v>
      </c>
      <c r="I1935" s="2">
        <v>26.475977400000001</v>
      </c>
      <c r="J1935" s="2">
        <v>49.744125400000001</v>
      </c>
      <c r="L1935" s="2"/>
      <c r="M1935" s="2"/>
    </row>
    <row r="1936" spans="2:13">
      <c r="B1936" s="2"/>
      <c r="C1936" s="1">
        <v>9.7509008900000005</v>
      </c>
      <c r="D1936" s="1">
        <v>0.36936640700000001</v>
      </c>
      <c r="E1936" s="1"/>
      <c r="H1936" s="2">
        <v>28.865935</v>
      </c>
      <c r="I1936" s="2">
        <v>39.628459499999998</v>
      </c>
      <c r="J1936" s="2">
        <v>6.1180755199999997</v>
      </c>
      <c r="L1936" s="2"/>
      <c r="M1936" s="2"/>
    </row>
    <row r="1937" spans="2:13">
      <c r="B1937" s="2"/>
      <c r="C1937" s="1">
        <v>14.418050360000001</v>
      </c>
      <c r="D1937" s="1">
        <v>0.949799332</v>
      </c>
      <c r="E1937" s="1"/>
      <c r="H1937" s="2">
        <v>35.896541900000003</v>
      </c>
      <c r="I1937" s="2">
        <v>37.405285800000001</v>
      </c>
      <c r="J1937" s="2">
        <v>6.4656934499999998</v>
      </c>
      <c r="L1937" s="2"/>
      <c r="M1937" s="2"/>
    </row>
    <row r="1938" spans="2:13">
      <c r="B1938" s="2"/>
      <c r="C1938" s="1">
        <v>43.145472300000002</v>
      </c>
      <c r="D1938" s="1">
        <v>3.7991973300000002</v>
      </c>
      <c r="E1938" s="1"/>
      <c r="H1938" s="2">
        <v>53.461162999999999</v>
      </c>
      <c r="I1938" s="2">
        <v>7.8355212200000004</v>
      </c>
      <c r="J1938" s="2">
        <v>10.567584999999999</v>
      </c>
      <c r="L1938" s="2"/>
      <c r="M1938" s="2"/>
    </row>
    <row r="1939" spans="2:13">
      <c r="B1939" s="2"/>
      <c r="C1939" s="1">
        <v>50.922042169999997</v>
      </c>
      <c r="D1939" s="1">
        <v>1.7742779200000001</v>
      </c>
      <c r="E1939" s="1"/>
      <c r="H1939" s="2">
        <v>8.4046087400000005</v>
      </c>
      <c r="I1939" s="2">
        <v>10.6805617</v>
      </c>
      <c r="J1939" s="2">
        <v>29.4780002</v>
      </c>
      <c r="L1939" s="2"/>
      <c r="M1939" s="2"/>
    </row>
    <row r="1940" spans="2:13">
      <c r="B1940" s="2"/>
      <c r="C1940" s="1">
        <v>10.2037291</v>
      </c>
      <c r="D1940" s="1">
        <v>0.230854004</v>
      </c>
      <c r="E1940" s="1"/>
      <c r="H1940" s="2">
        <v>11.568976599999999</v>
      </c>
      <c r="I1940" s="2">
        <v>9.8876815300000001</v>
      </c>
      <c r="J1940" s="2">
        <v>11.2975826</v>
      </c>
      <c r="L1940" s="2"/>
      <c r="M1940" s="2"/>
    </row>
    <row r="1941" spans="2:13">
      <c r="B1941" s="2"/>
      <c r="C1941" s="1">
        <v>10.976555919999999</v>
      </c>
      <c r="D1941" s="1">
        <v>1.2532074529999999</v>
      </c>
      <c r="E1941" s="1"/>
      <c r="H1941" s="2">
        <v>12.342224399999999</v>
      </c>
      <c r="I1941" s="2">
        <v>39.239792799999996</v>
      </c>
      <c r="J1941" s="2">
        <v>25.688964800000001</v>
      </c>
      <c r="L1941" s="2"/>
      <c r="M1941" s="2"/>
    </row>
    <row r="1942" spans="2:13">
      <c r="B1942" s="2"/>
      <c r="C1942" s="1">
        <v>21.699528050000001</v>
      </c>
      <c r="D1942" s="1">
        <v>1.246611624</v>
      </c>
      <c r="E1942" s="1"/>
      <c r="H1942" s="2">
        <v>32.940356100000002</v>
      </c>
      <c r="I1942" s="2">
        <v>5.3480541600000002</v>
      </c>
      <c r="J1942" s="2">
        <v>14.391382200000001</v>
      </c>
      <c r="L1942" s="2"/>
      <c r="M1942" s="2"/>
    </row>
    <row r="1943" spans="2:13">
      <c r="B1943" s="2"/>
      <c r="C1943" s="1">
        <v>11.5924023</v>
      </c>
      <c r="D1943" s="1">
        <v>4.3994177409999997</v>
      </c>
      <c r="E1943" s="1"/>
      <c r="H1943" s="2">
        <v>12.681263899999999</v>
      </c>
      <c r="I1943" s="2">
        <v>21.858616699999999</v>
      </c>
      <c r="J1943" s="2">
        <v>51.9688801</v>
      </c>
      <c r="L1943" s="2"/>
      <c r="M1943" s="2"/>
    </row>
    <row r="1944" spans="2:13">
      <c r="B1944" s="2"/>
      <c r="C1944" s="1">
        <v>8.6761885929999991</v>
      </c>
      <c r="D1944" s="1">
        <v>1.3455490539999999</v>
      </c>
      <c r="E1944" s="1"/>
      <c r="H1944" s="2">
        <v>24.3275653</v>
      </c>
      <c r="I1944" s="2">
        <v>15.826509100000001</v>
      </c>
      <c r="J1944" s="2">
        <v>66.429785899999999</v>
      </c>
      <c r="L1944" s="2"/>
      <c r="M1944" s="2"/>
    </row>
    <row r="1945" spans="2:13">
      <c r="B1945" s="2"/>
      <c r="C1945" s="1">
        <v>15.63766768</v>
      </c>
      <c r="D1945" s="1">
        <v>2.8296105109999998</v>
      </c>
      <c r="E1945" s="1"/>
      <c r="H1945" s="2">
        <v>19.420415800000001</v>
      </c>
      <c r="I1945" s="2">
        <v>43.608406799999997</v>
      </c>
      <c r="J1945" s="2">
        <v>61.7369439</v>
      </c>
      <c r="L1945" s="2"/>
      <c r="M1945" s="2"/>
    </row>
    <row r="1946" spans="2:13">
      <c r="B1946" s="2"/>
      <c r="C1946" s="1">
        <v>11.13353637</v>
      </c>
      <c r="D1946" s="1">
        <v>1.246611624</v>
      </c>
      <c r="E1946" s="1"/>
      <c r="H1946" s="2">
        <v>65.666582099999999</v>
      </c>
      <c r="I1946" s="2">
        <v>56.418862099999998</v>
      </c>
      <c r="J1946" s="2">
        <v>10.532823199999999</v>
      </c>
      <c r="L1946" s="2"/>
      <c r="M1946" s="2"/>
    </row>
    <row r="1947" spans="2:13">
      <c r="B1947" s="2"/>
      <c r="C1947" s="1">
        <v>95.703733749999998</v>
      </c>
      <c r="D1947" s="1">
        <v>2.1304526689999999</v>
      </c>
      <c r="E1947" s="1"/>
      <c r="H1947" s="2">
        <v>69.943237199999999</v>
      </c>
      <c r="I1947" s="2">
        <v>36.161552299999997</v>
      </c>
      <c r="J1947" s="2">
        <v>41.088439000000001</v>
      </c>
      <c r="L1947" s="2"/>
      <c r="M1947" s="2"/>
    </row>
    <row r="1948" spans="2:13">
      <c r="B1948" s="2"/>
      <c r="C1948" s="1">
        <v>45.898667840000002</v>
      </c>
      <c r="D1948" s="1">
        <v>1.002565962</v>
      </c>
      <c r="E1948" s="1"/>
      <c r="H1948" s="2">
        <v>67.153597099999999</v>
      </c>
      <c r="I1948" s="2">
        <v>17.4122694</v>
      </c>
      <c r="J1948" s="2">
        <v>23.325162899999999</v>
      </c>
      <c r="L1948" s="2"/>
      <c r="M1948" s="2"/>
    </row>
    <row r="1949" spans="2:13">
      <c r="B1949" s="2"/>
      <c r="C1949" s="1">
        <v>50.535628760000002</v>
      </c>
      <c r="D1949" s="1">
        <v>0.46170800899999997</v>
      </c>
      <c r="E1949" s="1"/>
      <c r="H1949" s="2">
        <v>18.123738700000001</v>
      </c>
      <c r="I1949" s="2">
        <v>36.332565600000002</v>
      </c>
      <c r="J1949" s="2">
        <v>16.059948200000001</v>
      </c>
      <c r="L1949" s="2"/>
      <c r="M1949" s="2"/>
    </row>
    <row r="1950" spans="2:13">
      <c r="B1950" s="2"/>
      <c r="C1950" s="1">
        <v>22.744051800000001</v>
      </c>
      <c r="D1950" s="1">
        <v>1.9919402669999999</v>
      </c>
      <c r="E1950" s="1"/>
      <c r="H1950" s="2">
        <v>39.887690200000002</v>
      </c>
      <c r="I1950" s="2">
        <v>30.704671399999999</v>
      </c>
      <c r="J1950" s="2">
        <v>24.124684200000001</v>
      </c>
      <c r="L1950" s="2"/>
      <c r="M1950" s="2"/>
    </row>
    <row r="1951" spans="2:13">
      <c r="B1951" s="2"/>
      <c r="C1951" s="1">
        <v>46.888852200000002</v>
      </c>
      <c r="D1951" s="1">
        <v>2.4800315899999998</v>
      </c>
      <c r="E1951" s="1"/>
      <c r="H1951" s="2">
        <v>30.8763793</v>
      </c>
      <c r="I1951" s="2">
        <v>16.401735899999998</v>
      </c>
      <c r="J1951" s="2">
        <v>20.578981299999999</v>
      </c>
      <c r="L1951" s="2"/>
      <c r="M1951" s="2"/>
    </row>
    <row r="1952" spans="2:13">
      <c r="B1952" s="2"/>
      <c r="C1952" s="1">
        <v>13.94710901</v>
      </c>
      <c r="D1952" s="1">
        <v>0.230854004</v>
      </c>
      <c r="E1952" s="1"/>
      <c r="H1952" s="2">
        <v>18.212959600000001</v>
      </c>
      <c r="I1952" s="2">
        <v>24.486003799999999</v>
      </c>
      <c r="J1952" s="2">
        <v>2.5028490799999998</v>
      </c>
      <c r="L1952" s="2"/>
      <c r="M1952" s="2"/>
    </row>
    <row r="1953" spans="2:13">
      <c r="B1953" s="2"/>
      <c r="C1953" s="1">
        <v>14.02559924</v>
      </c>
      <c r="D1953" s="1">
        <v>5.3030462729999996</v>
      </c>
      <c r="E1953" s="1"/>
      <c r="H1953" s="2">
        <v>35.819217100000003</v>
      </c>
      <c r="I1953" s="2">
        <v>25.3099773</v>
      </c>
      <c r="J1953" s="2">
        <v>66.742642000000004</v>
      </c>
      <c r="L1953" s="2"/>
      <c r="M1953" s="2"/>
    </row>
    <row r="1954" spans="2:13">
      <c r="B1954" s="2"/>
      <c r="C1954" s="1">
        <v>31.196845140000001</v>
      </c>
      <c r="D1954" s="1">
        <v>0.44851635099999998</v>
      </c>
      <c r="E1954" s="1"/>
      <c r="H1954" s="2">
        <v>34.813994999999998</v>
      </c>
      <c r="I1954" s="2">
        <v>5.0215741100000004</v>
      </c>
      <c r="J1954" s="2">
        <v>11.8190095</v>
      </c>
      <c r="L1954" s="2"/>
      <c r="M1954" s="2"/>
    </row>
    <row r="1955" spans="2:13">
      <c r="B1955" s="2"/>
      <c r="C1955" s="1">
        <v>15.76445958</v>
      </c>
      <c r="D1955" s="1">
        <v>2.17662347</v>
      </c>
      <c r="E1955" s="1"/>
      <c r="H1955" s="2">
        <v>3.7889141999999998</v>
      </c>
      <c r="I1955" s="2">
        <v>59.466009200000002</v>
      </c>
      <c r="J1955" s="2">
        <v>19.883745399999999</v>
      </c>
      <c r="L1955" s="2"/>
      <c r="M1955" s="2"/>
    </row>
    <row r="1956" spans="2:13">
      <c r="B1956" s="2"/>
      <c r="C1956" s="1">
        <v>2.9826285069999998</v>
      </c>
      <c r="D1956" s="1">
        <v>0.13191657400000001</v>
      </c>
      <c r="E1956" s="1"/>
      <c r="H1956" s="2">
        <v>80.512939799999998</v>
      </c>
      <c r="I1956" s="2">
        <v>15.733229100000001</v>
      </c>
      <c r="J1956" s="2">
        <v>7.4042618500000001</v>
      </c>
      <c r="L1956" s="2"/>
      <c r="M1956" s="2"/>
    </row>
    <row r="1957" spans="2:13">
      <c r="B1957" s="2"/>
      <c r="C1957" s="1">
        <v>65.255564590000006</v>
      </c>
      <c r="D1957" s="1">
        <v>0.66617869799999996</v>
      </c>
      <c r="E1957" s="1"/>
      <c r="H1957" s="2">
        <v>12.8478095</v>
      </c>
      <c r="I1957" s="2">
        <v>15.282375699999999</v>
      </c>
      <c r="J1957" s="2">
        <v>8.0994977099999996</v>
      </c>
      <c r="L1957" s="2"/>
      <c r="M1957" s="2"/>
    </row>
    <row r="1958" spans="2:13">
      <c r="B1958" s="2"/>
      <c r="C1958" s="1">
        <v>11.79164671</v>
      </c>
      <c r="D1958" s="1">
        <v>0.29681229100000001</v>
      </c>
      <c r="E1958" s="1"/>
      <c r="H1958" s="2">
        <v>23.435356299999999</v>
      </c>
      <c r="I1958" s="2">
        <v>7.8199745500000004</v>
      </c>
      <c r="J1958" s="2">
        <v>6.1528373099999998</v>
      </c>
      <c r="L1958" s="2"/>
      <c r="M1958" s="2"/>
    </row>
    <row r="1959" spans="2:13">
      <c r="B1959" s="2"/>
      <c r="C1959" s="1">
        <v>16.29577802</v>
      </c>
      <c r="D1959" s="1">
        <v>1.5038489429999999</v>
      </c>
      <c r="E1959" s="1"/>
      <c r="H1959" s="2">
        <v>7.7681663199999997</v>
      </c>
      <c r="I1959" s="2">
        <v>11.9709352</v>
      </c>
      <c r="J1959" s="2">
        <v>32.2937054</v>
      </c>
      <c r="L1959" s="2"/>
      <c r="M1959" s="2"/>
    </row>
    <row r="1960" spans="2:13">
      <c r="B1960" s="2"/>
      <c r="C1960" s="1">
        <v>6.2792179099999998</v>
      </c>
      <c r="D1960" s="1">
        <v>21.561764010000001</v>
      </c>
      <c r="E1960" s="1"/>
      <c r="H1960" s="2">
        <v>10.682715699999999</v>
      </c>
      <c r="I1960" s="2">
        <v>6.6073343600000003</v>
      </c>
      <c r="J1960" s="2">
        <v>3.0242759700000001</v>
      </c>
      <c r="L1960" s="2"/>
      <c r="M1960" s="2"/>
    </row>
    <row r="1961" spans="2:13">
      <c r="B1961" s="2"/>
      <c r="C1961" s="1">
        <v>20.43764676</v>
      </c>
      <c r="D1961" s="1">
        <v>0.40234555100000002</v>
      </c>
      <c r="E1961" s="1"/>
      <c r="H1961" s="2">
        <v>9.3860386299999998</v>
      </c>
      <c r="I1961" s="2">
        <v>25.465444000000002</v>
      </c>
      <c r="J1961" s="2">
        <v>8.2037830799999991</v>
      </c>
      <c r="L1961" s="2"/>
      <c r="M1961" s="2"/>
    </row>
    <row r="1962" spans="2:13">
      <c r="B1962" s="2"/>
      <c r="C1962" s="1">
        <v>5.3916746099999999</v>
      </c>
      <c r="D1962" s="1">
        <v>0.613412069</v>
      </c>
      <c r="E1962" s="1"/>
      <c r="H1962" s="2">
        <v>37.353816600000002</v>
      </c>
      <c r="I1962" s="2">
        <v>2.82949377</v>
      </c>
      <c r="J1962" s="2">
        <v>8.0299741200000003</v>
      </c>
      <c r="L1962" s="2"/>
      <c r="M1962" s="2"/>
    </row>
    <row r="1963" spans="2:13">
      <c r="B1963" s="2"/>
      <c r="C1963" s="1">
        <v>43.453395479999998</v>
      </c>
      <c r="D1963" s="1">
        <v>1.1476741930000001</v>
      </c>
      <c r="E1963" s="1"/>
      <c r="H1963" s="2">
        <v>4.4669930400000002</v>
      </c>
      <c r="I1963" s="2">
        <v>6.1409342899999997</v>
      </c>
      <c r="J1963" s="2">
        <v>16.407566200000002</v>
      </c>
      <c r="L1963" s="2"/>
      <c r="M1963" s="2"/>
    </row>
    <row r="1964" spans="2:13">
      <c r="B1964" s="2"/>
      <c r="C1964" s="1">
        <v>3.0369678929999999</v>
      </c>
      <c r="D1964" s="1">
        <v>0.68596618499999995</v>
      </c>
      <c r="E1964" s="1"/>
      <c r="H1964" s="2">
        <v>9.55853237</v>
      </c>
      <c r="I1964" s="2">
        <v>8.0531745800000003</v>
      </c>
      <c r="J1964" s="2">
        <v>8.7599717699999999</v>
      </c>
      <c r="L1964" s="2"/>
      <c r="M1964" s="2"/>
    </row>
    <row r="1965" spans="2:13">
      <c r="B1965" s="2"/>
      <c r="C1965" s="1">
        <v>8.2414735070000003</v>
      </c>
      <c r="D1965" s="1">
        <v>0.19787486100000001</v>
      </c>
      <c r="E1965" s="1"/>
      <c r="H1965" s="2">
        <v>9.9630004499999991</v>
      </c>
      <c r="I1965" s="2">
        <v>18.220696199999999</v>
      </c>
      <c r="J1965" s="2">
        <v>2.2942783200000001</v>
      </c>
      <c r="L1965" s="2"/>
      <c r="M1965" s="2"/>
    </row>
    <row r="1966" spans="2:13">
      <c r="B1966" s="2"/>
      <c r="C1966" s="1">
        <v>12.20824867</v>
      </c>
      <c r="D1966" s="1">
        <v>9.8937430000000007E-2</v>
      </c>
      <c r="E1966" s="1"/>
      <c r="H1966" s="2">
        <v>22.656160400000001</v>
      </c>
      <c r="I1966" s="2">
        <v>11.2713351</v>
      </c>
      <c r="J1966" s="2">
        <v>3.0242759700000001</v>
      </c>
      <c r="L1966" s="2"/>
      <c r="M1966" s="2"/>
    </row>
    <row r="1967" spans="2:13">
      <c r="B1967" s="2"/>
      <c r="C1967" s="1">
        <v>19.423311559999998</v>
      </c>
      <c r="D1967" s="1">
        <v>2.6383315000000001E-2</v>
      </c>
      <c r="E1967" s="1"/>
      <c r="H1967" s="2">
        <v>13.632953499999999</v>
      </c>
      <c r="I1967" s="2">
        <v>2.3786403699999998</v>
      </c>
      <c r="J1967" s="2">
        <v>2.0509457699999998</v>
      </c>
      <c r="L1967" s="2"/>
      <c r="M1967" s="2"/>
    </row>
    <row r="1968" spans="2:13">
      <c r="B1968" s="2"/>
      <c r="C1968" s="1">
        <v>7.9516634499999999</v>
      </c>
      <c r="D1968" s="1">
        <v>2.0842818680000001</v>
      </c>
      <c r="E1968" s="1"/>
      <c r="H1968" s="2">
        <v>5.0142145500000002</v>
      </c>
      <c r="I1968" s="2">
        <v>5.69008088</v>
      </c>
      <c r="J1968" s="2">
        <v>30.207997899999999</v>
      </c>
      <c r="L1968" s="2"/>
      <c r="M1968" s="2"/>
    </row>
    <row r="1969" spans="2:13">
      <c r="B1969" s="2"/>
      <c r="C1969" s="1">
        <v>6.6294050630000001</v>
      </c>
      <c r="D1969" s="1">
        <v>317.6221309</v>
      </c>
      <c r="E1969" s="1"/>
      <c r="H1969" s="2">
        <v>5.0082664899999996</v>
      </c>
      <c r="I1969" s="2">
        <v>3.1093338199999998</v>
      </c>
      <c r="J1969" s="2">
        <v>36.465120599999999</v>
      </c>
      <c r="L1969" s="2"/>
      <c r="M1969" s="2"/>
    </row>
    <row r="1970" spans="2:13">
      <c r="B1970" s="2"/>
      <c r="C1970" s="1">
        <v>2.0709343690000002</v>
      </c>
      <c r="D1970" s="1">
        <v>1.1146950499999999</v>
      </c>
      <c r="E1970" s="1"/>
      <c r="H1970" s="2">
        <v>2.1353535300000002</v>
      </c>
      <c r="I1970" s="2">
        <v>28.465951100000002</v>
      </c>
      <c r="J1970" s="2">
        <v>17.207087399999999</v>
      </c>
      <c r="L1970" s="2"/>
      <c r="M1970" s="2"/>
    </row>
    <row r="1971" spans="2:13">
      <c r="B1971" s="2"/>
      <c r="C1971" s="1">
        <v>0.82716620600000001</v>
      </c>
      <c r="D1971" s="1">
        <v>7.9149944E-2</v>
      </c>
      <c r="E1971" s="1"/>
      <c r="H1971" s="2">
        <v>42.017095599999998</v>
      </c>
      <c r="I1971" s="2">
        <v>20.894723200000001</v>
      </c>
      <c r="J1971" s="2">
        <v>3.7542736099999998</v>
      </c>
      <c r="L1971" s="2"/>
      <c r="M1971" s="2"/>
    </row>
    <row r="1972" spans="2:13">
      <c r="B1972" s="2"/>
      <c r="C1972" s="1">
        <v>32.923630060000001</v>
      </c>
      <c r="D1972" s="1">
        <v>1.6423613459999999</v>
      </c>
      <c r="E1972" s="1"/>
      <c r="H1972" s="2">
        <v>40.304054399999998</v>
      </c>
      <c r="I1972" s="2">
        <v>11.5978151</v>
      </c>
      <c r="J1972" s="2">
        <v>60.381233999999999</v>
      </c>
      <c r="L1972" s="2"/>
      <c r="M1972" s="2"/>
    </row>
    <row r="1973" spans="2:13">
      <c r="B1973" s="2"/>
      <c r="C1973" s="1">
        <v>14.750124380000001</v>
      </c>
      <c r="D1973" s="1">
        <v>0.105533259</v>
      </c>
      <c r="E1973" s="1"/>
      <c r="H1973" s="2">
        <v>22.905978900000001</v>
      </c>
      <c r="I1973" s="2">
        <v>2.6118404100000001</v>
      </c>
      <c r="J1973" s="2">
        <v>2.7461816300000002</v>
      </c>
      <c r="L1973" s="2"/>
      <c r="M1973" s="2"/>
    </row>
    <row r="1974" spans="2:13">
      <c r="B1974" s="2"/>
      <c r="C1974" s="1">
        <v>15.613516840000001</v>
      </c>
      <c r="D1974" s="1">
        <v>2.0117277530000002</v>
      </c>
      <c r="E1974" s="1"/>
      <c r="H1974" s="2">
        <v>3.9078754</v>
      </c>
      <c r="I1974" s="2">
        <v>40.530166299999998</v>
      </c>
      <c r="J1974" s="2">
        <v>59.894568900000003</v>
      </c>
      <c r="L1974" s="2"/>
      <c r="M1974" s="2"/>
    </row>
    <row r="1975" spans="2:13">
      <c r="B1975" s="2"/>
      <c r="C1975" s="1">
        <v>2.4814986170000002</v>
      </c>
      <c r="D1975" s="1">
        <v>0.69915784199999997</v>
      </c>
      <c r="E1975" s="1"/>
      <c r="H1975" s="2">
        <v>53.116175499999997</v>
      </c>
      <c r="I1975" s="2">
        <v>4.24424066</v>
      </c>
      <c r="J1975" s="2">
        <v>10.915202900000001</v>
      </c>
      <c r="L1975" s="2"/>
      <c r="M1975" s="2"/>
    </row>
    <row r="1976" spans="2:13">
      <c r="B1976" s="2"/>
      <c r="C1976" s="1">
        <v>27.537993159999999</v>
      </c>
      <c r="D1976" s="1">
        <v>0.25723731900000002</v>
      </c>
      <c r="E1976" s="1"/>
      <c r="H1976" s="2">
        <v>3.5271995600000001</v>
      </c>
      <c r="I1976" s="2">
        <v>54.599901799999998</v>
      </c>
      <c r="J1976" s="2">
        <v>10.498061399999999</v>
      </c>
      <c r="L1976" s="2"/>
      <c r="M1976" s="2"/>
    </row>
    <row r="1977" spans="2:13">
      <c r="B1977" s="2"/>
      <c r="C1977" s="1">
        <v>3.5622486219999998</v>
      </c>
      <c r="D1977" s="1">
        <v>0.21766234700000001</v>
      </c>
      <c r="E1977" s="1"/>
      <c r="H1977" s="2">
        <v>77.2177145</v>
      </c>
      <c r="I1977" s="2">
        <v>13.6966155</v>
      </c>
      <c r="J1977" s="2">
        <v>1.9118986</v>
      </c>
      <c r="L1977" s="2"/>
      <c r="M1977" s="2"/>
    </row>
    <row r="1978" spans="2:13">
      <c r="B1978" s="2"/>
      <c r="C1978" s="1">
        <v>58.57182014</v>
      </c>
      <c r="D1978" s="1">
        <v>1.002565962</v>
      </c>
      <c r="E1978" s="1"/>
      <c r="H1978" s="2">
        <v>16.910334500000001</v>
      </c>
      <c r="I1978" s="2">
        <v>7.6023211799999997</v>
      </c>
      <c r="J1978" s="2">
        <v>13.383290199999999</v>
      </c>
      <c r="L1978" s="2"/>
      <c r="M1978" s="2"/>
    </row>
    <row r="1979" spans="2:13">
      <c r="B1979" s="2"/>
      <c r="C1979" s="1">
        <v>25.871585329999998</v>
      </c>
      <c r="D1979" s="1">
        <v>0.51447463800000004</v>
      </c>
      <c r="E1979" s="1"/>
      <c r="H1979" s="2">
        <v>11.0871838</v>
      </c>
      <c r="I1979" s="2">
        <v>2.7206670900000001</v>
      </c>
      <c r="J1979" s="2">
        <v>5.0404599499999998</v>
      </c>
      <c r="L1979" s="2"/>
      <c r="M1979" s="2"/>
    </row>
    <row r="1980" spans="2:13">
      <c r="B1980" s="2"/>
      <c r="C1980" s="1">
        <v>3.9546997419999999</v>
      </c>
      <c r="D1980" s="1">
        <v>0.69256201299999998</v>
      </c>
      <c r="E1980" s="1"/>
      <c r="H1980" s="2">
        <v>2.9621338700000002</v>
      </c>
      <c r="I1980" s="2">
        <v>17.054696</v>
      </c>
      <c r="J1980" s="2">
        <v>10.393776000000001</v>
      </c>
      <c r="L1980" s="2"/>
      <c r="M1980" s="2"/>
    </row>
    <row r="1981" spans="2:13">
      <c r="B1981" s="2"/>
      <c r="C1981" s="1">
        <v>4.0331899660000001</v>
      </c>
      <c r="D1981" s="1">
        <v>342.01350550000001</v>
      </c>
      <c r="E1981" s="1"/>
      <c r="H1981" s="2">
        <v>17.528932699999999</v>
      </c>
      <c r="I1981" s="2">
        <v>9.4679214700000003</v>
      </c>
      <c r="J1981" s="2">
        <v>23.2208775</v>
      </c>
      <c r="L1981" s="2"/>
      <c r="M1981" s="2"/>
    </row>
    <row r="1982" spans="2:13">
      <c r="B1982" s="2"/>
      <c r="C1982" s="1">
        <v>10.994669050000001</v>
      </c>
      <c r="D1982" s="1">
        <v>4.491759343</v>
      </c>
      <c r="E1982" s="1"/>
      <c r="H1982" s="2">
        <v>12.419549200000001</v>
      </c>
      <c r="I1982" s="2">
        <v>16.759309300000002</v>
      </c>
      <c r="J1982" s="2">
        <v>44.738427199999997</v>
      </c>
      <c r="L1982" s="2"/>
      <c r="M1982" s="2"/>
    </row>
    <row r="1983" spans="2:13">
      <c r="B1983" s="2"/>
      <c r="C1983" s="1">
        <v>3.2905516929999998</v>
      </c>
      <c r="D1983" s="1">
        <v>1.141078365</v>
      </c>
      <c r="E1983" s="1"/>
      <c r="H1983" s="2">
        <v>16.220359500000001</v>
      </c>
      <c r="I1983" s="2">
        <v>20.925816600000001</v>
      </c>
      <c r="J1983" s="2">
        <v>25.967059200000001</v>
      </c>
      <c r="L1983" s="2"/>
      <c r="M1983" s="2"/>
    </row>
    <row r="1984" spans="2:13">
      <c r="B1984" s="2"/>
      <c r="C1984" s="1">
        <v>20.745569939999999</v>
      </c>
      <c r="D1984" s="1">
        <v>4.2147345380000001</v>
      </c>
      <c r="E1984" s="1"/>
      <c r="H1984" s="2">
        <v>39.203663300000002</v>
      </c>
      <c r="I1984" s="2">
        <v>40.981019699999997</v>
      </c>
      <c r="J1984" s="2">
        <v>68.967396800000003</v>
      </c>
      <c r="L1984" s="2"/>
      <c r="M1984" s="2"/>
    </row>
    <row r="1985" spans="2:13">
      <c r="B1985" s="2"/>
      <c r="C1985" s="1">
        <v>44.12358124</v>
      </c>
      <c r="D1985" s="1">
        <v>0.41553720799999999</v>
      </c>
      <c r="E1985" s="1"/>
      <c r="H1985" s="2">
        <v>52.592746300000002</v>
      </c>
      <c r="I1985" s="2">
        <v>33.969471900000002</v>
      </c>
      <c r="J1985" s="2">
        <v>10.498061399999999</v>
      </c>
      <c r="L1985" s="2"/>
      <c r="M1985" s="2"/>
    </row>
    <row r="1986" spans="2:13">
      <c r="B1986" s="2"/>
      <c r="C1986" s="1">
        <v>100.21994050000001</v>
      </c>
      <c r="D1986" s="1">
        <v>0.29681229100000001</v>
      </c>
      <c r="E1986" s="1"/>
      <c r="H1986" s="2">
        <v>27.4502968</v>
      </c>
      <c r="I1986" s="2">
        <v>68.172143899999995</v>
      </c>
      <c r="J1986" s="2">
        <v>3.1980849299999998</v>
      </c>
      <c r="L1986" s="2"/>
      <c r="M1986" s="2"/>
    </row>
    <row r="1987" spans="2:13">
      <c r="B1987" s="2"/>
      <c r="C1987" s="1">
        <v>15.528988910000001</v>
      </c>
      <c r="D1987" s="1">
        <v>1.174057508</v>
      </c>
      <c r="E1987" s="1"/>
      <c r="H1987" s="2">
        <v>70.538043200000004</v>
      </c>
      <c r="I1987" s="2">
        <v>14.800428999999999</v>
      </c>
      <c r="J1987" s="2">
        <v>20.300886999999999</v>
      </c>
      <c r="L1987" s="2"/>
      <c r="M1987" s="2"/>
    </row>
    <row r="1988" spans="2:13">
      <c r="B1988" s="2"/>
      <c r="C1988" s="1">
        <v>93.765628989999996</v>
      </c>
      <c r="D1988" s="1">
        <v>8.693302224</v>
      </c>
      <c r="E1988" s="1"/>
      <c r="H1988" s="2">
        <v>12.157834599999999</v>
      </c>
      <c r="I1988" s="2">
        <v>4.5707207099999998</v>
      </c>
      <c r="J1988" s="2">
        <v>57.391719799999997</v>
      </c>
      <c r="L1988" s="2"/>
      <c r="M1988" s="2"/>
    </row>
    <row r="1989" spans="2:13">
      <c r="B1989" s="2"/>
      <c r="C1989" s="1">
        <v>13.162206769999999</v>
      </c>
      <c r="D1989" s="1">
        <v>1.767682091</v>
      </c>
      <c r="E1989" s="1"/>
      <c r="H1989" s="2">
        <v>4.9249936600000002</v>
      </c>
      <c r="I1989" s="2">
        <v>25.014590500000001</v>
      </c>
      <c r="J1989" s="2">
        <v>19.675174699999999</v>
      </c>
      <c r="L1989" s="2"/>
      <c r="M1989" s="2"/>
    </row>
    <row r="1990" spans="2:13">
      <c r="B1990" s="2"/>
      <c r="C1990" s="1">
        <v>9.0867528409999991</v>
      </c>
      <c r="D1990" s="1">
        <v>2.7900355389999998</v>
      </c>
      <c r="E1990" s="1"/>
      <c r="H1990" s="2">
        <v>29.591598399999999</v>
      </c>
      <c r="I1990" s="2">
        <v>60.414355999999998</v>
      </c>
      <c r="J1990" s="2">
        <v>34.483698400000002</v>
      </c>
      <c r="L1990" s="2"/>
      <c r="M1990" s="2"/>
    </row>
    <row r="1991" spans="2:13">
      <c r="B1991" s="2"/>
      <c r="C1991" s="1">
        <v>24.603666329999999</v>
      </c>
      <c r="D1991" s="1">
        <v>117.7949047</v>
      </c>
      <c r="E1991" s="1"/>
      <c r="H1991" s="2">
        <v>59.111820000000002</v>
      </c>
      <c r="I1991" s="2">
        <v>9.8565881999999991</v>
      </c>
      <c r="J1991" s="2">
        <v>83.810682299999996</v>
      </c>
      <c r="L1991" s="2"/>
      <c r="M1991" s="2"/>
    </row>
    <row r="1992" spans="2:13">
      <c r="B1992" s="2"/>
      <c r="C1992" s="1">
        <v>71.051765739999993</v>
      </c>
      <c r="D1992" s="1">
        <v>20.47345228</v>
      </c>
      <c r="E1992" s="1"/>
      <c r="H1992" s="2">
        <v>21.674730499999999</v>
      </c>
      <c r="I1992" s="2">
        <v>26.196137400000001</v>
      </c>
      <c r="J1992" s="2">
        <v>58.504097199999997</v>
      </c>
      <c r="L1992" s="2"/>
      <c r="M1992" s="2"/>
    </row>
    <row r="1993" spans="2:13">
      <c r="B1993" s="2"/>
      <c r="C1993" s="1">
        <v>25.298002929999999</v>
      </c>
      <c r="D1993" s="1">
        <v>1.8138528920000001</v>
      </c>
      <c r="E1993" s="1"/>
      <c r="H1993" s="2">
        <v>44.842424100000002</v>
      </c>
      <c r="I1993" s="2">
        <v>63.383769800000003</v>
      </c>
      <c r="J1993" s="2">
        <v>20.300886999999999</v>
      </c>
      <c r="L1993" s="2"/>
      <c r="M1993" s="2"/>
    </row>
    <row r="1994" spans="2:13">
      <c r="B1994" s="2"/>
      <c r="C1994" s="1">
        <v>47.245077070000001</v>
      </c>
      <c r="D1994" s="1">
        <v>11.34482536</v>
      </c>
      <c r="E1994" s="1"/>
      <c r="H1994" s="2">
        <v>74.303165100000001</v>
      </c>
      <c r="I1994" s="2">
        <v>65.964516900000007</v>
      </c>
      <c r="J1994" s="2">
        <v>108.38727</v>
      </c>
      <c r="L1994" s="2"/>
      <c r="M1994" s="2"/>
    </row>
    <row r="1995" spans="2:13">
      <c r="B1995" s="2"/>
      <c r="C1995" s="1">
        <v>101.3127659</v>
      </c>
      <c r="D1995" s="1">
        <v>0.97618264700000001</v>
      </c>
      <c r="E1995" s="1"/>
      <c r="H1995" s="2">
        <v>71.3350832</v>
      </c>
      <c r="I1995" s="2">
        <v>30.564751399999999</v>
      </c>
      <c r="J1995" s="2">
        <v>17.102802000000001</v>
      </c>
      <c r="L1995" s="2"/>
      <c r="M1995" s="2"/>
    </row>
    <row r="1996" spans="2:13">
      <c r="B1996" s="2"/>
      <c r="C1996" s="1">
        <v>94.019212789999997</v>
      </c>
      <c r="D1996" s="1">
        <v>0.19127903199999999</v>
      </c>
      <c r="E1996" s="1"/>
      <c r="H1996" s="2">
        <v>29.532117800000002</v>
      </c>
      <c r="I1996" s="2">
        <v>99.980628899999999</v>
      </c>
      <c r="J1996" s="2">
        <v>1.9466603899999999</v>
      </c>
      <c r="L1996" s="2"/>
      <c r="M1996" s="2"/>
    </row>
    <row r="1997" spans="2:13">
      <c r="B1997" s="2"/>
      <c r="C1997" s="1">
        <v>25.195361869999999</v>
      </c>
      <c r="D1997" s="1">
        <v>0.44192052300000001</v>
      </c>
      <c r="E1997" s="1"/>
      <c r="H1997" s="2">
        <v>112.537295</v>
      </c>
      <c r="I1997" s="2">
        <v>34.389232</v>
      </c>
      <c r="J1997" s="2">
        <v>15.1561416</v>
      </c>
      <c r="L1997" s="2"/>
      <c r="M1997" s="2"/>
    </row>
    <row r="1998" spans="2:13">
      <c r="B1998" s="2"/>
      <c r="C1998" s="1">
        <v>169.96756099999999</v>
      </c>
      <c r="D1998" s="1">
        <v>0.17149154599999999</v>
      </c>
      <c r="E1998" s="1"/>
      <c r="H1998" s="2">
        <v>17.760907100000001</v>
      </c>
      <c r="I1998" s="2">
        <v>4.7883740799999996</v>
      </c>
      <c r="J1998" s="2">
        <v>3.4414174800000001</v>
      </c>
      <c r="L1998" s="2"/>
      <c r="M1998" s="2"/>
    </row>
    <row r="1999" spans="2:13">
      <c r="B1999" s="2"/>
      <c r="C1999" s="1">
        <v>10.23391765</v>
      </c>
      <c r="D1999" s="1">
        <v>0.13191657400000001</v>
      </c>
      <c r="E1999" s="1"/>
      <c r="H1999" s="2">
        <v>2.5636138499999999</v>
      </c>
      <c r="I1999" s="2">
        <v>14.9092556</v>
      </c>
      <c r="J1999" s="2">
        <v>4.6928420199999996</v>
      </c>
      <c r="L1999" s="2"/>
      <c r="M1999" s="2"/>
    </row>
    <row r="2000" spans="2:13">
      <c r="B2000" s="2"/>
      <c r="C2000" s="1">
        <v>3.5803617509999999</v>
      </c>
      <c r="D2000" s="1">
        <v>0.70575367099999997</v>
      </c>
      <c r="E2000" s="1"/>
      <c r="H2000" s="2">
        <v>17.6716862</v>
      </c>
      <c r="I2000" s="2">
        <v>4.4618940299999998</v>
      </c>
      <c r="J2000" s="2">
        <v>15.9209011</v>
      </c>
      <c r="L2000" s="2"/>
      <c r="M2000" s="2"/>
    </row>
    <row r="2001" spans="2:13">
      <c r="B2001" s="2"/>
      <c r="C2001" s="1">
        <v>7.0641201489999998</v>
      </c>
      <c r="D2001" s="1">
        <v>0.13851240300000001</v>
      </c>
      <c r="E2001" s="1"/>
      <c r="H2001" s="2">
        <v>3.9316676400000001</v>
      </c>
      <c r="I2001" s="2">
        <v>3.7001072399999999</v>
      </c>
      <c r="J2001" s="2">
        <v>3.26760852</v>
      </c>
      <c r="L2001" s="2"/>
      <c r="M2001" s="2"/>
    </row>
    <row r="2002" spans="2:13">
      <c r="B2002" s="2"/>
      <c r="C2002" s="1">
        <v>5.2648827090000001</v>
      </c>
      <c r="D2002" s="1">
        <v>2.9417395989999999</v>
      </c>
      <c r="E2002" s="1"/>
      <c r="H2002" s="2">
        <v>5.9361638499999998</v>
      </c>
      <c r="I2002" s="2">
        <v>13.463415400000001</v>
      </c>
      <c r="J2002" s="2">
        <v>37.577497899999997</v>
      </c>
      <c r="L2002" s="2"/>
      <c r="M2002" s="2"/>
    </row>
    <row r="2003" spans="2:13">
      <c r="B2003" s="2"/>
      <c r="C2003" s="1">
        <v>2.5479134210000001</v>
      </c>
      <c r="D2003" s="1">
        <v>1.5170406000000001</v>
      </c>
      <c r="E2003" s="1"/>
      <c r="H2003" s="2">
        <v>18.855350099999999</v>
      </c>
      <c r="I2003" s="2">
        <v>5.64344088</v>
      </c>
      <c r="J2003" s="2">
        <v>37.647021500000001</v>
      </c>
      <c r="L2003" s="2"/>
      <c r="M2003" s="2"/>
    </row>
    <row r="2004" spans="2:13">
      <c r="B2004" s="2"/>
      <c r="C2004" s="1">
        <v>28.67308255</v>
      </c>
      <c r="D2004" s="1">
        <v>33.190210010000001</v>
      </c>
      <c r="E2004" s="1"/>
      <c r="H2004" s="2">
        <v>3.6996932999999999</v>
      </c>
      <c r="I2004" s="2">
        <v>38.959952700000002</v>
      </c>
      <c r="J2004" s="2">
        <v>4.4842712599999999</v>
      </c>
      <c r="L2004" s="2"/>
      <c r="M2004" s="2"/>
    </row>
    <row r="2005" spans="2:13">
      <c r="B2005" s="2"/>
      <c r="C2005" s="1">
        <v>1.8837653729999999</v>
      </c>
      <c r="D2005" s="1">
        <v>0.72554115699999999</v>
      </c>
      <c r="E2005" s="1"/>
      <c r="H2005" s="2">
        <v>46.234270100000003</v>
      </c>
      <c r="I2005" s="2">
        <v>66.166623599999994</v>
      </c>
      <c r="J2005" s="2">
        <v>9.3856840399999992</v>
      </c>
      <c r="L2005" s="2"/>
      <c r="M2005" s="2"/>
    </row>
    <row r="2006" spans="2:13">
      <c r="B2006" s="2"/>
      <c r="C2006" s="1">
        <v>69.445734999999999</v>
      </c>
      <c r="D2006" s="1">
        <v>0.224258176</v>
      </c>
      <c r="E2006" s="1"/>
      <c r="H2006" s="2">
        <v>37.484673899999997</v>
      </c>
      <c r="I2006" s="2">
        <v>5.1304008000000003</v>
      </c>
      <c r="J2006" s="2">
        <v>6.1180755199999997</v>
      </c>
      <c r="L2006" s="2"/>
      <c r="M2006" s="2"/>
    </row>
    <row r="2007" spans="2:13">
      <c r="B2007" s="2"/>
      <c r="C2007" s="1">
        <v>36.721349359999998</v>
      </c>
      <c r="D2007" s="1">
        <v>0.93001184599999998</v>
      </c>
      <c r="E2007" s="1"/>
      <c r="H2007" s="2">
        <v>6.5428659700000003</v>
      </c>
      <c r="I2007" s="2">
        <v>10.540641600000001</v>
      </c>
      <c r="J2007" s="2">
        <v>9.5942547900000008</v>
      </c>
      <c r="L2007" s="2"/>
      <c r="M2007" s="2"/>
    </row>
    <row r="2008" spans="2:13">
      <c r="B2008" s="2"/>
      <c r="C2008" s="1">
        <v>5.669409248</v>
      </c>
      <c r="D2008" s="1">
        <v>2.275560901</v>
      </c>
      <c r="E2008" s="1"/>
      <c r="H2008" s="2">
        <v>14.096902099999999</v>
      </c>
      <c r="I2008" s="2">
        <v>7.2136544499999999</v>
      </c>
      <c r="J2008" s="2">
        <v>36.812738500000002</v>
      </c>
      <c r="L2008" s="2"/>
      <c r="M2008" s="2"/>
    </row>
    <row r="2009" spans="2:13">
      <c r="B2009" s="2"/>
      <c r="C2009" s="1">
        <v>8.6520377550000003</v>
      </c>
      <c r="D2009" s="1">
        <v>19.662165349999999</v>
      </c>
      <c r="E2009" s="1"/>
      <c r="H2009" s="2">
        <v>9.6834416300000008</v>
      </c>
      <c r="I2009" s="2">
        <v>6.8560810600000002</v>
      </c>
      <c r="J2009" s="2">
        <v>147.077145</v>
      </c>
      <c r="L2009" s="2"/>
      <c r="M2009" s="2"/>
    </row>
    <row r="2010" spans="2:13">
      <c r="B2010" s="2"/>
      <c r="C2010" s="1">
        <v>8.7124148510000001</v>
      </c>
      <c r="D2010" s="1">
        <v>0.15170406</v>
      </c>
      <c r="E2010" s="1"/>
      <c r="H2010" s="2">
        <v>11.0455474</v>
      </c>
      <c r="I2010" s="2">
        <v>34.902272099999998</v>
      </c>
      <c r="J2010" s="2">
        <v>4.4495094699999997</v>
      </c>
      <c r="L2010" s="2"/>
      <c r="M2010" s="2"/>
    </row>
    <row r="2011" spans="2:13">
      <c r="B2011" s="2"/>
      <c r="C2011" s="1">
        <v>6.249029363</v>
      </c>
      <c r="D2011" s="1">
        <v>7.4137114559999997</v>
      </c>
      <c r="E2011" s="1"/>
      <c r="H2011" s="2">
        <v>33.344824199999998</v>
      </c>
      <c r="I2011" s="2">
        <v>90.108493999999993</v>
      </c>
      <c r="J2011" s="2">
        <v>14.8780473</v>
      </c>
      <c r="L2011" s="2"/>
      <c r="M2011" s="2"/>
    </row>
    <row r="2012" spans="2:13">
      <c r="B2012" s="2"/>
      <c r="C2012" s="1">
        <v>24.470836720000001</v>
      </c>
      <c r="D2012" s="1">
        <v>3.2121685759999998</v>
      </c>
      <c r="E2012" s="1"/>
      <c r="H2012" s="2">
        <v>145.75720999999999</v>
      </c>
      <c r="I2012" s="2">
        <v>5.4568808500000001</v>
      </c>
      <c r="J2012" s="2">
        <v>37.438450799999998</v>
      </c>
      <c r="L2012" s="2"/>
      <c r="M2012" s="2"/>
    </row>
    <row r="2013" spans="2:13">
      <c r="B2013" s="2"/>
      <c r="C2013" s="1">
        <v>161.25514609999999</v>
      </c>
      <c r="D2013" s="1">
        <v>502.60874260000003</v>
      </c>
      <c r="E2013" s="1"/>
      <c r="H2013" s="2">
        <v>5.70418951</v>
      </c>
      <c r="I2013" s="2">
        <v>12.592802000000001</v>
      </c>
      <c r="J2013" s="2">
        <v>87.008767199999994</v>
      </c>
      <c r="L2013" s="2"/>
      <c r="M2013" s="2"/>
    </row>
    <row r="2014" spans="2:13">
      <c r="B2014" s="2"/>
      <c r="C2014" s="1">
        <v>8.0603422210000009</v>
      </c>
      <c r="D2014" s="1">
        <v>2.625139822</v>
      </c>
      <c r="E2014" s="1"/>
      <c r="H2014" s="2">
        <v>25.4576967</v>
      </c>
      <c r="I2014" s="2">
        <v>49.298487700000003</v>
      </c>
      <c r="J2014" s="2">
        <v>41.714151299999997</v>
      </c>
      <c r="L2014" s="2"/>
      <c r="M2014" s="2"/>
    </row>
    <row r="2015" spans="2:13">
      <c r="B2015" s="2"/>
      <c r="C2015" s="1">
        <v>22.248959620000001</v>
      </c>
      <c r="D2015" s="1">
        <v>0.84426607300000001</v>
      </c>
      <c r="E2015" s="1"/>
      <c r="H2015" s="2">
        <v>41.5888353</v>
      </c>
      <c r="I2015" s="2">
        <v>62.124489599999997</v>
      </c>
      <c r="J2015" s="2">
        <v>12.5490072</v>
      </c>
      <c r="L2015" s="2"/>
      <c r="M2015" s="2"/>
    </row>
    <row r="2016" spans="2:13">
      <c r="B2016" s="2"/>
      <c r="C2016" s="1">
        <v>44.20810917</v>
      </c>
      <c r="D2016" s="1">
        <v>0.56724126799999997</v>
      </c>
      <c r="E2016" s="1"/>
      <c r="H2016" s="2">
        <v>70.775965600000006</v>
      </c>
      <c r="I2016" s="2">
        <v>35.928352199999999</v>
      </c>
      <c r="J2016" s="2">
        <v>13.418051999999999</v>
      </c>
      <c r="L2016" s="2"/>
      <c r="M2016" s="2"/>
    </row>
    <row r="2017" spans="2:13">
      <c r="B2017" s="2"/>
      <c r="C2017" s="1">
        <v>100.1897519</v>
      </c>
      <c r="D2017" s="1">
        <v>0.310003949</v>
      </c>
      <c r="E2017" s="1"/>
      <c r="H2017" s="2">
        <v>55.394282500000003</v>
      </c>
      <c r="I2017" s="2">
        <v>17.4589094</v>
      </c>
      <c r="J2017" s="2">
        <v>12.757577899999999</v>
      </c>
      <c r="L2017" s="2"/>
      <c r="M2017" s="2"/>
    </row>
    <row r="2018" spans="2:13">
      <c r="B2018" s="2"/>
      <c r="C2018" s="1">
        <v>61.306902559999997</v>
      </c>
      <c r="D2018" s="1">
        <v>0.34298309199999999</v>
      </c>
      <c r="E2018" s="1"/>
      <c r="H2018" s="2">
        <v>18.9148307</v>
      </c>
      <c r="I2018" s="2">
        <v>14.6760556</v>
      </c>
      <c r="J2018" s="2">
        <v>4.3104623000000002</v>
      </c>
      <c r="L2018" s="2"/>
      <c r="M2018" s="2"/>
    </row>
    <row r="2019" spans="2:13">
      <c r="B2019" s="2"/>
      <c r="C2019" s="1">
        <v>21.934998719999999</v>
      </c>
      <c r="D2019" s="1">
        <v>5.1711296989999997</v>
      </c>
      <c r="E2019" s="1"/>
      <c r="H2019" s="2">
        <v>16.333372700000002</v>
      </c>
      <c r="I2019" s="2">
        <v>11.3179751</v>
      </c>
      <c r="J2019" s="2">
        <v>54.158873100000001</v>
      </c>
      <c r="L2019" s="2"/>
      <c r="M2019" s="2"/>
    </row>
    <row r="2020" spans="2:13">
      <c r="B2020" s="2"/>
      <c r="C2020" s="1">
        <v>5.2045056140000003</v>
      </c>
      <c r="D2020" s="1">
        <v>0.36277057800000001</v>
      </c>
      <c r="E2020" s="1"/>
      <c r="H2020" s="2">
        <v>14.661967799999999</v>
      </c>
      <c r="I2020" s="2">
        <v>6.99600109</v>
      </c>
      <c r="J2020" s="2">
        <v>4.9709363599999996</v>
      </c>
      <c r="L2020" s="2"/>
      <c r="M2020" s="2"/>
    </row>
    <row r="2021" spans="2:13">
      <c r="B2021" s="2"/>
      <c r="C2021" s="1">
        <v>8.6097737890000001</v>
      </c>
      <c r="D2021" s="1">
        <v>4.8809132359999996</v>
      </c>
      <c r="E2021" s="1"/>
      <c r="H2021" s="2">
        <v>7.042503</v>
      </c>
      <c r="I2021" s="2">
        <v>44.525660199999997</v>
      </c>
      <c r="J2021" s="2">
        <v>29.4084766</v>
      </c>
      <c r="L2021" s="2"/>
      <c r="M2021" s="2"/>
    </row>
    <row r="2022" spans="2:13">
      <c r="B2022" s="2"/>
      <c r="C2022" s="1">
        <v>5.427900867</v>
      </c>
      <c r="D2022" s="1">
        <v>0.50787881000000001</v>
      </c>
      <c r="E2022" s="1"/>
      <c r="H2022" s="2">
        <v>73.571553800000004</v>
      </c>
      <c r="I2022" s="2">
        <v>3.8089339199999999</v>
      </c>
      <c r="J2022" s="2">
        <v>12.2709128</v>
      </c>
      <c r="L2022" s="2"/>
      <c r="M2022" s="2"/>
    </row>
    <row r="2023" spans="2:13">
      <c r="B2023" s="2"/>
      <c r="C2023" s="1">
        <v>77.699283930000007</v>
      </c>
      <c r="D2023" s="1">
        <v>7.9677610669999996</v>
      </c>
      <c r="E2023" s="1"/>
      <c r="H2023" s="2">
        <v>5.5138515899999998</v>
      </c>
      <c r="I2023" s="2">
        <v>41.602886499999997</v>
      </c>
      <c r="J2023" s="2">
        <v>59.199333000000003</v>
      </c>
      <c r="L2023" s="2"/>
      <c r="M2023" s="2"/>
    </row>
    <row r="2024" spans="2:13">
      <c r="B2024" s="2"/>
      <c r="C2024" s="1">
        <v>8.3561899880000006</v>
      </c>
      <c r="D2024" s="1">
        <v>4.1355845929999999</v>
      </c>
      <c r="E2024" s="1"/>
      <c r="H2024" s="2">
        <v>43.629019900000003</v>
      </c>
      <c r="I2024" s="2">
        <v>8.6594946799999999</v>
      </c>
      <c r="J2024" s="2">
        <v>49.292222099999996</v>
      </c>
      <c r="L2024" s="2"/>
      <c r="M2024" s="2"/>
    </row>
    <row r="2025" spans="2:13">
      <c r="B2025" s="2"/>
      <c r="C2025" s="1">
        <v>68.208004549999998</v>
      </c>
      <c r="D2025" s="1">
        <v>0.98937430500000001</v>
      </c>
      <c r="E2025" s="1"/>
      <c r="H2025" s="2">
        <v>13.1630567</v>
      </c>
      <c r="I2025" s="2">
        <v>109.44855</v>
      </c>
      <c r="J2025" s="2">
        <v>12.40996</v>
      </c>
      <c r="L2025" s="2"/>
      <c r="M2025" s="2"/>
    </row>
    <row r="2026" spans="2:13">
      <c r="B2026" s="2"/>
      <c r="C2026" s="1">
        <v>22.870843700000002</v>
      </c>
      <c r="D2026" s="1">
        <v>0.13851240300000001</v>
      </c>
      <c r="E2026" s="1"/>
      <c r="H2026" s="2">
        <v>117.64073</v>
      </c>
      <c r="I2026" s="2">
        <v>61.533716200000001</v>
      </c>
      <c r="J2026" s="2">
        <v>3.54570286</v>
      </c>
      <c r="L2026" s="2"/>
      <c r="M2026" s="2"/>
    </row>
    <row r="2027" spans="2:13">
      <c r="B2027" s="2"/>
      <c r="C2027" s="1">
        <v>101.0591821</v>
      </c>
      <c r="D2027" s="1">
        <v>4.7094216900000001</v>
      </c>
      <c r="E2027" s="1"/>
      <c r="H2027" s="2">
        <v>43.825305899999996</v>
      </c>
      <c r="I2027" s="2">
        <v>13.463415400000001</v>
      </c>
      <c r="J2027" s="2">
        <v>113.77534799999999</v>
      </c>
      <c r="L2027" s="2"/>
      <c r="M2027" s="2"/>
    </row>
    <row r="2028" spans="2:13">
      <c r="B2028" s="2"/>
      <c r="C2028" s="1">
        <v>85.427552129999995</v>
      </c>
      <c r="D2028" s="1">
        <v>1.0289492769999999</v>
      </c>
      <c r="E2028" s="1"/>
      <c r="H2028" s="2">
        <v>16.2976843</v>
      </c>
      <c r="I2028" s="2">
        <v>2.75176043</v>
      </c>
      <c r="J2028" s="2">
        <v>9.3509222399999992</v>
      </c>
      <c r="L2028" s="2"/>
      <c r="M2028" s="2"/>
    </row>
    <row r="2029" spans="2:13">
      <c r="B2029" s="2"/>
      <c r="C2029" s="1">
        <v>24.162913540000002</v>
      </c>
      <c r="D2029" s="1">
        <v>0.310003949</v>
      </c>
      <c r="E2029" s="1"/>
      <c r="H2029" s="2">
        <v>3.5153034399999998</v>
      </c>
      <c r="I2029" s="2">
        <v>154.658264</v>
      </c>
      <c r="J2029" s="2">
        <v>11.645200600000001</v>
      </c>
      <c r="L2029" s="2"/>
      <c r="M2029" s="2"/>
    </row>
    <row r="2030" spans="2:13">
      <c r="B2030" s="2"/>
      <c r="C2030" s="1">
        <v>5.6573338289999997</v>
      </c>
      <c r="D2030" s="1">
        <v>0.28362063399999998</v>
      </c>
      <c r="E2030" s="1"/>
      <c r="H2030" s="2">
        <v>130.90490399999999</v>
      </c>
      <c r="I2030" s="2">
        <v>12.468428599999999</v>
      </c>
      <c r="J2030" s="2">
        <v>3.23284672</v>
      </c>
      <c r="L2030" s="2"/>
      <c r="M2030" s="2"/>
    </row>
    <row r="2031" spans="2:13">
      <c r="B2031" s="2"/>
      <c r="C2031" s="1">
        <v>86.405661069999994</v>
      </c>
      <c r="D2031" s="1">
        <v>0.63979538400000002</v>
      </c>
      <c r="E2031" s="1"/>
      <c r="H2031" s="2">
        <v>12.342224399999999</v>
      </c>
      <c r="I2031" s="2">
        <v>12.530615299999999</v>
      </c>
      <c r="J2031" s="2">
        <v>11.019488300000001</v>
      </c>
      <c r="L2031" s="2"/>
      <c r="M2031" s="2"/>
    </row>
    <row r="2032" spans="2:13">
      <c r="B2032" s="2"/>
      <c r="C2032" s="1">
        <v>20.72745681</v>
      </c>
      <c r="D2032" s="1">
        <v>2.3942858170000001</v>
      </c>
      <c r="E2032" s="1"/>
      <c r="H2032" s="2">
        <v>13.472355800000001</v>
      </c>
      <c r="I2032" s="2">
        <v>3.7001072399999999</v>
      </c>
      <c r="J2032" s="2">
        <v>53.950302299999997</v>
      </c>
      <c r="L2032" s="2"/>
      <c r="M2032" s="2"/>
    </row>
    <row r="2033" spans="2:13">
      <c r="B2033" s="2"/>
      <c r="C2033" s="1">
        <v>12.0391928</v>
      </c>
      <c r="D2033" s="1">
        <v>1.576403059</v>
      </c>
      <c r="E2033" s="1"/>
      <c r="H2033" s="2">
        <v>4.5324217000000004</v>
      </c>
      <c r="I2033" s="2">
        <v>13.9609088</v>
      </c>
      <c r="J2033" s="2">
        <v>38.098924799999999</v>
      </c>
      <c r="L2033" s="2"/>
      <c r="M2033" s="2"/>
    </row>
    <row r="2034" spans="2:13">
      <c r="B2034" s="2"/>
      <c r="C2034" s="1">
        <v>2.5237625829999999</v>
      </c>
      <c r="D2034" s="1">
        <v>1.820448721</v>
      </c>
      <c r="E2034" s="1"/>
      <c r="H2034" s="2">
        <v>17.4218677</v>
      </c>
      <c r="I2034" s="2">
        <v>66.928410400000004</v>
      </c>
      <c r="J2034" s="2">
        <v>35.005125300000003</v>
      </c>
      <c r="L2034" s="2"/>
      <c r="M2034" s="2"/>
    </row>
    <row r="2035" spans="2:13">
      <c r="B2035" s="2"/>
      <c r="C2035" s="1">
        <v>14.925217959999999</v>
      </c>
      <c r="D2035" s="1">
        <v>0.75852030000000004</v>
      </c>
      <c r="E2035" s="1"/>
      <c r="H2035" s="2">
        <v>68.932067000000004</v>
      </c>
      <c r="I2035" s="2">
        <v>26.973470899999999</v>
      </c>
      <c r="J2035" s="2">
        <v>16.963754900000001</v>
      </c>
      <c r="L2035" s="2"/>
      <c r="M2035" s="2"/>
    </row>
    <row r="2036" spans="2:13">
      <c r="B2036" s="2"/>
      <c r="C2036" s="1">
        <v>22.51461883</v>
      </c>
      <c r="D2036" s="1">
        <v>2.2557734150000002</v>
      </c>
      <c r="E2036" s="1"/>
      <c r="H2036" s="2">
        <v>42.855772100000003</v>
      </c>
      <c r="I2036" s="2">
        <v>32.3059783</v>
      </c>
      <c r="J2036" s="2">
        <v>38.759398900000001</v>
      </c>
      <c r="L2036" s="2"/>
      <c r="M2036" s="2"/>
    </row>
    <row r="2037" spans="2:13">
      <c r="B2037" s="2"/>
      <c r="C2037" s="1">
        <v>34.523623090000001</v>
      </c>
      <c r="D2037" s="1">
        <v>1.312569911</v>
      </c>
      <c r="E2037" s="1"/>
      <c r="H2037" s="2">
        <v>34.534436200000002</v>
      </c>
      <c r="I2037" s="2">
        <v>13.6188821</v>
      </c>
      <c r="J2037" s="2">
        <v>15.260427</v>
      </c>
      <c r="L2037" s="2"/>
      <c r="M2037" s="2"/>
    </row>
    <row r="2038" spans="2:13">
      <c r="B2038" s="2"/>
      <c r="C2038" s="1">
        <v>13.96522214</v>
      </c>
      <c r="D2038" s="1">
        <v>417.23233590000001</v>
      </c>
      <c r="E2038" s="1"/>
      <c r="H2038" s="2">
        <v>19.664286300000001</v>
      </c>
      <c r="I2038" s="2">
        <v>26.413790800000001</v>
      </c>
      <c r="J2038" s="2">
        <v>18.1456558</v>
      </c>
      <c r="L2038" s="2"/>
      <c r="M2038" s="2"/>
    </row>
    <row r="2039" spans="2:13">
      <c r="B2039" s="2"/>
      <c r="C2039" s="1">
        <v>33.974191519999998</v>
      </c>
      <c r="D2039" s="1">
        <v>0.99597013300000004</v>
      </c>
      <c r="E2039" s="1"/>
      <c r="H2039" s="2">
        <v>47.840246299999997</v>
      </c>
      <c r="I2039" s="2">
        <v>14.4739489</v>
      </c>
      <c r="J2039" s="2">
        <v>11.228059099999999</v>
      </c>
      <c r="L2039" s="2"/>
      <c r="M2039" s="2"/>
    </row>
    <row r="2040" spans="2:13">
      <c r="B2040" s="2"/>
      <c r="C2040" s="1">
        <v>51.356757260000002</v>
      </c>
      <c r="D2040" s="1">
        <v>0.34957892099999999</v>
      </c>
      <c r="E2040" s="1"/>
      <c r="H2040" s="2">
        <v>21.490340700000001</v>
      </c>
      <c r="I2040" s="2">
        <v>33.223231800000001</v>
      </c>
      <c r="J2040" s="2">
        <v>6.3961698599999997</v>
      </c>
      <c r="L2040" s="2"/>
      <c r="M2040" s="2"/>
    </row>
    <row r="2041" spans="2:13">
      <c r="B2041" s="2"/>
      <c r="C2041" s="1">
        <v>33.418722240000001</v>
      </c>
      <c r="D2041" s="1">
        <v>11.01503393</v>
      </c>
      <c r="E2041" s="1"/>
      <c r="H2041" s="2">
        <v>20.586235599999998</v>
      </c>
      <c r="I2041" s="2">
        <v>15.919789099999999</v>
      </c>
      <c r="J2041" s="2">
        <v>14.356620400000001</v>
      </c>
      <c r="L2041" s="2"/>
      <c r="M2041" s="2"/>
    </row>
    <row r="2042" spans="2:13">
      <c r="B2042" s="2"/>
      <c r="C2042" s="1">
        <v>22.34556297</v>
      </c>
      <c r="D2042" s="1">
        <v>0.58702875399999999</v>
      </c>
      <c r="E2042" s="1"/>
      <c r="H2042" s="2">
        <v>21.6806786</v>
      </c>
      <c r="I2042" s="2">
        <v>5.9232809199999998</v>
      </c>
      <c r="J2042" s="2">
        <v>5.2142689100000004</v>
      </c>
      <c r="L2042" s="2"/>
      <c r="M2042" s="2"/>
    </row>
    <row r="2043" spans="2:13">
      <c r="B2043" s="2"/>
      <c r="C2043" s="1">
        <v>8.742603398</v>
      </c>
      <c r="D2043" s="1">
        <v>0.164895717</v>
      </c>
      <c r="E2043" s="1"/>
      <c r="H2043" s="2">
        <v>8.0298809599999998</v>
      </c>
      <c r="I2043" s="2">
        <v>26.833550800000001</v>
      </c>
      <c r="J2043" s="2">
        <v>2.12046936</v>
      </c>
      <c r="L2043" s="2"/>
      <c r="M2043" s="2"/>
    </row>
    <row r="2044" spans="2:13">
      <c r="B2044" s="2"/>
      <c r="C2044" s="1">
        <v>8.2475112169999996</v>
      </c>
      <c r="D2044" s="1">
        <v>0.21766234700000001</v>
      </c>
      <c r="E2044" s="1"/>
      <c r="H2044" s="2">
        <v>20.157975199999999</v>
      </c>
      <c r="I2044" s="2">
        <v>4.4463473599999999</v>
      </c>
      <c r="J2044" s="2">
        <v>6.0485519300000004</v>
      </c>
      <c r="L2044" s="2"/>
      <c r="M2044" s="2"/>
    </row>
    <row r="2045" spans="2:13">
      <c r="B2045" s="2"/>
      <c r="C2045" s="1">
        <v>11.803722130000001</v>
      </c>
      <c r="D2045" s="1">
        <v>0.48809132399999999</v>
      </c>
      <c r="E2045" s="1"/>
      <c r="H2045" s="2">
        <v>6.4060605900000001</v>
      </c>
      <c r="I2045" s="2">
        <v>1.43029356</v>
      </c>
      <c r="J2045" s="2">
        <v>6.4656934499999998</v>
      </c>
      <c r="L2045" s="2"/>
      <c r="M2045" s="2"/>
    </row>
    <row r="2046" spans="2:13">
      <c r="B2046" s="2"/>
      <c r="C2046" s="1">
        <v>8.9659986509999996</v>
      </c>
      <c r="D2046" s="1">
        <v>1.8666195210000001</v>
      </c>
      <c r="E2046" s="1"/>
      <c r="H2046" s="2">
        <v>2.58740609</v>
      </c>
      <c r="I2046" s="2">
        <v>7.9132545600000004</v>
      </c>
      <c r="J2046" s="2">
        <v>28.2613375</v>
      </c>
      <c r="L2046" s="2"/>
      <c r="M2046" s="2"/>
    </row>
    <row r="2047" spans="2:13">
      <c r="B2047" s="2"/>
      <c r="C2047" s="1">
        <v>6.2369539439999997</v>
      </c>
      <c r="D2047" s="1">
        <v>0.96958681899999999</v>
      </c>
      <c r="E2047" s="1"/>
      <c r="H2047" s="2">
        <v>9.5704284899999994</v>
      </c>
      <c r="I2047" s="2">
        <v>5.9854675999999998</v>
      </c>
      <c r="J2047" s="2">
        <v>20.092316199999999</v>
      </c>
      <c r="L2047" s="2"/>
      <c r="M2047" s="2"/>
    </row>
    <row r="2048" spans="2:13">
      <c r="B2048" s="2"/>
      <c r="C2048" s="1">
        <v>9.1229790990000001</v>
      </c>
      <c r="D2048" s="1">
        <v>36.606849269999998</v>
      </c>
      <c r="E2048" s="1"/>
      <c r="H2048" s="2">
        <v>7.2209447999999998</v>
      </c>
      <c r="I2048" s="2">
        <v>17.241256</v>
      </c>
      <c r="J2048" s="2">
        <v>6.4656934499999998</v>
      </c>
      <c r="L2048" s="2"/>
      <c r="M2048" s="2"/>
    </row>
    <row r="2049" spans="2:13">
      <c r="B2049" s="2"/>
      <c r="C2049" s="1">
        <v>9.1229790990000001</v>
      </c>
      <c r="D2049" s="1">
        <v>0.474899666</v>
      </c>
      <c r="E2049" s="1"/>
      <c r="H2049" s="2">
        <v>29.0503249</v>
      </c>
      <c r="I2049" s="2">
        <v>23.910777</v>
      </c>
      <c r="J2049" s="2">
        <v>13.4875756</v>
      </c>
      <c r="L2049" s="2"/>
      <c r="M2049" s="2"/>
    </row>
    <row r="2050" spans="2:13">
      <c r="B2050" s="2"/>
      <c r="C2050" s="1">
        <v>48.277525400000002</v>
      </c>
      <c r="D2050" s="1">
        <v>247.64698430000001</v>
      </c>
      <c r="E2050" s="1"/>
      <c r="H2050" s="2">
        <v>26.1000871</v>
      </c>
      <c r="I2050" s="2">
        <v>5.9854675999999998</v>
      </c>
      <c r="J2050" s="2">
        <v>16.616136900000001</v>
      </c>
      <c r="L2050" s="2"/>
      <c r="M2050" s="2"/>
    </row>
    <row r="2051" spans="2:13">
      <c r="B2051" s="2"/>
      <c r="C2051" s="1">
        <v>34.408906610000003</v>
      </c>
      <c r="D2051" s="1">
        <v>119.17343289999999</v>
      </c>
      <c r="E2051" s="1"/>
      <c r="H2051" s="2">
        <v>10.8552094</v>
      </c>
      <c r="I2051" s="2">
        <v>16.0130692</v>
      </c>
      <c r="J2051" s="2">
        <v>6.7437877899999998</v>
      </c>
      <c r="L2051" s="2"/>
      <c r="M2051" s="2"/>
    </row>
    <row r="2052" spans="2:13">
      <c r="B2052" s="2"/>
      <c r="C2052" s="1">
        <v>9.7146746319999995</v>
      </c>
      <c r="D2052" s="1">
        <v>4.1817553939999996</v>
      </c>
      <c r="E2052" s="1"/>
      <c r="H2052" s="2">
        <v>15.0366956</v>
      </c>
      <c r="I2052" s="2">
        <v>18.687096199999999</v>
      </c>
      <c r="J2052" s="2">
        <v>93.439698899999996</v>
      </c>
      <c r="L2052" s="2"/>
      <c r="M2052" s="2"/>
    </row>
    <row r="2053" spans="2:13">
      <c r="B2053" s="2"/>
      <c r="C2053" s="1">
        <v>7.8188338399999999</v>
      </c>
      <c r="D2053" s="1">
        <v>5.2700671290000001</v>
      </c>
      <c r="E2053" s="1"/>
      <c r="H2053" s="2">
        <v>20.996651700000001</v>
      </c>
      <c r="I2053" s="2">
        <v>7.6800545299999996</v>
      </c>
      <c r="J2053" s="2">
        <v>77.657844999999995</v>
      </c>
      <c r="L2053" s="2"/>
      <c r="M2053" s="2"/>
    </row>
    <row r="2054" spans="2:13">
      <c r="B2054" s="2"/>
      <c r="C2054" s="1">
        <v>18.233882779999998</v>
      </c>
      <c r="D2054" s="1">
        <v>2.1502401550000001</v>
      </c>
      <c r="E2054" s="1"/>
      <c r="H2054" s="2">
        <v>14.447837699999999</v>
      </c>
      <c r="I2054" s="2">
        <v>55.175128600000001</v>
      </c>
      <c r="J2054" s="2">
        <v>21.552311499999998</v>
      </c>
      <c r="L2054" s="2"/>
      <c r="M2054" s="2"/>
    </row>
    <row r="2055" spans="2:13">
      <c r="B2055" s="2"/>
      <c r="C2055" s="1">
        <v>9.2618464179999993</v>
      </c>
      <c r="D2055" s="1">
        <v>1.648957174</v>
      </c>
      <c r="E2055" s="1"/>
      <c r="H2055" s="2">
        <v>96.626234199999999</v>
      </c>
      <c r="I2055" s="2">
        <v>58.3466491</v>
      </c>
      <c r="J2055" s="2">
        <v>35.630837499999998</v>
      </c>
      <c r="L2055" s="2"/>
      <c r="M2055" s="2"/>
    </row>
    <row r="2056" spans="2:13">
      <c r="B2056" s="2"/>
      <c r="C2056" s="1">
        <v>73.768735030000002</v>
      </c>
      <c r="D2056" s="1">
        <v>1.9589611229999999</v>
      </c>
      <c r="E2056" s="1"/>
      <c r="H2056" s="2">
        <v>98.5355615</v>
      </c>
      <c r="I2056" s="2">
        <v>29.600857900000001</v>
      </c>
      <c r="J2056" s="2">
        <v>52.003641899999998</v>
      </c>
      <c r="L2056" s="2"/>
      <c r="M2056" s="2"/>
    </row>
    <row r="2057" spans="2:13">
      <c r="B2057" s="2"/>
      <c r="C2057" s="1">
        <v>63.673684690000002</v>
      </c>
      <c r="D2057" s="1">
        <v>17.696608399999999</v>
      </c>
      <c r="E2057" s="1"/>
      <c r="H2057" s="2">
        <v>30.531391800000002</v>
      </c>
      <c r="I2057" s="2">
        <v>48.894274299999999</v>
      </c>
      <c r="J2057" s="2">
        <v>194.10985099999999</v>
      </c>
      <c r="L2057" s="2"/>
      <c r="M2057" s="2"/>
    </row>
    <row r="2058" spans="2:13">
      <c r="B2058" s="2"/>
      <c r="C2058" s="1">
        <v>37.92889126</v>
      </c>
      <c r="D2058" s="1">
        <v>1.615978031</v>
      </c>
      <c r="E2058" s="1"/>
      <c r="H2058" s="2">
        <v>40.595509300000003</v>
      </c>
      <c r="I2058" s="2">
        <v>47.681634099999997</v>
      </c>
      <c r="J2058" s="2">
        <v>43.660811699999996</v>
      </c>
      <c r="L2058" s="2"/>
      <c r="M2058" s="2"/>
    </row>
    <row r="2059" spans="2:13">
      <c r="B2059" s="2"/>
      <c r="C2059" s="1">
        <v>24.21725292</v>
      </c>
      <c r="D2059" s="1">
        <v>1.3983156839999999</v>
      </c>
      <c r="E2059" s="1"/>
      <c r="H2059" s="2">
        <v>42.814135700000001</v>
      </c>
      <c r="I2059" s="2">
        <v>201.609205</v>
      </c>
      <c r="J2059" s="2">
        <v>20.4746959</v>
      </c>
      <c r="L2059" s="2"/>
      <c r="M2059" s="2"/>
    </row>
    <row r="2060" spans="2:13">
      <c r="B2060" s="2"/>
      <c r="C2060" s="1">
        <v>56.10843465</v>
      </c>
      <c r="D2060" s="1">
        <v>3.4430225800000001</v>
      </c>
      <c r="E2060" s="1"/>
      <c r="H2060" s="2">
        <v>222.61209199999999</v>
      </c>
      <c r="I2060" s="2">
        <v>33.922831899999998</v>
      </c>
      <c r="J2060" s="2">
        <v>8.7252099800000007</v>
      </c>
      <c r="L2060" s="2"/>
      <c r="M2060" s="2"/>
    </row>
    <row r="2061" spans="2:13">
      <c r="B2061" s="2"/>
      <c r="C2061" s="1">
        <v>253.4268198</v>
      </c>
      <c r="D2061" s="1">
        <v>0.27042897700000001</v>
      </c>
      <c r="E2061" s="1"/>
      <c r="H2061" s="2">
        <v>38.811091300000001</v>
      </c>
      <c r="I2061" s="2">
        <v>42.4579533</v>
      </c>
      <c r="J2061" s="2">
        <v>11.2628208</v>
      </c>
      <c r="L2061" s="2"/>
      <c r="M2061" s="2"/>
    </row>
    <row r="2062" spans="2:13">
      <c r="B2062" s="2"/>
      <c r="C2062" s="1">
        <v>28.491951270000001</v>
      </c>
      <c r="D2062" s="1">
        <v>0.87064938800000002</v>
      </c>
      <c r="E2062" s="1"/>
      <c r="H2062" s="2">
        <v>25.344683499999999</v>
      </c>
      <c r="I2062" s="2">
        <v>11.4112551</v>
      </c>
      <c r="J2062" s="2">
        <v>15.608044899999999</v>
      </c>
      <c r="L2062" s="2"/>
      <c r="M2062" s="2"/>
    </row>
    <row r="2063" spans="2:13">
      <c r="B2063" s="2"/>
      <c r="C2063" s="1">
        <v>20.11161044</v>
      </c>
      <c r="D2063" s="1">
        <v>0.29021646299999998</v>
      </c>
      <c r="E2063" s="1"/>
      <c r="H2063" s="2">
        <v>12.5087701</v>
      </c>
      <c r="I2063" s="2">
        <v>16.728215899999999</v>
      </c>
      <c r="J2063" s="2">
        <v>2.7809434199999998</v>
      </c>
      <c r="L2063" s="2"/>
      <c r="M2063" s="2"/>
    </row>
    <row r="2064" spans="2:13">
      <c r="B2064" s="2"/>
      <c r="C2064" s="1">
        <v>3.9848882890000001</v>
      </c>
      <c r="D2064" s="1">
        <v>1.6027863739999999</v>
      </c>
      <c r="E2064" s="1"/>
      <c r="H2064" s="2">
        <v>12.7585886</v>
      </c>
      <c r="I2064" s="2">
        <v>11.4734418</v>
      </c>
      <c r="J2064" s="2">
        <v>20.439934099999999</v>
      </c>
      <c r="L2064" s="2"/>
      <c r="M2064" s="2"/>
    </row>
    <row r="2065" spans="2:13">
      <c r="B2065" s="2"/>
      <c r="C2065" s="1">
        <v>5.5607304759999998</v>
      </c>
      <c r="D2065" s="1">
        <v>0.45511217999999998</v>
      </c>
      <c r="E2065" s="1"/>
      <c r="H2065" s="2">
        <v>18.004777499999999</v>
      </c>
      <c r="I2065" s="2">
        <v>3.8400272599999998</v>
      </c>
      <c r="J2065" s="2">
        <v>14.6694765</v>
      </c>
      <c r="L2065" s="2"/>
      <c r="M2065" s="2"/>
    </row>
    <row r="2066" spans="2:13">
      <c r="B2066" s="2"/>
      <c r="C2066" s="1">
        <v>27.169692879999999</v>
      </c>
      <c r="D2066" s="1">
        <v>8.2909566730000002</v>
      </c>
      <c r="E2066" s="1"/>
      <c r="H2066" s="2">
        <v>5.0499029100000001</v>
      </c>
      <c r="I2066" s="2">
        <v>14.4739489</v>
      </c>
      <c r="J2066" s="2">
        <v>97.680637599999997</v>
      </c>
      <c r="L2066" s="2"/>
      <c r="M2066" s="2"/>
    </row>
    <row r="2067" spans="2:13">
      <c r="B2067" s="2"/>
      <c r="C2067" s="1">
        <v>6.7320461250000001</v>
      </c>
      <c r="D2067" s="1">
        <v>1.767682091</v>
      </c>
      <c r="E2067" s="1"/>
      <c r="H2067" s="2">
        <v>25.921645300000002</v>
      </c>
      <c r="I2067" s="2">
        <v>15.608855800000001</v>
      </c>
      <c r="J2067" s="2">
        <v>27.670387000000002</v>
      </c>
      <c r="L2067" s="2"/>
      <c r="M2067" s="2"/>
    </row>
    <row r="2068" spans="2:13">
      <c r="B2068" s="2"/>
      <c r="C2068" s="1">
        <v>16.108609019999999</v>
      </c>
      <c r="D2068" s="1">
        <v>1.0157576189999999</v>
      </c>
      <c r="E2068" s="1"/>
      <c r="H2068" s="2">
        <v>19.8248839</v>
      </c>
      <c r="I2068" s="2">
        <v>104.55135</v>
      </c>
      <c r="J2068" s="2">
        <v>61.1807552</v>
      </c>
      <c r="L2068" s="2"/>
      <c r="M2068" s="2"/>
    </row>
    <row r="2069" spans="2:13">
      <c r="B2069" s="2"/>
      <c r="C2069" s="1">
        <v>14.47842745</v>
      </c>
      <c r="D2069" s="1">
        <v>1.2400157949999999</v>
      </c>
      <c r="E2069" s="1"/>
      <c r="H2069" s="2">
        <v>93.390489599999995</v>
      </c>
      <c r="I2069" s="2">
        <v>36.985525699999997</v>
      </c>
      <c r="J2069" s="2">
        <v>22.317070900000001</v>
      </c>
      <c r="L2069" s="2"/>
      <c r="M2069" s="2"/>
    </row>
    <row r="2070" spans="2:13">
      <c r="B2070" s="2"/>
      <c r="C2070" s="1">
        <v>117.1315649</v>
      </c>
      <c r="D2070" s="1">
        <v>0.89703270300000004</v>
      </c>
      <c r="E2070" s="1"/>
      <c r="H2070" s="2">
        <v>36.973140800000003</v>
      </c>
      <c r="I2070" s="2">
        <v>47.743820700000001</v>
      </c>
      <c r="J2070" s="2">
        <v>15.6775685</v>
      </c>
      <c r="L2070" s="2"/>
      <c r="M2070" s="2"/>
    </row>
    <row r="2071" spans="2:13">
      <c r="B2071" s="2"/>
      <c r="C2071" s="1">
        <v>41.485102179999998</v>
      </c>
      <c r="D2071" s="1">
        <v>0.36936640700000001</v>
      </c>
      <c r="E2071" s="1"/>
      <c r="H2071" s="2">
        <v>54.954126100000003</v>
      </c>
      <c r="I2071" s="2">
        <v>26.320510800000001</v>
      </c>
      <c r="J2071" s="2">
        <v>14.7390001</v>
      </c>
      <c r="L2071" s="2"/>
      <c r="M2071" s="2"/>
    </row>
    <row r="2072" spans="2:13">
      <c r="B2072" s="2"/>
      <c r="C2072" s="1">
        <v>20.987078319999998</v>
      </c>
      <c r="D2072" s="1">
        <v>4.5049510010000002</v>
      </c>
      <c r="E2072" s="1"/>
      <c r="H2072" s="2">
        <v>23.262862500000001</v>
      </c>
      <c r="I2072" s="2">
        <v>14.940348999999999</v>
      </c>
      <c r="J2072" s="2">
        <v>103.068715</v>
      </c>
      <c r="L2072" s="2"/>
      <c r="M2072" s="2"/>
    </row>
    <row r="2073" spans="2:13">
      <c r="B2073" s="2"/>
      <c r="C2073" s="1">
        <v>14.62333248</v>
      </c>
      <c r="D2073" s="1">
        <v>4.0894137930000003</v>
      </c>
      <c r="E2073" s="1"/>
      <c r="H2073" s="2">
        <v>22.120835</v>
      </c>
      <c r="I2073" s="2">
        <v>19.8220031</v>
      </c>
      <c r="J2073" s="2">
        <v>40.8451065</v>
      </c>
      <c r="L2073" s="2"/>
      <c r="M2073" s="2"/>
    </row>
    <row r="2074" spans="2:13">
      <c r="B2074" s="2"/>
      <c r="C2074" s="1">
        <v>32.615706879999998</v>
      </c>
      <c r="D2074" s="1">
        <v>4.4126093989999999</v>
      </c>
      <c r="E2074" s="1"/>
      <c r="H2074" s="2">
        <v>18.1713232</v>
      </c>
      <c r="I2074" s="2">
        <v>121.372846</v>
      </c>
      <c r="J2074" s="2">
        <v>45.816042799999998</v>
      </c>
      <c r="L2074" s="2"/>
      <c r="M2074" s="2"/>
    </row>
    <row r="2075" spans="2:13">
      <c r="B2075" s="2"/>
      <c r="C2075" s="1">
        <v>6.5871410959999999</v>
      </c>
      <c r="D2075" s="1">
        <v>0.164895717</v>
      </c>
      <c r="E2075" s="1"/>
      <c r="H2075" s="2">
        <v>100.34972</v>
      </c>
      <c r="I2075" s="2">
        <v>40.0171262</v>
      </c>
      <c r="J2075" s="2">
        <v>3.1980849299999998</v>
      </c>
      <c r="L2075" s="2"/>
      <c r="M2075" s="2"/>
    </row>
    <row r="2076" spans="2:13">
      <c r="B2076" s="2"/>
      <c r="C2076" s="1">
        <v>41.962081230000003</v>
      </c>
      <c r="D2076" s="1">
        <v>3.1857852609999999</v>
      </c>
      <c r="E2076" s="1"/>
      <c r="H2076" s="2">
        <v>51.3971862</v>
      </c>
      <c r="I2076" s="2">
        <v>37.483019200000001</v>
      </c>
      <c r="J2076" s="2">
        <v>35.005125300000003</v>
      </c>
      <c r="L2076" s="2"/>
      <c r="M2076" s="2"/>
    </row>
    <row r="2077" spans="2:13">
      <c r="B2077" s="2"/>
      <c r="C2077" s="1">
        <v>66.523483589999998</v>
      </c>
      <c r="D2077" s="1">
        <v>1.5170406000000001</v>
      </c>
      <c r="E2077" s="1"/>
      <c r="H2077" s="2">
        <v>65.184789199999997</v>
      </c>
      <c r="I2077" s="2">
        <v>4.6484540499999998</v>
      </c>
      <c r="J2077" s="2">
        <v>30.520854</v>
      </c>
      <c r="L2077" s="2"/>
      <c r="M2077" s="2"/>
    </row>
    <row r="2078" spans="2:13">
      <c r="B2078" s="2"/>
      <c r="C2078" s="1">
        <v>96.712031240000002</v>
      </c>
      <c r="D2078" s="1">
        <v>2.2030067849999999</v>
      </c>
      <c r="E2078" s="1"/>
      <c r="H2078" s="2">
        <v>3.4796150799999999</v>
      </c>
      <c r="I2078" s="2">
        <v>39.815019499999998</v>
      </c>
      <c r="J2078" s="2">
        <v>41.714151299999997</v>
      </c>
      <c r="L2078" s="2"/>
      <c r="M2078" s="2"/>
    </row>
    <row r="2079" spans="2:13">
      <c r="B2079" s="2"/>
      <c r="C2079" s="1">
        <v>3.363004208</v>
      </c>
      <c r="D2079" s="1">
        <v>1.108099221</v>
      </c>
      <c r="E2079" s="1"/>
      <c r="H2079" s="2">
        <v>38.049739600000002</v>
      </c>
      <c r="I2079" s="2">
        <v>30.238271399999999</v>
      </c>
      <c r="J2079" s="2">
        <v>22.456118100000001</v>
      </c>
      <c r="L2079" s="2"/>
      <c r="M2079" s="2"/>
    </row>
    <row r="2080" spans="2:13">
      <c r="B2080" s="2"/>
      <c r="C2080" s="1">
        <v>44.377165040000001</v>
      </c>
      <c r="D2080" s="1">
        <v>0.50128298100000002</v>
      </c>
      <c r="E2080" s="1"/>
      <c r="H2080" s="2">
        <v>33.517317900000002</v>
      </c>
      <c r="I2080" s="2">
        <v>35.042192100000001</v>
      </c>
      <c r="J2080" s="2">
        <v>9.3509222399999992</v>
      </c>
      <c r="L2080" s="2"/>
      <c r="M2080" s="2"/>
    </row>
    <row r="2081" spans="2:13">
      <c r="B2081" s="2"/>
      <c r="C2081" s="1">
        <v>31.70401274</v>
      </c>
      <c r="D2081" s="1">
        <v>476.51564430000002</v>
      </c>
      <c r="E2081" s="1"/>
      <c r="H2081" s="2">
        <v>54.204670499999999</v>
      </c>
      <c r="I2081" s="2">
        <v>35.088832099999998</v>
      </c>
      <c r="J2081" s="2">
        <v>37.647021500000001</v>
      </c>
      <c r="L2081" s="2"/>
      <c r="M2081" s="2"/>
    </row>
    <row r="2082" spans="2:13">
      <c r="B2082" s="2"/>
      <c r="C2082" s="1">
        <v>80.078141489999993</v>
      </c>
      <c r="D2082" s="1">
        <v>3.8255806450000001</v>
      </c>
      <c r="E2082" s="1"/>
      <c r="H2082" s="2">
        <v>27.8369207</v>
      </c>
      <c r="I2082" s="2">
        <v>6.99600109</v>
      </c>
      <c r="J2082" s="2">
        <v>53.915540499999999</v>
      </c>
      <c r="L2082" s="2"/>
      <c r="M2082" s="2"/>
    </row>
    <row r="2083" spans="2:13">
      <c r="B2083" s="2"/>
      <c r="C2083" s="1">
        <v>10.15542743</v>
      </c>
      <c r="D2083" s="1">
        <v>0.17808737499999999</v>
      </c>
      <c r="E2083" s="1"/>
      <c r="H2083" s="2">
        <v>11.2299372</v>
      </c>
      <c r="I2083" s="2">
        <v>32.663551699999999</v>
      </c>
      <c r="J2083" s="2">
        <v>5.1099835300000001</v>
      </c>
      <c r="L2083" s="2"/>
      <c r="M2083" s="2"/>
    </row>
    <row r="2084" spans="2:13">
      <c r="B2084" s="2"/>
      <c r="C2084" s="1">
        <v>11.41127101</v>
      </c>
      <c r="D2084" s="1">
        <v>0.40894137899999999</v>
      </c>
      <c r="E2084" s="1"/>
      <c r="H2084" s="2">
        <v>45.401541799999997</v>
      </c>
      <c r="I2084" s="2">
        <v>50.759874500000002</v>
      </c>
      <c r="J2084" s="2">
        <v>15.6775685</v>
      </c>
      <c r="L2084" s="2"/>
      <c r="M2084" s="2"/>
    </row>
    <row r="2085" spans="2:13">
      <c r="B2085" s="2"/>
      <c r="C2085" s="1">
        <v>86.224529790000005</v>
      </c>
      <c r="D2085" s="1">
        <v>0.29681229100000001</v>
      </c>
      <c r="E2085" s="1"/>
      <c r="H2085" s="2">
        <v>75.076412899999994</v>
      </c>
      <c r="I2085" s="2">
        <v>6.0632009399999998</v>
      </c>
      <c r="J2085" s="2">
        <v>6.2223609</v>
      </c>
      <c r="L2085" s="2"/>
      <c r="M2085" s="2"/>
    </row>
    <row r="2086" spans="2:13">
      <c r="B2086" s="2"/>
      <c r="C2086" s="1">
        <v>36.811914999999999</v>
      </c>
      <c r="D2086" s="1">
        <v>3.2979143000000002E-2</v>
      </c>
      <c r="E2086" s="1"/>
      <c r="H2086" s="2">
        <v>6.1205537100000003</v>
      </c>
      <c r="I2086" s="2">
        <v>9.3124547799999995</v>
      </c>
      <c r="J2086" s="2">
        <v>1.00809199</v>
      </c>
      <c r="L2086" s="2"/>
      <c r="M2086" s="2"/>
    </row>
    <row r="2087" spans="2:13">
      <c r="B2087" s="2"/>
      <c r="C2087" s="1">
        <v>5.0294120380000003</v>
      </c>
      <c r="D2087" s="1">
        <v>0.712349499</v>
      </c>
      <c r="E2087" s="1"/>
      <c r="H2087" s="2">
        <v>20.508910799999999</v>
      </c>
      <c r="I2087" s="2">
        <v>7.07373443</v>
      </c>
      <c r="J2087" s="2">
        <v>12.792339699999999</v>
      </c>
      <c r="L2087" s="2"/>
      <c r="M2087" s="2"/>
    </row>
    <row r="2088" spans="2:13">
      <c r="B2088" s="2"/>
      <c r="C2088" s="1">
        <v>6.4965754530000002</v>
      </c>
      <c r="D2088" s="1">
        <v>0.41553720799999999</v>
      </c>
      <c r="E2088" s="1"/>
      <c r="H2088" s="2">
        <v>7.5302439200000002</v>
      </c>
      <c r="I2088" s="2">
        <v>0.93280014</v>
      </c>
      <c r="J2088" s="2">
        <v>9.1771132800000004</v>
      </c>
      <c r="L2088" s="2"/>
      <c r="M2088" s="2"/>
    </row>
    <row r="2089" spans="2:13">
      <c r="B2089" s="2"/>
      <c r="C2089" s="1">
        <v>2.9041382840000001</v>
      </c>
      <c r="D2089" s="1">
        <v>0.56064543899999997</v>
      </c>
      <c r="E2089" s="1"/>
      <c r="H2089" s="2">
        <v>1.2312484100000001</v>
      </c>
      <c r="I2089" s="2">
        <v>19.6976297</v>
      </c>
      <c r="J2089" s="2">
        <v>6.1875991099999998</v>
      </c>
      <c r="L2089" s="2"/>
      <c r="M2089" s="2"/>
    </row>
    <row r="2090" spans="2:13">
      <c r="B2090" s="2"/>
      <c r="C2090" s="1">
        <v>1.3282960960000001</v>
      </c>
      <c r="D2090" s="1">
        <v>0.39574972200000003</v>
      </c>
      <c r="E2090" s="1"/>
      <c r="H2090" s="2">
        <v>16.951970899999999</v>
      </c>
      <c r="I2090" s="2">
        <v>10.8826684</v>
      </c>
      <c r="J2090" s="2">
        <v>9.8723491400000007</v>
      </c>
      <c r="L2090" s="2"/>
      <c r="M2090" s="2"/>
    </row>
    <row r="2091" spans="2:13">
      <c r="B2091" s="2"/>
      <c r="C2091" s="1">
        <v>20.52217469</v>
      </c>
      <c r="D2091" s="1">
        <v>5.0787880970000003</v>
      </c>
      <c r="E2091" s="1"/>
      <c r="H2091" s="2">
        <v>9.0529472700000007</v>
      </c>
      <c r="I2091" s="2">
        <v>6.6850677000000003</v>
      </c>
      <c r="J2091" s="2">
        <v>18.354226600000001</v>
      </c>
      <c r="L2091" s="2"/>
      <c r="M2091" s="2"/>
    </row>
    <row r="2092" spans="2:13">
      <c r="B2092" s="2"/>
      <c r="C2092" s="1">
        <v>15.5229512</v>
      </c>
      <c r="D2092" s="1">
        <v>1.048736763</v>
      </c>
      <c r="E2092" s="1"/>
      <c r="H2092" s="2">
        <v>9.1600123500000006</v>
      </c>
      <c r="I2092" s="2">
        <v>11.6444551</v>
      </c>
      <c r="J2092" s="2">
        <v>29.443238399999998</v>
      </c>
      <c r="L2092" s="2"/>
      <c r="M2092" s="2"/>
    </row>
    <row r="2093" spans="2:13">
      <c r="B2093" s="2"/>
      <c r="C2093" s="1">
        <v>13.77805315</v>
      </c>
      <c r="D2093" s="1">
        <v>1.352144883</v>
      </c>
      <c r="E2093" s="1"/>
      <c r="H2093" s="2">
        <v>12.0091331</v>
      </c>
      <c r="I2093" s="2">
        <v>37.762859200000001</v>
      </c>
      <c r="J2093" s="2">
        <v>18.0066086</v>
      </c>
      <c r="L2093" s="2"/>
      <c r="M2093" s="2"/>
    </row>
    <row r="2094" spans="2:13">
      <c r="B2094" s="2"/>
      <c r="C2094" s="1">
        <v>5.4399762860000003</v>
      </c>
      <c r="D2094" s="1">
        <v>4.1355845929999999</v>
      </c>
      <c r="E2094" s="1"/>
      <c r="H2094" s="2">
        <v>27.295647200000001</v>
      </c>
      <c r="I2094" s="2">
        <v>33.285418499999999</v>
      </c>
      <c r="J2094" s="2">
        <v>45.850804599999996</v>
      </c>
      <c r="L2094" s="2"/>
      <c r="M2094" s="2"/>
    </row>
    <row r="2095" spans="2:13">
      <c r="B2095" s="2"/>
      <c r="C2095" s="1">
        <v>30.695715249999999</v>
      </c>
      <c r="D2095" s="1">
        <v>4.0564346489999998</v>
      </c>
      <c r="E2095" s="1"/>
      <c r="H2095" s="2">
        <v>34.469007499999996</v>
      </c>
      <c r="I2095" s="2">
        <v>30.797951399999999</v>
      </c>
      <c r="J2095" s="2">
        <v>15.2256652</v>
      </c>
      <c r="L2095" s="2"/>
      <c r="M2095" s="2"/>
    </row>
    <row r="2096" spans="2:13">
      <c r="B2096" s="2"/>
      <c r="C2096" s="1">
        <v>31.921370280000001</v>
      </c>
      <c r="D2096" s="1">
        <v>0.48809132399999999</v>
      </c>
      <c r="E2096" s="1"/>
      <c r="H2096" s="2">
        <v>30.2161446</v>
      </c>
      <c r="I2096" s="2">
        <v>58.906329100000001</v>
      </c>
      <c r="J2096" s="2">
        <v>7.8909269499999999</v>
      </c>
      <c r="L2096" s="2"/>
      <c r="M2096" s="2"/>
    </row>
    <row r="2097" spans="2:13">
      <c r="B2097" s="2"/>
      <c r="C2097" s="1">
        <v>14.67163416</v>
      </c>
      <c r="D2097" s="1">
        <v>1.3059740820000001</v>
      </c>
      <c r="E2097" s="1"/>
      <c r="H2097" s="2">
        <v>56.292439600000002</v>
      </c>
      <c r="I2097" s="2">
        <v>11.4268018</v>
      </c>
      <c r="J2097" s="2">
        <v>24.6808728</v>
      </c>
      <c r="L2097" s="2"/>
      <c r="M2097" s="2"/>
    </row>
    <row r="2098" spans="2:13">
      <c r="B2098" s="2"/>
      <c r="C2098" s="1">
        <v>39.667751610000003</v>
      </c>
      <c r="D2098" s="1">
        <v>0.80469110099999996</v>
      </c>
      <c r="E2098" s="1"/>
      <c r="H2098" s="2">
        <v>22.638316199999998</v>
      </c>
      <c r="I2098" s="2">
        <v>15.189095699999999</v>
      </c>
      <c r="J2098" s="2">
        <v>14.460905800000001</v>
      </c>
      <c r="L2098" s="2"/>
      <c r="M2098" s="2"/>
    </row>
    <row r="2099" spans="2:13">
      <c r="B2099" s="2"/>
      <c r="C2099" s="1">
        <v>9.5697696039999993</v>
      </c>
      <c r="D2099" s="1">
        <v>0.50128298100000002</v>
      </c>
      <c r="E2099" s="1"/>
      <c r="H2099" s="2">
        <v>8.7317520399999999</v>
      </c>
      <c r="I2099" s="2">
        <v>21.967443400000001</v>
      </c>
      <c r="J2099" s="2">
        <v>10.741394</v>
      </c>
      <c r="L2099" s="2"/>
      <c r="M2099" s="2"/>
    </row>
    <row r="2100" spans="2:13">
      <c r="B2100" s="2"/>
      <c r="C2100" s="1">
        <v>6.1403505909999998</v>
      </c>
      <c r="D2100" s="1">
        <v>1.21363248</v>
      </c>
      <c r="E2100" s="1"/>
      <c r="H2100" s="2">
        <v>29.7700402</v>
      </c>
      <c r="I2100" s="2">
        <v>11.7532818</v>
      </c>
      <c r="J2100" s="2">
        <v>16.3032808</v>
      </c>
      <c r="L2100" s="2"/>
      <c r="M2100" s="2"/>
    </row>
    <row r="2101" spans="2:13">
      <c r="B2101" s="2"/>
      <c r="C2101" s="1">
        <v>30.876846530000002</v>
      </c>
      <c r="D2101" s="1">
        <v>1.6291696879999999</v>
      </c>
      <c r="E2101" s="1"/>
      <c r="H2101" s="2">
        <v>15.6612419</v>
      </c>
      <c r="I2101" s="2">
        <v>16.6971226</v>
      </c>
      <c r="J2101" s="2">
        <v>35.630837499999998</v>
      </c>
      <c r="L2101" s="2"/>
      <c r="M2101" s="2"/>
    </row>
    <row r="2102" spans="2:13">
      <c r="B2102" s="2"/>
      <c r="C2102" s="1">
        <v>39.468507189999997</v>
      </c>
      <c r="D2102" s="1">
        <v>6.6354036699999996</v>
      </c>
      <c r="E2102" s="1"/>
      <c r="H2102" s="2">
        <v>19.2241298</v>
      </c>
      <c r="I2102" s="2">
        <v>25.527630599999998</v>
      </c>
      <c r="J2102" s="2">
        <v>59.581712699999997</v>
      </c>
      <c r="L2102" s="2"/>
      <c r="M2102" s="2"/>
    </row>
    <row r="2103" spans="2:13">
      <c r="B2103" s="2"/>
      <c r="C2103" s="1">
        <v>12.80598191</v>
      </c>
      <c r="D2103" s="1">
        <v>0.94320350399999997</v>
      </c>
      <c r="E2103" s="1"/>
      <c r="H2103" s="2">
        <v>22.995199800000002</v>
      </c>
      <c r="I2103" s="2">
        <v>37.280912499999999</v>
      </c>
      <c r="J2103" s="2">
        <v>12.757577899999999</v>
      </c>
      <c r="L2103" s="2"/>
      <c r="M2103" s="2"/>
    </row>
    <row r="2104" spans="2:13">
      <c r="B2104" s="2"/>
      <c r="C2104" s="1">
        <v>10.56599168</v>
      </c>
      <c r="D2104" s="1">
        <v>459.70287689999998</v>
      </c>
      <c r="E2104" s="1"/>
      <c r="H2104" s="2">
        <v>43.652812099999998</v>
      </c>
      <c r="I2104" s="2">
        <v>86.890333499999997</v>
      </c>
      <c r="J2104" s="2">
        <v>50.230790499999998</v>
      </c>
      <c r="L2104" s="2"/>
      <c r="M2104" s="2"/>
    </row>
    <row r="2105" spans="2:13">
      <c r="B2105" s="2"/>
      <c r="C2105" s="1">
        <v>49.889593840000003</v>
      </c>
      <c r="D2105" s="1">
        <v>3.2979143000000002E-2</v>
      </c>
      <c r="E2105" s="1"/>
      <c r="H2105" s="2">
        <v>80.982836500000005</v>
      </c>
      <c r="I2105" s="2">
        <v>17.287896</v>
      </c>
      <c r="J2105" s="2">
        <v>0.97333020000000003</v>
      </c>
      <c r="L2105" s="2"/>
      <c r="M2105" s="2"/>
    </row>
    <row r="2106" spans="2:13">
      <c r="B2106" s="2"/>
      <c r="C2106" s="1">
        <v>91.646392939999998</v>
      </c>
      <c r="D2106" s="1">
        <v>0.105533259</v>
      </c>
      <c r="E2106" s="1"/>
      <c r="H2106" s="2">
        <v>16.8211136</v>
      </c>
      <c r="I2106" s="2">
        <v>37.809499199999998</v>
      </c>
      <c r="J2106" s="2">
        <v>4.7623655999999999</v>
      </c>
      <c r="L2106" s="2"/>
      <c r="M2106" s="2"/>
    </row>
    <row r="2107" spans="2:13">
      <c r="B2107" s="2"/>
      <c r="C2107" s="1">
        <v>33.460986210000002</v>
      </c>
      <c r="D2107" s="1">
        <v>0.72554115699999999</v>
      </c>
      <c r="E2107" s="1"/>
      <c r="H2107" s="2">
        <v>53.145915799999997</v>
      </c>
      <c r="I2107" s="2">
        <v>1.9744269699999999</v>
      </c>
      <c r="J2107" s="2">
        <v>17.450420000000001</v>
      </c>
      <c r="L2107" s="2"/>
      <c r="M2107" s="2"/>
    </row>
    <row r="2108" spans="2:13">
      <c r="B2108" s="2"/>
      <c r="C2108" s="1">
        <v>45.379424819999997</v>
      </c>
      <c r="D2108" s="1">
        <v>9.2407560049999997</v>
      </c>
      <c r="E2108" s="1"/>
      <c r="H2108" s="2">
        <v>1.3977940900000001</v>
      </c>
      <c r="I2108" s="2">
        <v>5.8766409099999999</v>
      </c>
      <c r="J2108" s="2">
        <v>109.291076</v>
      </c>
      <c r="L2108" s="2"/>
      <c r="M2108" s="2"/>
    </row>
    <row r="2109" spans="2:13">
      <c r="B2109" s="2"/>
      <c r="C2109" s="1">
        <v>1.7147095059999999</v>
      </c>
      <c r="D2109" s="1">
        <v>242.76607100000001</v>
      </c>
      <c r="E2109" s="1"/>
      <c r="H2109" s="2">
        <v>6.6320868700000002</v>
      </c>
      <c r="I2109" s="2">
        <v>21.003549899999999</v>
      </c>
      <c r="J2109" s="2">
        <v>16.477089800000002</v>
      </c>
      <c r="L2109" s="2"/>
      <c r="M2109" s="2"/>
    </row>
    <row r="2110" spans="2:13">
      <c r="B2110" s="2"/>
      <c r="C2110" s="1">
        <v>4.950921814</v>
      </c>
      <c r="D2110" s="1">
        <v>3.0472728579999999</v>
      </c>
      <c r="E2110" s="1"/>
      <c r="H2110" s="2">
        <v>15.9229565</v>
      </c>
      <c r="I2110" s="2">
        <v>127.622606</v>
      </c>
      <c r="J2110" s="2">
        <v>13.974240699999999</v>
      </c>
      <c r="L2110" s="2"/>
      <c r="M2110" s="2"/>
    </row>
    <row r="2111" spans="2:13">
      <c r="B2111" s="2"/>
      <c r="C2111" s="1">
        <v>12.612775210000001</v>
      </c>
      <c r="D2111" s="1">
        <v>1.4708698</v>
      </c>
      <c r="E2111" s="1"/>
      <c r="H2111" s="2">
        <v>159.68161799999999</v>
      </c>
      <c r="I2111" s="2">
        <v>20.1329365</v>
      </c>
      <c r="J2111" s="2">
        <v>37.855592299999998</v>
      </c>
      <c r="L2111" s="2"/>
      <c r="M2111" s="2"/>
    </row>
    <row r="2112" spans="2:13">
      <c r="B2112" s="2"/>
      <c r="C2112" s="1">
        <v>140.41297280000001</v>
      </c>
      <c r="D2112" s="1">
        <v>1.207036652</v>
      </c>
      <c r="E2112" s="1"/>
      <c r="H2112" s="2">
        <v>24.369201700000001</v>
      </c>
      <c r="I2112" s="2">
        <v>11.7532818</v>
      </c>
      <c r="J2112" s="2">
        <v>15.4689978</v>
      </c>
      <c r="L2112" s="2"/>
      <c r="M2112" s="2"/>
    </row>
    <row r="2113" spans="2:13">
      <c r="B2113" s="2"/>
      <c r="C2113" s="1">
        <v>19.079162109999999</v>
      </c>
      <c r="D2113" s="1">
        <v>9.1616060610000005</v>
      </c>
      <c r="E2113" s="1"/>
      <c r="H2113" s="2">
        <v>18.0642581</v>
      </c>
      <c r="I2113" s="2">
        <v>32.741285099999999</v>
      </c>
      <c r="J2113" s="2">
        <v>139.70764500000001</v>
      </c>
      <c r="L2113" s="2"/>
      <c r="M2113" s="2"/>
    </row>
    <row r="2114" spans="2:13">
      <c r="B2114" s="2"/>
      <c r="C2114" s="1">
        <v>14.27314533</v>
      </c>
      <c r="D2114" s="1">
        <v>0.63319955500000003</v>
      </c>
      <c r="E2114" s="1"/>
      <c r="H2114" s="2">
        <v>44.205981700000002</v>
      </c>
      <c r="I2114" s="2">
        <v>18.998029599999999</v>
      </c>
      <c r="J2114" s="2">
        <v>9.0728279000000001</v>
      </c>
      <c r="L2114" s="2"/>
      <c r="M2114" s="2"/>
    </row>
    <row r="2115" spans="2:13">
      <c r="B2115" s="2"/>
      <c r="C2115" s="1">
        <v>13.86258108</v>
      </c>
      <c r="D2115" s="1">
        <v>0.37596223600000001</v>
      </c>
      <c r="E2115" s="1"/>
      <c r="H2115" s="2">
        <v>24.238344399999999</v>
      </c>
      <c r="I2115" s="2">
        <v>126.62761999999999</v>
      </c>
      <c r="J2115" s="2">
        <v>14.9128091</v>
      </c>
      <c r="L2115" s="2"/>
      <c r="M2115" s="2"/>
    </row>
    <row r="2116" spans="2:13">
      <c r="B2116" s="2"/>
      <c r="C2116" s="1">
        <v>34.125134260000003</v>
      </c>
      <c r="D2116" s="1">
        <v>0.98937430500000001</v>
      </c>
      <c r="E2116" s="1"/>
      <c r="H2116" s="2">
        <v>127.75838</v>
      </c>
      <c r="I2116" s="2">
        <v>16.868136</v>
      </c>
      <c r="J2116" s="2">
        <v>18.8408917</v>
      </c>
      <c r="L2116" s="2"/>
      <c r="M2116" s="2"/>
    </row>
    <row r="2117" spans="2:13">
      <c r="B2117" s="2"/>
      <c r="C2117" s="1">
        <v>161.29741010000001</v>
      </c>
      <c r="D2117" s="1">
        <v>0.27702480499999999</v>
      </c>
      <c r="E2117" s="1"/>
      <c r="H2117" s="2">
        <v>11.634405299999999</v>
      </c>
      <c r="I2117" s="2">
        <v>10.696108300000001</v>
      </c>
      <c r="J2117" s="2">
        <v>3.40665569</v>
      </c>
      <c r="L2117" s="2"/>
      <c r="M2117" s="2"/>
    </row>
    <row r="2118" spans="2:13">
      <c r="B2118" s="2"/>
      <c r="C2118" s="1">
        <v>17.58784786</v>
      </c>
      <c r="D2118" s="1">
        <v>80.429535139999999</v>
      </c>
      <c r="E2118" s="1"/>
      <c r="H2118" s="2">
        <v>15.3519428</v>
      </c>
      <c r="I2118" s="2">
        <v>18.889202900000001</v>
      </c>
      <c r="J2118" s="2">
        <v>17.5199435</v>
      </c>
      <c r="L2118" s="2"/>
      <c r="M2118" s="2"/>
    </row>
    <row r="2119" spans="2:13">
      <c r="B2119" s="2"/>
      <c r="C2119" s="1">
        <v>13.34937577</v>
      </c>
      <c r="D2119" s="1">
        <v>88.304954600000002</v>
      </c>
      <c r="E2119" s="1"/>
      <c r="H2119" s="2">
        <v>23.215278099999999</v>
      </c>
      <c r="I2119" s="2">
        <v>3.2181605000000002</v>
      </c>
      <c r="J2119" s="2">
        <v>70.323106699999997</v>
      </c>
      <c r="L2119" s="2"/>
      <c r="M2119" s="2"/>
    </row>
    <row r="2120" spans="2:13">
      <c r="B2120" s="2"/>
      <c r="C2120" s="1">
        <v>33.467023920000003</v>
      </c>
      <c r="D2120" s="1">
        <v>0.60681624000000001</v>
      </c>
      <c r="E2120" s="1"/>
      <c r="H2120" s="2">
        <v>4.0982133200000002</v>
      </c>
      <c r="I2120" s="2">
        <v>29.507577900000001</v>
      </c>
      <c r="J2120" s="2">
        <v>8.8990189399999995</v>
      </c>
      <c r="L2120" s="2"/>
      <c r="M2120" s="2"/>
    </row>
    <row r="2121" spans="2:13">
      <c r="B2121" s="2"/>
      <c r="C2121" s="1">
        <v>4.9026201379999996</v>
      </c>
      <c r="D2121" s="1">
        <v>0.89043687400000004</v>
      </c>
      <c r="E2121" s="1"/>
      <c r="H2121" s="2">
        <v>23.256914500000001</v>
      </c>
      <c r="I2121" s="2">
        <v>75.370251699999997</v>
      </c>
      <c r="J2121" s="2">
        <v>9.8375873400000007</v>
      </c>
      <c r="L2121" s="2"/>
      <c r="M2121" s="2"/>
    </row>
    <row r="2122" spans="2:13">
      <c r="B2122" s="2"/>
      <c r="C2122" s="1">
        <v>28.286669140000001</v>
      </c>
      <c r="D2122" s="1">
        <v>2.8230146829999998</v>
      </c>
      <c r="E2122" s="1"/>
      <c r="H2122" s="2">
        <v>70.109782899999999</v>
      </c>
      <c r="I2122" s="2">
        <v>9.7477615100000001</v>
      </c>
      <c r="J2122" s="2">
        <v>24.5418257</v>
      </c>
      <c r="L2122" s="2"/>
      <c r="M2122" s="2"/>
    </row>
    <row r="2123" spans="2:13">
      <c r="B2123" s="2"/>
      <c r="C2123" s="1">
        <v>73.762697320000001</v>
      </c>
      <c r="D2123" s="1">
        <v>0.43532469400000001</v>
      </c>
      <c r="E2123" s="1"/>
      <c r="H2123" s="2">
        <v>9.9213640299999994</v>
      </c>
      <c r="I2123" s="2">
        <v>10.509548300000001</v>
      </c>
      <c r="J2123" s="2">
        <v>8.2385448799999992</v>
      </c>
      <c r="L2123" s="2"/>
      <c r="M2123" s="2"/>
    </row>
    <row r="2124" spans="2:13">
      <c r="B2124" s="2"/>
      <c r="C2124" s="1">
        <v>8.0543045119999999</v>
      </c>
      <c r="D2124" s="1">
        <v>0.87064938800000002</v>
      </c>
      <c r="E2124" s="1"/>
      <c r="H2124" s="2">
        <v>17.3148026</v>
      </c>
      <c r="I2124" s="2">
        <v>16.8370426</v>
      </c>
      <c r="J2124" s="2">
        <v>18.284703</v>
      </c>
      <c r="L2124" s="2"/>
      <c r="M2124" s="2"/>
    </row>
    <row r="2125" spans="2:13">
      <c r="B2125" s="2"/>
      <c r="C2125" s="1">
        <v>18.270109040000001</v>
      </c>
      <c r="D2125" s="1">
        <v>1.385124027</v>
      </c>
      <c r="E2125" s="1"/>
      <c r="H2125" s="2">
        <v>31.268951300000001</v>
      </c>
      <c r="I2125" s="2">
        <v>9.2813614399999995</v>
      </c>
      <c r="J2125" s="2">
        <v>33.336559200000004</v>
      </c>
      <c r="L2125" s="2"/>
      <c r="M2125" s="2"/>
    </row>
    <row r="2126" spans="2:13">
      <c r="B2126" s="2"/>
      <c r="C2126" s="1">
        <v>46.846588240000003</v>
      </c>
      <c r="D2126" s="1">
        <v>0.81128692999999996</v>
      </c>
      <c r="E2126" s="1"/>
      <c r="H2126" s="2">
        <v>12.996511</v>
      </c>
      <c r="I2126" s="2">
        <v>14.0386422</v>
      </c>
      <c r="J2126" s="2">
        <v>21.0308846</v>
      </c>
      <c r="L2126" s="2"/>
      <c r="M2126" s="2"/>
    </row>
    <row r="2127" spans="2:13">
      <c r="B2127" s="2"/>
      <c r="C2127" s="1">
        <v>7.8127961309999998</v>
      </c>
      <c r="D2127" s="1">
        <v>0.60681624000000001</v>
      </c>
      <c r="E2127" s="1"/>
      <c r="H2127" s="2">
        <v>20.919326900000002</v>
      </c>
      <c r="I2127" s="2">
        <v>28.015097699999998</v>
      </c>
      <c r="J2127" s="2">
        <v>13.0356723</v>
      </c>
      <c r="L2127" s="2"/>
      <c r="M2127" s="2"/>
    </row>
    <row r="2128" spans="2:13">
      <c r="B2128" s="2"/>
      <c r="C2128" s="1">
        <v>16.676153719999999</v>
      </c>
      <c r="D2128" s="1">
        <v>0.310003949</v>
      </c>
      <c r="E2128" s="1"/>
      <c r="H2128" s="2">
        <v>32.761914300000001</v>
      </c>
      <c r="I2128" s="2">
        <v>20.2728565</v>
      </c>
      <c r="J2128" s="2">
        <v>7.1956911000000003</v>
      </c>
      <c r="L2128" s="2"/>
      <c r="M2128" s="2"/>
    </row>
    <row r="2129" spans="2:13">
      <c r="B2129" s="2"/>
      <c r="C2129" s="1">
        <v>19.296519660000001</v>
      </c>
      <c r="D2129" s="1">
        <v>0.41553720799999999</v>
      </c>
      <c r="E2129" s="1"/>
      <c r="H2129" s="2">
        <v>26.766269900000001</v>
      </c>
      <c r="I2129" s="2">
        <v>10.9759484</v>
      </c>
      <c r="J2129" s="2">
        <v>7.5780708199999998</v>
      </c>
      <c r="L2129" s="2"/>
      <c r="M2129" s="2"/>
    </row>
    <row r="2130" spans="2:13">
      <c r="B2130" s="2"/>
      <c r="C2130" s="1">
        <v>29.934963849999999</v>
      </c>
      <c r="D2130" s="1">
        <v>0.86405355900000003</v>
      </c>
      <c r="E2130" s="1"/>
      <c r="H2130" s="2">
        <v>10.968222600000001</v>
      </c>
      <c r="I2130" s="2">
        <v>9.6389348300000002</v>
      </c>
      <c r="J2130" s="2">
        <v>18.354226600000001</v>
      </c>
      <c r="L2130" s="2"/>
      <c r="M2130" s="2"/>
    </row>
    <row r="2131" spans="2:13">
      <c r="B2131" s="2"/>
      <c r="C2131" s="1">
        <v>6.146388301</v>
      </c>
      <c r="D2131" s="1">
        <v>189.57071260000001</v>
      </c>
      <c r="E2131" s="1"/>
      <c r="H2131" s="2">
        <v>8.9518302500000004</v>
      </c>
      <c r="I2131" s="2">
        <v>17.5055494</v>
      </c>
      <c r="J2131" s="2">
        <v>22.942783200000001</v>
      </c>
      <c r="L2131" s="2"/>
      <c r="M2131" s="2"/>
    </row>
    <row r="2132" spans="2:13">
      <c r="B2132" s="2"/>
      <c r="C2132" s="1">
        <v>11.169762629999999</v>
      </c>
      <c r="D2132" s="1">
        <v>38.664747830000003</v>
      </c>
      <c r="E2132" s="1"/>
      <c r="H2132" s="2">
        <v>12.1816268</v>
      </c>
      <c r="I2132" s="2">
        <v>13.9920022</v>
      </c>
      <c r="J2132" s="2">
        <v>18.806129899999998</v>
      </c>
      <c r="L2132" s="2"/>
      <c r="M2132" s="2"/>
    </row>
    <row r="2133" spans="2:13">
      <c r="B2133" s="2"/>
      <c r="C2133" s="1">
        <v>12.099569900000001</v>
      </c>
      <c r="D2133" s="1">
        <v>0.90362853200000004</v>
      </c>
      <c r="E2133" s="1"/>
      <c r="H2133" s="2">
        <v>17.862024099999999</v>
      </c>
      <c r="I2133" s="2">
        <v>20.257309800000002</v>
      </c>
      <c r="J2133" s="2">
        <v>17.971846800000002</v>
      </c>
      <c r="L2133" s="2"/>
      <c r="M2133" s="2"/>
    </row>
    <row r="2134" spans="2:13">
      <c r="B2134" s="2"/>
      <c r="C2134" s="1">
        <v>27.09120266</v>
      </c>
      <c r="D2134" s="1">
        <v>0.25723731900000002</v>
      </c>
      <c r="E2134" s="1"/>
      <c r="H2134" s="2">
        <v>22.221952000000002</v>
      </c>
      <c r="I2134" s="2">
        <v>25.7297373</v>
      </c>
      <c r="J2134" s="2">
        <v>6.6047406200000003</v>
      </c>
      <c r="L2134" s="2"/>
      <c r="M2134" s="2"/>
    </row>
    <row r="2135" spans="2:13">
      <c r="B2135" s="2"/>
      <c r="C2135" s="1">
        <v>24.19913979</v>
      </c>
      <c r="D2135" s="1">
        <v>1.6225738599999999</v>
      </c>
      <c r="E2135" s="1"/>
      <c r="H2135" s="2">
        <v>27.634686599999998</v>
      </c>
      <c r="I2135" s="2">
        <v>19.9152831</v>
      </c>
      <c r="J2135" s="2">
        <v>17.867561500000001</v>
      </c>
      <c r="L2135" s="2"/>
      <c r="M2135" s="2"/>
    </row>
    <row r="2136" spans="2:13">
      <c r="B2136" s="2"/>
      <c r="C2136" s="1">
        <v>5.6995977959999999</v>
      </c>
      <c r="D2136" s="1">
        <v>42.701394989999997</v>
      </c>
      <c r="E2136" s="1"/>
      <c r="H2136" s="2">
        <v>22.5609915</v>
      </c>
      <c r="I2136" s="2">
        <v>8.51957466</v>
      </c>
      <c r="J2136" s="2">
        <v>2.7114198300000001</v>
      </c>
      <c r="L2136" s="2"/>
      <c r="M2136" s="2"/>
    </row>
    <row r="2137" spans="2:13">
      <c r="B2137" s="2"/>
      <c r="C2137" s="1">
        <v>23.384049009999998</v>
      </c>
      <c r="D2137" s="1">
        <v>6.4375288089999998</v>
      </c>
      <c r="E2137" s="1"/>
      <c r="H2137" s="2">
        <v>10.4804817</v>
      </c>
      <c r="I2137" s="2">
        <v>21.858616699999999</v>
      </c>
      <c r="J2137" s="2">
        <v>107.379178</v>
      </c>
      <c r="L2137" s="2"/>
      <c r="M2137" s="2"/>
    </row>
    <row r="2138" spans="2:13">
      <c r="B2138" s="2"/>
      <c r="C2138" s="1">
        <v>10.38486039</v>
      </c>
      <c r="D2138" s="1">
        <v>2.0447068960000001</v>
      </c>
      <c r="E2138" s="1"/>
      <c r="H2138" s="2">
        <v>26.189308</v>
      </c>
      <c r="I2138" s="2">
        <v>2.4097337099999998</v>
      </c>
      <c r="J2138" s="2">
        <v>18.0066086</v>
      </c>
      <c r="L2138" s="2"/>
      <c r="M2138" s="2"/>
    </row>
    <row r="2139" spans="2:13">
      <c r="B2139" s="2"/>
      <c r="C2139" s="1">
        <v>35.42324181</v>
      </c>
      <c r="D2139" s="1">
        <v>8.6141522790000007</v>
      </c>
      <c r="E2139" s="1"/>
      <c r="H2139" s="2">
        <v>5.7577220499999999</v>
      </c>
      <c r="I2139" s="2">
        <v>124.482179</v>
      </c>
      <c r="J2139" s="2">
        <v>88.3992389</v>
      </c>
      <c r="L2139" s="2"/>
      <c r="M2139" s="2"/>
    </row>
    <row r="2140" spans="2:13">
      <c r="B2140" s="2"/>
      <c r="C2140" s="1">
        <v>5.7962011479999997</v>
      </c>
      <c r="D2140" s="1">
        <v>0.69915784199999997</v>
      </c>
      <c r="E2140" s="1"/>
      <c r="H2140" s="2">
        <v>109.432407</v>
      </c>
      <c r="I2140" s="2">
        <v>25.216697199999999</v>
      </c>
      <c r="J2140" s="2">
        <v>15.6775685</v>
      </c>
      <c r="L2140" s="2"/>
      <c r="M2140" s="2"/>
    </row>
    <row r="2141" spans="2:13">
      <c r="B2141" s="2"/>
      <c r="C2141" s="1">
        <v>132.81753420000001</v>
      </c>
      <c r="D2141" s="1">
        <v>1.8336403779999999</v>
      </c>
      <c r="E2141" s="1"/>
      <c r="H2141" s="2">
        <v>27.997518299999999</v>
      </c>
      <c r="I2141" s="2">
        <v>85.910893299999998</v>
      </c>
      <c r="J2141" s="2">
        <v>78.944031300000006</v>
      </c>
      <c r="L2141" s="2"/>
      <c r="M2141" s="2"/>
    </row>
    <row r="2142" spans="2:13">
      <c r="B2142" s="2"/>
      <c r="C2142" s="1">
        <v>55.281268449999999</v>
      </c>
      <c r="D2142" s="1">
        <v>0.26383314800000002</v>
      </c>
      <c r="E2142" s="1"/>
      <c r="H2142" s="2">
        <v>111.246566</v>
      </c>
      <c r="I2142" s="2">
        <v>11.5511751</v>
      </c>
      <c r="J2142" s="2">
        <v>3.8237972</v>
      </c>
      <c r="L2142" s="2"/>
      <c r="M2142" s="2"/>
    </row>
    <row r="2143" spans="2:13">
      <c r="B2143" s="2"/>
      <c r="C2143" s="1">
        <v>163.87551199999999</v>
      </c>
      <c r="D2143" s="1">
        <v>1.2400157949999999</v>
      </c>
      <c r="E2143" s="1"/>
      <c r="H2143" s="2">
        <v>18.349765000000001</v>
      </c>
      <c r="I2143" s="2">
        <v>69.571344100000005</v>
      </c>
      <c r="J2143" s="2">
        <v>22.0737384</v>
      </c>
      <c r="L2143" s="2"/>
      <c r="M2143" s="2"/>
    </row>
    <row r="2144" spans="2:13">
      <c r="B2144" s="2"/>
      <c r="C2144" s="1">
        <v>11.682967939999999</v>
      </c>
      <c r="D2144" s="1">
        <v>3.89813476</v>
      </c>
      <c r="E2144" s="1"/>
      <c r="H2144" s="2">
        <v>67.123856799999999</v>
      </c>
      <c r="I2144" s="2">
        <v>4.4929873599999999</v>
      </c>
      <c r="J2144" s="2">
        <v>47.693179600000001</v>
      </c>
      <c r="L2144" s="2"/>
      <c r="M2144" s="2"/>
    </row>
    <row r="2145" spans="2:13">
      <c r="B2145" s="2"/>
      <c r="C2145" s="1">
        <v>68.038948680000004</v>
      </c>
      <c r="D2145" s="1">
        <v>3.5815349830000001</v>
      </c>
      <c r="E2145" s="1"/>
      <c r="H2145" s="2">
        <v>4.71681156</v>
      </c>
      <c r="I2145" s="2">
        <v>27.781897600000001</v>
      </c>
      <c r="J2145" s="2">
        <v>29.686571000000001</v>
      </c>
      <c r="L2145" s="2"/>
      <c r="M2145" s="2"/>
    </row>
    <row r="2146" spans="2:13">
      <c r="B2146" s="2"/>
      <c r="C2146" s="1">
        <v>5.0716760049999996</v>
      </c>
      <c r="D2146" s="1">
        <v>121.4555896</v>
      </c>
      <c r="E2146" s="1"/>
      <c r="H2146" s="2">
        <v>31.1261978</v>
      </c>
      <c r="I2146" s="2">
        <v>40.296966300000001</v>
      </c>
      <c r="J2146" s="2">
        <v>156.67140000000001</v>
      </c>
      <c r="L2146" s="2"/>
      <c r="M2146" s="2"/>
    </row>
    <row r="2147" spans="2:13">
      <c r="B2147" s="2"/>
      <c r="C2147" s="1">
        <v>27.556106289999999</v>
      </c>
      <c r="D2147" s="1">
        <v>47.100812730000001</v>
      </c>
      <c r="E2147" s="1"/>
      <c r="H2147" s="2">
        <v>59.302157899999997</v>
      </c>
      <c r="I2147" s="2">
        <v>38.120432600000001</v>
      </c>
      <c r="J2147" s="2">
        <v>80.855929900000007</v>
      </c>
      <c r="L2147" s="2"/>
      <c r="M2147" s="2"/>
    </row>
    <row r="2148" spans="2:13">
      <c r="B2148" s="2"/>
      <c r="C2148" s="1">
        <v>104.1142631</v>
      </c>
      <c r="D2148" s="1">
        <v>2.915356284</v>
      </c>
      <c r="E2148" s="1"/>
      <c r="H2148" s="2">
        <v>33.576798500000002</v>
      </c>
      <c r="I2148" s="2">
        <v>156.974718</v>
      </c>
      <c r="J2148" s="2">
        <v>44.217000400000003</v>
      </c>
      <c r="L2148" s="2"/>
      <c r="M2148" s="2"/>
    </row>
    <row r="2149" spans="2:13">
      <c r="B2149" s="2"/>
      <c r="C2149" s="1">
        <v>43.869997439999999</v>
      </c>
      <c r="D2149" s="1">
        <v>3.2781268629999998</v>
      </c>
      <c r="E2149" s="1"/>
      <c r="H2149" s="2">
        <v>148.51116099999999</v>
      </c>
      <c r="I2149" s="2">
        <v>61.129502799999997</v>
      </c>
      <c r="J2149" s="2">
        <v>42.131292799999997</v>
      </c>
      <c r="L2149" s="2"/>
      <c r="M2149" s="2"/>
    </row>
    <row r="2150" spans="2:13">
      <c r="B2150" s="2"/>
      <c r="C2150" s="1">
        <v>88.591311919999995</v>
      </c>
      <c r="D2150" s="1">
        <v>2.63173565</v>
      </c>
      <c r="E2150" s="1"/>
      <c r="H2150" s="2">
        <v>90.267758099999995</v>
      </c>
      <c r="I2150" s="2">
        <v>58.3466491</v>
      </c>
      <c r="J2150" s="2">
        <v>44.043191399999998</v>
      </c>
      <c r="L2150" s="2"/>
      <c r="M2150" s="2"/>
    </row>
    <row r="2151" spans="2:13">
      <c r="B2151" s="2"/>
      <c r="C2151" s="1">
        <v>103.00936230000001</v>
      </c>
      <c r="D2151" s="1">
        <v>0.65298704100000005</v>
      </c>
      <c r="E2151" s="1"/>
      <c r="H2151" s="2">
        <v>49.327261300000004</v>
      </c>
      <c r="I2151" s="2">
        <v>55.828088700000002</v>
      </c>
      <c r="J2151" s="2">
        <v>6.5352170300000001</v>
      </c>
      <c r="L2151" s="2"/>
      <c r="M2151" s="2"/>
    </row>
    <row r="2152" spans="2:13">
      <c r="B2152" s="2"/>
      <c r="C2152" s="1">
        <v>27.761388419999999</v>
      </c>
      <c r="D2152" s="1">
        <v>0.39574972200000003</v>
      </c>
      <c r="E2152" s="1"/>
      <c r="H2152" s="2">
        <v>57.178700499999998</v>
      </c>
      <c r="I2152" s="2">
        <v>85.2890266</v>
      </c>
      <c r="J2152" s="2">
        <v>8.6556863899999996</v>
      </c>
      <c r="L2152" s="2"/>
      <c r="M2152" s="2"/>
    </row>
    <row r="2153" spans="2:13">
      <c r="B2153" s="2"/>
      <c r="C2153" s="1">
        <v>53.19825866</v>
      </c>
      <c r="D2153" s="1">
        <v>0.19787486100000001</v>
      </c>
      <c r="E2153" s="1"/>
      <c r="H2153" s="2">
        <v>52.3072394</v>
      </c>
      <c r="I2153" s="2">
        <v>6.6850677000000003</v>
      </c>
      <c r="J2153" s="2">
        <v>3.4414174800000001</v>
      </c>
      <c r="L2153" s="2"/>
      <c r="M2153" s="2"/>
    </row>
    <row r="2154" spans="2:13">
      <c r="B2154" s="2"/>
      <c r="C2154" s="1">
        <v>23.039899559999999</v>
      </c>
      <c r="D2154" s="1">
        <v>8.5284065059999996</v>
      </c>
      <c r="E2154" s="1"/>
      <c r="H2154" s="2">
        <v>10.8671056</v>
      </c>
      <c r="I2154" s="2">
        <v>4.8505607499999996</v>
      </c>
      <c r="J2154" s="2">
        <v>110.820595</v>
      </c>
      <c r="L2154" s="2"/>
      <c r="M2154" s="2"/>
    </row>
    <row r="2155" spans="2:13">
      <c r="B2155" s="2"/>
      <c r="C2155" s="1">
        <v>12.781831070000001</v>
      </c>
      <c r="D2155" s="1">
        <v>0.52107046700000004</v>
      </c>
      <c r="E2155" s="1"/>
      <c r="H2155" s="2">
        <v>11.2358853</v>
      </c>
      <c r="I2155" s="2">
        <v>4.4308006899999999</v>
      </c>
      <c r="J2155" s="2">
        <v>12.131865700000001</v>
      </c>
      <c r="L2155" s="2"/>
      <c r="M2155" s="2"/>
    </row>
    <row r="2156" spans="2:13">
      <c r="B2156" s="2"/>
      <c r="C2156" s="1">
        <v>21.77801827</v>
      </c>
      <c r="D2156" s="1">
        <v>1.312569911</v>
      </c>
      <c r="E2156" s="1"/>
      <c r="H2156" s="2">
        <v>6.51312567</v>
      </c>
      <c r="I2156" s="2">
        <v>60.538729400000001</v>
      </c>
      <c r="J2156" s="2">
        <v>25.862773799999999</v>
      </c>
      <c r="L2156" s="2"/>
      <c r="M2156" s="2"/>
    </row>
    <row r="2157" spans="2:13">
      <c r="B2157" s="2"/>
      <c r="C2157" s="1">
        <v>10.18561598</v>
      </c>
      <c r="D2157" s="1">
        <v>0.60681624000000001</v>
      </c>
      <c r="E2157" s="1"/>
      <c r="H2157" s="2">
        <v>116.926963</v>
      </c>
      <c r="I2157" s="2">
        <v>12.188588599999999</v>
      </c>
      <c r="J2157" s="2">
        <v>4.51903305</v>
      </c>
      <c r="L2157" s="2"/>
      <c r="M2157" s="2"/>
    </row>
    <row r="2158" spans="2:13">
      <c r="B2158" s="2"/>
      <c r="C2158" s="1">
        <v>43.193773970000002</v>
      </c>
      <c r="D2158" s="1">
        <v>0.78490361500000005</v>
      </c>
      <c r="E2158" s="1"/>
      <c r="H2158" s="2">
        <v>14.905838299999999</v>
      </c>
      <c r="I2158" s="2">
        <v>18.562722900000001</v>
      </c>
      <c r="J2158" s="2">
        <v>15.2256652</v>
      </c>
      <c r="L2158" s="2"/>
      <c r="M2158" s="2"/>
    </row>
    <row r="2159" spans="2:13">
      <c r="B2159" s="2"/>
      <c r="C2159" s="1">
        <v>21.874621619999999</v>
      </c>
      <c r="D2159" s="1">
        <v>0.69256201299999998</v>
      </c>
      <c r="E2159" s="1"/>
      <c r="H2159" s="2">
        <v>28.015362499999998</v>
      </c>
      <c r="I2159" s="2">
        <v>3.7467472499999999</v>
      </c>
      <c r="J2159" s="2">
        <v>13.418051999999999</v>
      </c>
      <c r="L2159" s="2"/>
      <c r="M2159" s="2"/>
    </row>
    <row r="2160" spans="2:13">
      <c r="B2160" s="2"/>
      <c r="C2160" s="1">
        <v>25.52743589</v>
      </c>
      <c r="D2160" s="1">
        <v>4.4455885420000003</v>
      </c>
      <c r="E2160" s="1"/>
      <c r="H2160" s="2">
        <v>4.5919023000000001</v>
      </c>
      <c r="I2160" s="2">
        <v>20.754803200000001</v>
      </c>
      <c r="J2160" s="2">
        <v>66.151691600000007</v>
      </c>
      <c r="L2160" s="2"/>
      <c r="M2160" s="2"/>
    </row>
    <row r="2161" spans="2:13">
      <c r="B2161" s="2"/>
      <c r="C2161" s="1">
        <v>7.1244972439999996</v>
      </c>
      <c r="D2161" s="1">
        <v>0.19787486100000001</v>
      </c>
      <c r="E2161" s="1"/>
      <c r="H2161" s="2">
        <v>20.199611699999998</v>
      </c>
      <c r="I2161" s="2">
        <v>12.717175299999999</v>
      </c>
      <c r="J2161" s="2">
        <v>3.7542736099999998</v>
      </c>
      <c r="L2161" s="2"/>
      <c r="M2161" s="2"/>
    </row>
    <row r="2162" spans="2:13">
      <c r="B2162" s="2"/>
      <c r="C2162" s="1">
        <v>14.834652309999999</v>
      </c>
      <c r="D2162" s="1">
        <v>382.09635650000001</v>
      </c>
      <c r="E2162" s="1"/>
      <c r="H2162" s="2">
        <v>17.570569200000001</v>
      </c>
      <c r="I2162" s="2">
        <v>62.746356400000003</v>
      </c>
      <c r="J2162" s="2">
        <v>92.188274300000003</v>
      </c>
      <c r="L2162" s="2"/>
      <c r="M2162" s="2"/>
    </row>
    <row r="2163" spans="2:13">
      <c r="B2163" s="2"/>
      <c r="C2163" s="1">
        <v>27.15157975</v>
      </c>
      <c r="D2163" s="1">
        <v>2.0381110680000001</v>
      </c>
      <c r="E2163" s="1"/>
      <c r="H2163" s="2">
        <v>71.079316599999999</v>
      </c>
      <c r="I2163" s="2">
        <v>4.4774406899999999</v>
      </c>
      <c r="J2163" s="2">
        <v>26.349438899999999</v>
      </c>
      <c r="L2163" s="2"/>
      <c r="M2163" s="2"/>
    </row>
    <row r="2164" spans="2:13">
      <c r="B2164" s="2"/>
      <c r="C2164" s="1">
        <v>90.209418080000006</v>
      </c>
      <c r="D2164" s="1">
        <v>39.858592819999998</v>
      </c>
      <c r="E2164" s="1"/>
      <c r="H2164" s="2">
        <v>4.36587602</v>
      </c>
      <c r="I2164" s="2">
        <v>146.154236</v>
      </c>
      <c r="J2164" s="2">
        <v>15.608044899999999</v>
      </c>
      <c r="L2164" s="2"/>
      <c r="M2164" s="2"/>
    </row>
    <row r="2165" spans="2:13">
      <c r="B2165" s="2"/>
      <c r="C2165" s="1">
        <v>4.8362053329999997</v>
      </c>
      <c r="D2165" s="1">
        <v>0.53426212500000003</v>
      </c>
      <c r="E2165" s="1"/>
      <c r="H2165" s="2">
        <v>107.725314</v>
      </c>
      <c r="I2165" s="2">
        <v>23.677576999999999</v>
      </c>
      <c r="J2165" s="2">
        <v>8.7252099800000007</v>
      </c>
      <c r="L2165" s="2"/>
      <c r="M2165" s="2"/>
    </row>
    <row r="2166" spans="2:13">
      <c r="B2166" s="2"/>
      <c r="C2166" s="1">
        <v>82.680394289999995</v>
      </c>
      <c r="D2166" s="1">
        <v>1.767682091</v>
      </c>
      <c r="E2166" s="1"/>
      <c r="H2166" s="2">
        <v>33.297239699999999</v>
      </c>
      <c r="I2166" s="2">
        <v>31.839578299999999</v>
      </c>
      <c r="J2166" s="2">
        <v>49.014127700000003</v>
      </c>
      <c r="L2166" s="2"/>
      <c r="M2166" s="2"/>
    </row>
    <row r="2167" spans="2:13">
      <c r="B2167" s="2"/>
      <c r="C2167" s="1">
        <v>14.09201404</v>
      </c>
      <c r="D2167" s="1">
        <v>4.1553720800000002</v>
      </c>
      <c r="E2167" s="1"/>
      <c r="H2167" s="2">
        <v>21.978081599999999</v>
      </c>
      <c r="I2167" s="2">
        <v>11.7688285</v>
      </c>
      <c r="J2167" s="2">
        <v>53.185542900000002</v>
      </c>
      <c r="L2167" s="2"/>
      <c r="M2167" s="2"/>
    </row>
    <row r="2168" spans="2:13">
      <c r="B2168" s="2"/>
      <c r="C2168" s="1">
        <v>14.412012649999999</v>
      </c>
      <c r="D2168" s="1">
        <v>0.26383314800000002</v>
      </c>
      <c r="E2168" s="1"/>
      <c r="H2168" s="2">
        <v>12.4671337</v>
      </c>
      <c r="I2168" s="2">
        <v>91.010200800000007</v>
      </c>
      <c r="J2168" s="2">
        <v>2.5723726600000001</v>
      </c>
      <c r="L2168" s="2"/>
      <c r="M2168" s="2"/>
    </row>
    <row r="2169" spans="2:13">
      <c r="B2169" s="2"/>
      <c r="C2169" s="1">
        <v>25.793095109999999</v>
      </c>
      <c r="D2169" s="1">
        <v>206.48901319999999</v>
      </c>
      <c r="E2169" s="1"/>
      <c r="H2169" s="2">
        <v>57.047843200000003</v>
      </c>
      <c r="I2169" s="2">
        <v>69.555797499999997</v>
      </c>
      <c r="J2169" s="2">
        <v>9.3161604499999999</v>
      </c>
      <c r="L2169" s="2"/>
      <c r="M2169" s="2"/>
    </row>
    <row r="2170" spans="2:13">
      <c r="B2170" s="2"/>
      <c r="C2170" s="1">
        <v>52.98693883</v>
      </c>
      <c r="D2170" s="1">
        <v>0.38255806399999998</v>
      </c>
      <c r="E2170" s="1"/>
      <c r="H2170" s="2">
        <v>54.1868263</v>
      </c>
      <c r="I2170" s="2">
        <v>5.1148541300000003</v>
      </c>
      <c r="J2170" s="2">
        <v>7.05664392</v>
      </c>
      <c r="L2170" s="2"/>
      <c r="M2170" s="2"/>
    </row>
    <row r="2171" spans="2:13">
      <c r="B2171" s="2"/>
      <c r="C2171" s="1">
        <v>80.066066070000005</v>
      </c>
      <c r="D2171" s="1">
        <v>0.98937430500000001</v>
      </c>
      <c r="E2171" s="1"/>
      <c r="H2171" s="2">
        <v>4.5800061799999998</v>
      </c>
      <c r="I2171" s="2">
        <v>9.1258947500000005</v>
      </c>
      <c r="J2171" s="2">
        <v>24.5418257</v>
      </c>
      <c r="L2171" s="2"/>
      <c r="M2171" s="2"/>
    </row>
    <row r="2172" spans="2:13">
      <c r="B2172" s="2"/>
      <c r="C2172" s="1">
        <v>3.6648896839999998</v>
      </c>
      <c r="D2172" s="1">
        <v>7.3477531689999998</v>
      </c>
      <c r="E2172" s="1"/>
      <c r="H2172" s="2">
        <v>12.6634197</v>
      </c>
      <c r="I2172" s="2">
        <v>12.235228599999999</v>
      </c>
      <c r="J2172" s="2">
        <v>15.7123303</v>
      </c>
      <c r="L2172" s="2"/>
      <c r="M2172" s="2"/>
    </row>
    <row r="2173" spans="2:13">
      <c r="B2173" s="2"/>
      <c r="C2173" s="1">
        <v>14.750124380000001</v>
      </c>
      <c r="D2173" s="1">
        <v>0.42872886500000001</v>
      </c>
      <c r="E2173" s="1"/>
      <c r="H2173" s="2">
        <v>11.908016099999999</v>
      </c>
      <c r="I2173" s="2">
        <v>21.469950000000001</v>
      </c>
      <c r="J2173" s="2">
        <v>6.7437877899999998</v>
      </c>
      <c r="L2173" s="2"/>
      <c r="M2173" s="2"/>
    </row>
    <row r="2174" spans="2:13">
      <c r="B2174" s="2"/>
      <c r="C2174" s="1">
        <v>5.3916746099999999</v>
      </c>
      <c r="D2174" s="1">
        <v>0.27702480499999999</v>
      </c>
      <c r="E2174" s="1"/>
      <c r="H2174" s="2">
        <v>26.891179099999999</v>
      </c>
      <c r="I2174" s="2">
        <v>23.1800836</v>
      </c>
      <c r="J2174" s="2">
        <v>4.8666509800000002</v>
      </c>
      <c r="L2174" s="2"/>
      <c r="M2174" s="2"/>
    </row>
    <row r="2175" spans="2:13">
      <c r="B2175" s="2"/>
      <c r="C2175" s="1">
        <v>31.19080743</v>
      </c>
      <c r="D2175" s="1">
        <v>2.4998190760000001</v>
      </c>
      <c r="E2175" s="1"/>
      <c r="H2175" s="2">
        <v>33.529214099999997</v>
      </c>
      <c r="I2175" s="2">
        <v>9.5767481500000002</v>
      </c>
      <c r="J2175" s="2">
        <v>42.096530999999999</v>
      </c>
      <c r="L2175" s="2"/>
      <c r="M2175" s="2"/>
    </row>
    <row r="2176" spans="2:13">
      <c r="B2176" s="2"/>
      <c r="C2176" s="1">
        <v>12.88447214</v>
      </c>
      <c r="D2176" s="1">
        <v>0.17149154599999999</v>
      </c>
      <c r="E2176" s="1"/>
      <c r="H2176" s="2">
        <v>10.331780200000001</v>
      </c>
      <c r="I2176" s="2">
        <v>4.275334</v>
      </c>
      <c r="J2176" s="2">
        <v>6.6395024100000004</v>
      </c>
      <c r="L2176" s="2"/>
      <c r="M2176" s="2"/>
    </row>
    <row r="2177" spans="2:13">
      <c r="B2177" s="2"/>
      <c r="C2177" s="1">
        <v>6.8769511540000003</v>
      </c>
      <c r="D2177" s="1">
        <v>0.164895717</v>
      </c>
      <c r="E2177" s="1"/>
      <c r="H2177" s="2">
        <v>6.8938015100000003</v>
      </c>
      <c r="I2177" s="2">
        <v>39.084326099999998</v>
      </c>
      <c r="J2177" s="2">
        <v>3.9976061600000001</v>
      </c>
      <c r="L2177" s="2"/>
      <c r="M2177" s="2"/>
    </row>
    <row r="2178" spans="2:13">
      <c r="B2178" s="2"/>
      <c r="C2178" s="1">
        <v>2.7048938690000002</v>
      </c>
      <c r="D2178" s="1">
        <v>1.0817159059999999</v>
      </c>
      <c r="E2178" s="1"/>
      <c r="H2178" s="2">
        <v>49.886378999999998</v>
      </c>
      <c r="I2178" s="2">
        <v>8.1930946000000002</v>
      </c>
      <c r="J2178" s="2">
        <v>20.231363399999999</v>
      </c>
      <c r="L2178" s="2"/>
      <c r="M2178" s="2"/>
    </row>
    <row r="2179" spans="2:13">
      <c r="B2179" s="2"/>
      <c r="C2179" s="1">
        <v>62.918970999999999</v>
      </c>
      <c r="D2179" s="1">
        <v>0.18468320399999999</v>
      </c>
      <c r="E2179" s="1"/>
      <c r="H2179" s="2">
        <v>6.7569961300000001</v>
      </c>
      <c r="I2179" s="2">
        <v>5.8610942399999999</v>
      </c>
      <c r="J2179" s="2">
        <v>1.1123773699999999</v>
      </c>
      <c r="L2179" s="2"/>
      <c r="M2179" s="2"/>
    </row>
    <row r="2180" spans="2:13">
      <c r="B2180" s="2"/>
      <c r="C2180" s="1">
        <v>7.6678911019999996</v>
      </c>
      <c r="D2180" s="1">
        <v>0.36936640700000001</v>
      </c>
      <c r="E2180" s="1"/>
      <c r="H2180" s="2">
        <v>5.4781632299999998</v>
      </c>
      <c r="I2180" s="2">
        <v>25.978484000000002</v>
      </c>
      <c r="J2180" s="2">
        <v>8.0994977099999996</v>
      </c>
      <c r="L2180" s="2"/>
      <c r="M2180" s="2"/>
    </row>
    <row r="2181" spans="2:13">
      <c r="B2181" s="2"/>
      <c r="C2181" s="1">
        <v>4.2626229279999999</v>
      </c>
      <c r="D2181" s="1">
        <v>0.21766234700000001</v>
      </c>
      <c r="E2181" s="1"/>
      <c r="H2181" s="2">
        <v>28.544739799999999</v>
      </c>
      <c r="I2181" s="2">
        <v>3.8089339199999999</v>
      </c>
      <c r="J2181" s="2">
        <v>6.6047406200000003</v>
      </c>
      <c r="L2181" s="2"/>
      <c r="M2181" s="2"/>
    </row>
    <row r="2182" spans="2:13">
      <c r="B2182" s="2"/>
      <c r="C2182" s="1">
        <v>25.05649455</v>
      </c>
      <c r="D2182" s="1">
        <v>5.9362458E-2</v>
      </c>
      <c r="E2182" s="1"/>
      <c r="H2182" s="2">
        <v>2.8312765500000001</v>
      </c>
      <c r="I2182" s="2">
        <v>10.291894900000001</v>
      </c>
      <c r="J2182" s="2">
        <v>2.25951653</v>
      </c>
      <c r="L2182" s="2"/>
      <c r="M2182" s="2"/>
    </row>
    <row r="2183" spans="2:13">
      <c r="B2183" s="2"/>
      <c r="C2183" s="1">
        <v>1.6784832489999999</v>
      </c>
      <c r="D2183" s="1">
        <v>6.5958287000000004E-2</v>
      </c>
      <c r="E2183" s="1"/>
      <c r="H2183" s="2">
        <v>9.2551813099999993</v>
      </c>
      <c r="I2183" s="2">
        <v>11.6289085</v>
      </c>
      <c r="J2183" s="2">
        <v>2.7114198300000001</v>
      </c>
      <c r="L2183" s="2"/>
      <c r="M2183" s="2"/>
    </row>
    <row r="2184" spans="2:13">
      <c r="B2184" s="2"/>
      <c r="C2184" s="1">
        <v>4.8905447190000002</v>
      </c>
      <c r="D2184" s="1">
        <v>0.87724521700000002</v>
      </c>
      <c r="E2184" s="1"/>
      <c r="H2184" s="2">
        <v>10.254455399999999</v>
      </c>
      <c r="I2184" s="2">
        <v>4.8350140799999997</v>
      </c>
      <c r="J2184" s="2">
        <v>33.927509700000002</v>
      </c>
      <c r="L2184" s="2"/>
      <c r="M2184" s="2"/>
    </row>
    <row r="2185" spans="2:13">
      <c r="B2185" s="2"/>
      <c r="C2185" s="1">
        <v>3.46564527</v>
      </c>
      <c r="D2185" s="1">
        <v>25.189469800000001</v>
      </c>
      <c r="E2185" s="1"/>
      <c r="H2185" s="2">
        <v>3.0513547600000002</v>
      </c>
      <c r="I2185" s="2">
        <v>2.3009070199999999</v>
      </c>
      <c r="J2185" s="2">
        <v>18.8408917</v>
      </c>
      <c r="L2185" s="2"/>
      <c r="M2185" s="2"/>
    </row>
    <row r="2186" spans="2:13">
      <c r="B2186" s="2"/>
      <c r="C2186" s="1">
        <v>1.298107549</v>
      </c>
      <c r="D2186" s="1">
        <v>1.576403059</v>
      </c>
      <c r="E2186" s="1"/>
      <c r="H2186" s="2">
        <v>2.4506007099999998</v>
      </c>
      <c r="I2186" s="2">
        <v>35.259845499999997</v>
      </c>
      <c r="J2186" s="2">
        <v>19.3275568</v>
      </c>
      <c r="L2186" s="2"/>
      <c r="M2186" s="2"/>
    </row>
    <row r="2187" spans="2:13">
      <c r="B2187" s="2"/>
      <c r="C2187" s="1">
        <v>2.9282891219999998</v>
      </c>
      <c r="D2187" s="1">
        <v>0.857457731</v>
      </c>
      <c r="E2187" s="1"/>
      <c r="H2187" s="2">
        <v>29.1871303</v>
      </c>
      <c r="I2187" s="2">
        <v>7.13592111</v>
      </c>
      <c r="J2187" s="2">
        <v>17.207087399999999</v>
      </c>
      <c r="L2187" s="2"/>
      <c r="M2187" s="2"/>
    </row>
    <row r="2188" spans="2:13">
      <c r="B2188" s="2"/>
      <c r="C2188" s="1">
        <v>18.584069929999998</v>
      </c>
      <c r="D2188" s="1">
        <v>0.59362458299999998</v>
      </c>
      <c r="E2188" s="1"/>
      <c r="H2188" s="2">
        <v>17.3445429</v>
      </c>
      <c r="I2188" s="2">
        <v>15.033628999999999</v>
      </c>
      <c r="J2188" s="2">
        <v>6.5352170300000001</v>
      </c>
      <c r="L2188" s="2"/>
      <c r="M2188" s="2"/>
    </row>
    <row r="2189" spans="2:13">
      <c r="B2189" s="2"/>
      <c r="C2189" s="1">
        <v>14.4482389</v>
      </c>
      <c r="D2189" s="1">
        <v>0.75192447200000001</v>
      </c>
      <c r="E2189" s="1"/>
      <c r="H2189" s="2">
        <v>24.1907599</v>
      </c>
      <c r="I2189" s="2">
        <v>18.003042799999999</v>
      </c>
      <c r="J2189" s="2">
        <v>11.610438800000001</v>
      </c>
      <c r="L2189" s="2"/>
      <c r="M2189" s="2"/>
    </row>
    <row r="2190" spans="2:13">
      <c r="B2190" s="2"/>
      <c r="C2190" s="1">
        <v>21.313114639999998</v>
      </c>
      <c r="D2190" s="1">
        <v>4.8611257500000002</v>
      </c>
      <c r="E2190" s="1"/>
      <c r="H2190" s="2">
        <v>15.4173714</v>
      </c>
      <c r="I2190" s="2">
        <v>12.515068599999999</v>
      </c>
      <c r="J2190" s="2">
        <v>54.680300000000003</v>
      </c>
      <c r="L2190" s="2"/>
      <c r="M2190" s="2"/>
    </row>
    <row r="2191" spans="2:13">
      <c r="B2191" s="2"/>
      <c r="C2191" s="1">
        <v>26.245923319999999</v>
      </c>
      <c r="D2191" s="1">
        <v>6.7145536139999997</v>
      </c>
      <c r="E2191" s="1"/>
      <c r="H2191" s="2">
        <v>11.604665000000001</v>
      </c>
      <c r="I2191" s="2">
        <v>11.7999218</v>
      </c>
      <c r="J2191" s="2">
        <v>102.54728900000001</v>
      </c>
      <c r="L2191" s="2"/>
      <c r="M2191" s="2"/>
    </row>
    <row r="2192" spans="2:13">
      <c r="B2192" s="2"/>
      <c r="C2192" s="1">
        <v>15.215028009999999</v>
      </c>
      <c r="D2192" s="1">
        <v>80.218468619999996</v>
      </c>
      <c r="E2192" s="1"/>
      <c r="H2192" s="2">
        <v>11.8366393</v>
      </c>
      <c r="I2192" s="2">
        <v>77.904358799999997</v>
      </c>
      <c r="J2192" s="2">
        <v>9.5942547900000008</v>
      </c>
      <c r="L2192" s="2"/>
      <c r="M2192" s="2"/>
    </row>
    <row r="2193" spans="2:13">
      <c r="B2193" s="2"/>
      <c r="C2193" s="1">
        <v>5.9531815960000003</v>
      </c>
      <c r="D2193" s="1">
        <v>4.003668019</v>
      </c>
      <c r="E2193" s="1"/>
      <c r="H2193" s="2">
        <v>70.377445600000001</v>
      </c>
      <c r="I2193" s="2">
        <v>88.273987000000005</v>
      </c>
      <c r="J2193" s="2">
        <v>58.399811800000002</v>
      </c>
      <c r="L2193" s="2"/>
      <c r="M2193" s="2"/>
    </row>
    <row r="2194" spans="2:13">
      <c r="B2194" s="2"/>
      <c r="C2194" s="1">
        <v>88.313577280000004</v>
      </c>
      <c r="D2194" s="1">
        <v>0.66617869799999996</v>
      </c>
      <c r="E2194" s="1"/>
      <c r="H2194" s="2">
        <v>100.177226</v>
      </c>
      <c r="I2194" s="2">
        <v>11.6755485</v>
      </c>
      <c r="J2194" s="2">
        <v>11.7494859</v>
      </c>
      <c r="L2194" s="2"/>
      <c r="M2194" s="2"/>
    </row>
    <row r="2195" spans="2:13">
      <c r="B2195" s="2"/>
      <c r="C2195" s="1">
        <v>95.691658329999996</v>
      </c>
      <c r="D2195" s="1">
        <v>4.7687841479999999</v>
      </c>
      <c r="E2195" s="1"/>
      <c r="H2195" s="2">
        <v>13.424771399999999</v>
      </c>
      <c r="I2195" s="2">
        <v>80.873772599999995</v>
      </c>
      <c r="J2195" s="2">
        <v>42.4789107</v>
      </c>
      <c r="L2195" s="2"/>
      <c r="M2195" s="2"/>
    </row>
    <row r="2196" spans="2:13">
      <c r="B2196" s="2"/>
      <c r="C2196" s="1">
        <v>5.8565782430000004</v>
      </c>
      <c r="D2196" s="1">
        <v>206.7792297</v>
      </c>
      <c r="E2196" s="1"/>
      <c r="H2196" s="2">
        <v>72.607968099999994</v>
      </c>
      <c r="I2196" s="2">
        <v>13.401228700000001</v>
      </c>
      <c r="J2196" s="2">
        <v>24.5418257</v>
      </c>
      <c r="L2196" s="2"/>
      <c r="M2196" s="2"/>
    </row>
    <row r="2197" spans="2:13">
      <c r="B2197" s="2"/>
      <c r="C2197" s="1">
        <v>38.943226459999998</v>
      </c>
      <c r="D2197" s="1">
        <v>0.84426607300000001</v>
      </c>
      <c r="E2197" s="1"/>
      <c r="H2197" s="2">
        <v>14.1504347</v>
      </c>
      <c r="I2197" s="2">
        <v>59.419369199999998</v>
      </c>
      <c r="J2197" s="2">
        <v>13.730908100000001</v>
      </c>
      <c r="L2197" s="2"/>
      <c r="M2197" s="2"/>
    </row>
    <row r="2198" spans="2:13">
      <c r="B2198" s="2"/>
      <c r="C2198" s="1">
        <v>13.458054539999999</v>
      </c>
      <c r="D2198" s="1">
        <v>1.371932369</v>
      </c>
      <c r="E2198" s="1"/>
      <c r="H2198" s="2">
        <v>39.304780299999997</v>
      </c>
      <c r="I2198" s="2">
        <v>28.7146978</v>
      </c>
      <c r="J2198" s="2">
        <v>38.516066299999999</v>
      </c>
      <c r="L2198" s="2"/>
      <c r="M2198" s="2"/>
    </row>
    <row r="2199" spans="2:13">
      <c r="B2199" s="2"/>
      <c r="C2199" s="1">
        <v>26.940259919999999</v>
      </c>
      <c r="D2199" s="1">
        <v>3.014293715</v>
      </c>
      <c r="E2199" s="1"/>
      <c r="H2199" s="2">
        <v>29.764092099999999</v>
      </c>
      <c r="I2199" s="2">
        <v>21.609870000000001</v>
      </c>
      <c r="J2199" s="2">
        <v>41.818436699999999</v>
      </c>
      <c r="L2199" s="2"/>
      <c r="M2199" s="2"/>
    </row>
    <row r="2200" spans="2:13">
      <c r="B2200" s="2"/>
      <c r="C2200" s="1">
        <v>7.9637388690000002</v>
      </c>
      <c r="D2200" s="1">
        <v>258.87308469999999</v>
      </c>
      <c r="E2200" s="1"/>
      <c r="H2200" s="2">
        <v>18.325972799999999</v>
      </c>
      <c r="I2200" s="2">
        <v>48.225767500000003</v>
      </c>
      <c r="J2200" s="2">
        <v>21.552311499999998</v>
      </c>
      <c r="L2200" s="2"/>
      <c r="M2200" s="2"/>
    </row>
    <row r="2201" spans="2:13">
      <c r="B2201" s="2"/>
      <c r="C2201" s="1">
        <v>22.07990375</v>
      </c>
      <c r="D2201" s="1">
        <v>1.2532074529999999</v>
      </c>
      <c r="E2201" s="1"/>
      <c r="H2201" s="2">
        <v>37.924830399999998</v>
      </c>
      <c r="I2201" s="2">
        <v>67.799023899999995</v>
      </c>
      <c r="J2201" s="2">
        <v>27.496578</v>
      </c>
      <c r="L2201" s="2"/>
      <c r="M2201" s="2"/>
    </row>
    <row r="2202" spans="2:13">
      <c r="B2202" s="2"/>
      <c r="C2202" s="1">
        <v>42.100948549999998</v>
      </c>
      <c r="D2202" s="1">
        <v>2.170027642</v>
      </c>
      <c r="E2202" s="1"/>
      <c r="H2202" s="2">
        <v>54.5675022</v>
      </c>
      <c r="I2202" s="2">
        <v>22.154003400000001</v>
      </c>
      <c r="J2202" s="2">
        <v>9.4204458300000002</v>
      </c>
      <c r="L2202" s="2"/>
      <c r="M2202" s="2"/>
    </row>
    <row r="2203" spans="2:13">
      <c r="B2203" s="2"/>
      <c r="C2203" s="1">
        <v>56.301641359999998</v>
      </c>
      <c r="D2203" s="1">
        <v>1.945769466</v>
      </c>
      <c r="E2203" s="1"/>
      <c r="H2203" s="2">
        <v>39.596235200000002</v>
      </c>
      <c r="I2203" s="2">
        <v>22.200643400000001</v>
      </c>
      <c r="J2203" s="2">
        <v>32.606561599999999</v>
      </c>
      <c r="L2203" s="2"/>
      <c r="M2203" s="2"/>
    </row>
    <row r="2204" spans="2:13">
      <c r="B2204" s="2"/>
      <c r="C2204" s="1">
        <v>36.57040662</v>
      </c>
      <c r="D2204" s="1">
        <v>348.58954670000003</v>
      </c>
      <c r="E2204" s="1"/>
      <c r="H2204" s="2">
        <v>34.040747199999998</v>
      </c>
      <c r="I2204" s="2">
        <v>11.3957084</v>
      </c>
      <c r="J2204" s="2">
        <v>30.312283300000001</v>
      </c>
      <c r="L2204" s="2"/>
      <c r="M2204" s="2"/>
    </row>
    <row r="2205" spans="2:13">
      <c r="B2205" s="2"/>
      <c r="C2205" s="1">
        <v>10.23995536</v>
      </c>
      <c r="D2205" s="1">
        <v>0.18468320399999999</v>
      </c>
      <c r="E2205" s="1"/>
      <c r="H2205" s="2">
        <v>13.9719929</v>
      </c>
      <c r="I2205" s="2">
        <v>33.4875252</v>
      </c>
      <c r="J2205" s="2">
        <v>5.3533160799999999</v>
      </c>
      <c r="L2205" s="2"/>
      <c r="M2205" s="2"/>
    </row>
    <row r="2206" spans="2:13">
      <c r="B2206" s="2"/>
      <c r="C2206" s="1">
        <v>11.284479109999999</v>
      </c>
      <c r="D2206" s="1">
        <v>0.52766629600000003</v>
      </c>
      <c r="E2206" s="1"/>
      <c r="H2206" s="2">
        <v>41.130834700000001</v>
      </c>
      <c r="I2206" s="2">
        <v>29.243284500000001</v>
      </c>
      <c r="J2206" s="2">
        <v>10.741394</v>
      </c>
      <c r="L2206" s="2"/>
      <c r="M2206" s="2"/>
    </row>
    <row r="2207" spans="2:13">
      <c r="B2207" s="2"/>
      <c r="C2207" s="1">
        <v>20.781796199999999</v>
      </c>
      <c r="D2207" s="1">
        <v>3.5947266400000002</v>
      </c>
      <c r="E2207" s="1"/>
      <c r="H2207" s="2">
        <v>45.889282700000003</v>
      </c>
      <c r="I2207" s="2">
        <v>9.4523747999999994</v>
      </c>
      <c r="J2207" s="2">
        <v>47.310799899999999</v>
      </c>
      <c r="L2207" s="2"/>
      <c r="M2207" s="2"/>
    </row>
    <row r="2208" spans="2:13">
      <c r="B2208" s="2"/>
      <c r="C2208" s="1">
        <v>62.665387199999998</v>
      </c>
      <c r="D2208" s="1">
        <v>0.105533259</v>
      </c>
      <c r="E2208" s="1"/>
      <c r="H2208" s="2">
        <v>8.2142708199999994</v>
      </c>
      <c r="I2208" s="2">
        <v>13.463415400000001</v>
      </c>
      <c r="J2208" s="2">
        <v>5.4576014600000002</v>
      </c>
      <c r="L2208" s="2"/>
      <c r="M2208" s="2"/>
    </row>
    <row r="2209" spans="2:13">
      <c r="B2209" s="2"/>
      <c r="C2209" s="1">
        <v>3.4596075599999998</v>
      </c>
      <c r="D2209" s="1">
        <v>9.8937430000000007E-2</v>
      </c>
      <c r="E2209" s="1"/>
      <c r="H2209" s="2">
        <v>15.0366956</v>
      </c>
      <c r="I2209" s="2">
        <v>48.505607500000004</v>
      </c>
      <c r="J2209" s="2">
        <v>1.56428067</v>
      </c>
      <c r="L2209" s="2"/>
      <c r="M2209" s="2"/>
    </row>
    <row r="2210" spans="2:13">
      <c r="B2210" s="2"/>
      <c r="C2210" s="1">
        <v>24.60970404</v>
      </c>
      <c r="D2210" s="1">
        <v>0.41553720799999999</v>
      </c>
      <c r="E2210" s="1"/>
      <c r="H2210" s="2">
        <v>58.748988300000001</v>
      </c>
      <c r="I2210" s="2">
        <v>8.1620012699999993</v>
      </c>
      <c r="J2210" s="2">
        <v>18.6323209</v>
      </c>
      <c r="L2210" s="2"/>
      <c r="M2210" s="2"/>
    </row>
    <row r="2211" spans="2:13">
      <c r="B2211" s="2"/>
      <c r="C2211" s="1">
        <v>55.637493310000004</v>
      </c>
      <c r="D2211" s="1">
        <v>1.7610862620000001</v>
      </c>
      <c r="E2211" s="1"/>
      <c r="H2211" s="2">
        <v>6.3287358100000004</v>
      </c>
      <c r="I2211" s="2">
        <v>1.2592802000000001</v>
      </c>
      <c r="J2211" s="2">
        <v>22.6994507</v>
      </c>
      <c r="L2211" s="2"/>
      <c r="M2211" s="2"/>
    </row>
    <row r="2212" spans="2:13">
      <c r="B2212" s="2"/>
      <c r="C2212" s="1">
        <v>4.473942761</v>
      </c>
      <c r="D2212" s="1">
        <v>0.474899666</v>
      </c>
      <c r="E2212" s="1"/>
      <c r="H2212" s="2">
        <v>1.6000281300000001</v>
      </c>
      <c r="I2212" s="2">
        <v>13.463415400000001</v>
      </c>
      <c r="J2212" s="2">
        <v>7.1261675100000001</v>
      </c>
      <c r="L2212" s="2"/>
      <c r="M2212" s="2"/>
    </row>
    <row r="2213" spans="2:13">
      <c r="B2213" s="2"/>
      <c r="C2213" s="1">
        <v>2.203763978</v>
      </c>
      <c r="D2213" s="1">
        <v>2.031515239</v>
      </c>
      <c r="E2213" s="1"/>
      <c r="H2213" s="2">
        <v>19.842728099999999</v>
      </c>
      <c r="I2213" s="2">
        <v>27.004564200000001</v>
      </c>
      <c r="J2213" s="2">
        <v>23.1861158</v>
      </c>
      <c r="L2213" s="2"/>
      <c r="M2213" s="2"/>
    </row>
    <row r="2214" spans="2:13">
      <c r="B2214" s="2"/>
      <c r="C2214" s="1">
        <v>14.03767466</v>
      </c>
      <c r="D2214" s="1">
        <v>1.681936318</v>
      </c>
      <c r="E2214" s="1"/>
      <c r="H2214" s="2">
        <v>31.441445000000002</v>
      </c>
      <c r="I2214" s="2">
        <v>6.3741343199999996</v>
      </c>
      <c r="J2214" s="2">
        <v>44.182238599999998</v>
      </c>
      <c r="L2214" s="2"/>
      <c r="M2214" s="2"/>
    </row>
    <row r="2215" spans="2:13">
      <c r="B2215" s="2"/>
      <c r="C2215" s="1">
        <v>17.50331993</v>
      </c>
      <c r="D2215" s="1">
        <v>0.67937035599999995</v>
      </c>
      <c r="E2215" s="1"/>
      <c r="H2215" s="2">
        <v>10.765988500000001</v>
      </c>
      <c r="I2215" s="2">
        <v>26.491524099999999</v>
      </c>
      <c r="J2215" s="2">
        <v>26.627533199999998</v>
      </c>
      <c r="L2215" s="2"/>
      <c r="M2215" s="2"/>
    </row>
    <row r="2216" spans="2:13">
      <c r="B2216" s="2"/>
      <c r="C2216" s="1">
        <v>10.934291959999999</v>
      </c>
      <c r="D2216" s="1">
        <v>0.29681229100000001</v>
      </c>
      <c r="E2216" s="1"/>
      <c r="H2216" s="2">
        <v>28.842142800000001</v>
      </c>
      <c r="I2216" s="2">
        <v>34.871178700000002</v>
      </c>
      <c r="J2216" s="2">
        <v>15.3647124</v>
      </c>
      <c r="L2216" s="2"/>
      <c r="M2216" s="2"/>
    </row>
    <row r="2217" spans="2:13">
      <c r="B2217" s="2"/>
      <c r="C2217" s="1">
        <v>19.84595122</v>
      </c>
      <c r="D2217" s="1">
        <v>54.824528139999998</v>
      </c>
      <c r="E2217" s="1"/>
      <c r="H2217" s="2">
        <v>48.845468500000003</v>
      </c>
      <c r="I2217" s="2">
        <v>29.3521112</v>
      </c>
      <c r="J2217" s="2">
        <v>14.6347147</v>
      </c>
      <c r="L2217" s="2"/>
      <c r="M2217" s="2"/>
    </row>
    <row r="2218" spans="2:13">
      <c r="B2218" s="2"/>
      <c r="C2218" s="1">
        <v>48.386204169999999</v>
      </c>
      <c r="D2218" s="1">
        <v>7.2554116000000002E-2</v>
      </c>
      <c r="E2218" s="1"/>
      <c r="H2218" s="2">
        <v>33.457837300000001</v>
      </c>
      <c r="I2218" s="2">
        <v>18.096322799999999</v>
      </c>
      <c r="J2218" s="2">
        <v>2.0509457699999998</v>
      </c>
      <c r="L2218" s="2"/>
      <c r="M2218" s="2"/>
    </row>
    <row r="2219" spans="2:13">
      <c r="B2219" s="2"/>
      <c r="C2219" s="1">
        <v>15.54710204</v>
      </c>
      <c r="D2219" s="1">
        <v>0.15170406</v>
      </c>
      <c r="E2219" s="1"/>
      <c r="H2219" s="2">
        <v>13.5437326</v>
      </c>
      <c r="I2219" s="2">
        <v>14.7382423</v>
      </c>
      <c r="J2219" s="2">
        <v>3.5109410699999999</v>
      </c>
      <c r="L2219" s="2"/>
      <c r="M2219" s="2"/>
    </row>
    <row r="2220" spans="2:13">
      <c r="B2220" s="2"/>
      <c r="C2220" s="1">
        <v>9.5758073130000003</v>
      </c>
      <c r="D2220" s="1">
        <v>0.69256201299999998</v>
      </c>
      <c r="E2220" s="1"/>
      <c r="H2220" s="2">
        <v>20.2471961</v>
      </c>
      <c r="I2220" s="2">
        <v>2.3475470299999999</v>
      </c>
      <c r="J2220" s="2">
        <v>16.3032808</v>
      </c>
      <c r="L2220" s="2"/>
      <c r="M2220" s="2"/>
    </row>
    <row r="2221" spans="2:13">
      <c r="B2221" s="2"/>
      <c r="C2221" s="1">
        <v>10.16750285</v>
      </c>
      <c r="D2221" s="1">
        <v>0.613412069</v>
      </c>
      <c r="E2221" s="1"/>
      <c r="H2221" s="2">
        <v>3.7770180799999999</v>
      </c>
      <c r="I2221" s="2">
        <v>3.49800054</v>
      </c>
      <c r="J2221" s="2">
        <v>9.6290165900000009</v>
      </c>
      <c r="L2221" s="2"/>
      <c r="M2221" s="2"/>
    </row>
    <row r="2222" spans="2:13">
      <c r="B2222" s="2"/>
      <c r="C2222" s="1">
        <v>1.050561458</v>
      </c>
      <c r="D2222" s="1">
        <v>0.43532469400000001</v>
      </c>
      <c r="E2222" s="1"/>
      <c r="H2222" s="2">
        <v>4.4372527399999999</v>
      </c>
      <c r="I2222" s="2">
        <v>9.7322148399999993</v>
      </c>
      <c r="J2222" s="2">
        <v>19.2580332</v>
      </c>
      <c r="L2222" s="2"/>
      <c r="M2222" s="2"/>
    </row>
    <row r="2223" spans="2:13">
      <c r="B2223" s="2"/>
      <c r="C2223" s="1">
        <v>2.270178783</v>
      </c>
      <c r="D2223" s="1">
        <v>1.5302322580000001</v>
      </c>
      <c r="E2223" s="1"/>
      <c r="H2223" s="2">
        <v>18.147531000000001</v>
      </c>
      <c r="I2223" s="2">
        <v>5.9854675999999998</v>
      </c>
      <c r="J2223" s="2">
        <v>15.5385214</v>
      </c>
      <c r="L2223" s="2"/>
      <c r="M2223" s="2"/>
    </row>
    <row r="2224" spans="2:13">
      <c r="B2224" s="2"/>
      <c r="C2224" s="1">
        <v>7.8610978070000002</v>
      </c>
      <c r="D2224" s="1">
        <v>127.84694759999999</v>
      </c>
      <c r="E2224" s="1"/>
      <c r="H2224" s="2">
        <v>12.377912800000001</v>
      </c>
      <c r="I2224" s="2">
        <v>20.4127765</v>
      </c>
      <c r="J2224" s="2">
        <v>10.880441100000001</v>
      </c>
      <c r="L2224" s="2"/>
      <c r="M2224" s="2"/>
    </row>
    <row r="2225" spans="2:13">
      <c r="B2225" s="2"/>
      <c r="C2225" s="1">
        <v>15.76445958</v>
      </c>
      <c r="D2225" s="1">
        <v>0.224258176</v>
      </c>
      <c r="E2225" s="1"/>
      <c r="H2225" s="2">
        <v>23.2747587</v>
      </c>
      <c r="I2225" s="2">
        <v>17.4589094</v>
      </c>
      <c r="J2225" s="2">
        <v>5.38807787</v>
      </c>
      <c r="L2225" s="2"/>
      <c r="M2225" s="2"/>
    </row>
    <row r="2226" spans="2:13">
      <c r="B2226" s="2"/>
      <c r="C2226" s="1">
        <v>5.8626159529999997</v>
      </c>
      <c r="D2226" s="1">
        <v>8.4822357050000008</v>
      </c>
      <c r="E2226" s="1"/>
      <c r="H2226" s="2">
        <v>21.704470799999999</v>
      </c>
      <c r="I2226" s="2">
        <v>21.672056699999999</v>
      </c>
      <c r="J2226" s="2">
        <v>102.51252700000001</v>
      </c>
      <c r="L2226" s="2"/>
      <c r="M2226" s="2"/>
    </row>
    <row r="2227" spans="2:13">
      <c r="B2227" s="2"/>
      <c r="C2227" s="1">
        <v>30.92514821</v>
      </c>
      <c r="D2227" s="1">
        <v>1213.757801</v>
      </c>
      <c r="E2227" s="1"/>
      <c r="H2227" s="2">
        <v>11.6938859</v>
      </c>
      <c r="I2227" s="2">
        <v>10.509548300000001</v>
      </c>
      <c r="J2227" s="2">
        <v>136.44003599999999</v>
      </c>
      <c r="L2227" s="2"/>
      <c r="M2227" s="2"/>
    </row>
    <row r="2228" spans="2:13">
      <c r="B2228" s="2"/>
      <c r="C2228" s="1">
        <v>19.942554569999999</v>
      </c>
      <c r="D2228" s="1">
        <v>0.474899666</v>
      </c>
      <c r="E2228" s="1"/>
      <c r="H2228" s="2">
        <v>6.0432289299999997</v>
      </c>
      <c r="I2228" s="2">
        <v>92.7358811</v>
      </c>
      <c r="J2228" s="2">
        <v>11.645200600000001</v>
      </c>
      <c r="L2228" s="2"/>
      <c r="M2228" s="2"/>
    </row>
    <row r="2229" spans="2:13">
      <c r="B2229" s="2"/>
      <c r="C2229" s="1">
        <v>6.0980866239999996</v>
      </c>
      <c r="D2229" s="1">
        <v>1.5895947159999999</v>
      </c>
      <c r="E2229" s="1"/>
      <c r="H2229" s="2">
        <v>106.833105</v>
      </c>
      <c r="I2229" s="2">
        <v>97.897375199999999</v>
      </c>
      <c r="J2229" s="2">
        <v>22.977544999999999</v>
      </c>
      <c r="L2229" s="2"/>
      <c r="M2229" s="2"/>
    </row>
    <row r="2230" spans="2:13">
      <c r="B2230" s="2"/>
      <c r="C2230" s="1">
        <v>156.8959198</v>
      </c>
      <c r="D2230" s="1">
        <v>4.4389927140000003</v>
      </c>
      <c r="E2230" s="1"/>
      <c r="H2230" s="2">
        <v>112.192307</v>
      </c>
      <c r="I2230" s="2">
        <v>13.2924021</v>
      </c>
      <c r="J2230" s="2">
        <v>49.431269299999997</v>
      </c>
      <c r="L2230" s="2"/>
      <c r="M2230" s="2"/>
    </row>
    <row r="2231" spans="2:13">
      <c r="B2231" s="2"/>
      <c r="C2231" s="1">
        <v>207.2624927</v>
      </c>
      <c r="D2231" s="1">
        <v>2.3481150159999999</v>
      </c>
      <c r="E2231" s="1"/>
      <c r="H2231" s="2">
        <v>11.884223799999999</v>
      </c>
      <c r="I2231" s="2">
        <v>40.032672900000001</v>
      </c>
      <c r="J2231" s="2">
        <v>66.429785899999999</v>
      </c>
      <c r="L2231" s="2"/>
      <c r="M2231" s="2"/>
    </row>
    <row r="2232" spans="2:13">
      <c r="B2232" s="2"/>
      <c r="C2232" s="1">
        <v>19.175765460000001</v>
      </c>
      <c r="D2232" s="1">
        <v>3.1659977750000001</v>
      </c>
      <c r="E2232" s="1"/>
      <c r="H2232" s="2">
        <v>31.5663543</v>
      </c>
      <c r="I2232" s="2">
        <v>72.214277899999999</v>
      </c>
      <c r="J2232" s="2">
        <v>54.054587699999999</v>
      </c>
      <c r="L2232" s="2"/>
      <c r="M2232" s="2"/>
    </row>
    <row r="2233" spans="2:13">
      <c r="B2233" s="2"/>
      <c r="C2233" s="1">
        <v>41.877553290000002</v>
      </c>
      <c r="D2233" s="1">
        <v>0.78490361500000005</v>
      </c>
      <c r="E2233" s="1"/>
      <c r="H2233" s="2">
        <v>61.461303700000002</v>
      </c>
      <c r="I2233" s="2">
        <v>45.691660400000004</v>
      </c>
      <c r="J2233" s="2">
        <v>8.0647359099999996</v>
      </c>
      <c r="L2233" s="2"/>
      <c r="M2233" s="2"/>
    </row>
    <row r="2234" spans="2:13">
      <c r="B2234" s="2"/>
      <c r="C2234" s="1">
        <v>92.630539600000006</v>
      </c>
      <c r="D2234" s="1">
        <v>0.72554115699999999</v>
      </c>
      <c r="E2234" s="1"/>
      <c r="H2234" s="2">
        <v>82.428215100000003</v>
      </c>
      <c r="I2234" s="2">
        <v>46.624460599999999</v>
      </c>
      <c r="J2234" s="2">
        <v>31.598469600000001</v>
      </c>
      <c r="L2234" s="2"/>
      <c r="M2234" s="2"/>
    </row>
    <row r="2235" spans="2:13">
      <c r="B2235" s="2"/>
      <c r="C2235" s="1">
        <v>61.965012899999998</v>
      </c>
      <c r="D2235" s="1">
        <v>0.19127903199999999</v>
      </c>
      <c r="E2235" s="1"/>
      <c r="H2235" s="2">
        <v>63.442007599999997</v>
      </c>
      <c r="I2235" s="2">
        <v>38.788939399999997</v>
      </c>
      <c r="J2235" s="2">
        <v>4.1018915399999996</v>
      </c>
      <c r="L2235" s="2"/>
      <c r="M2235" s="2"/>
    </row>
    <row r="2236" spans="2:13">
      <c r="B2236" s="2"/>
      <c r="C2236" s="1">
        <v>92.606388760000002</v>
      </c>
      <c r="D2236" s="1">
        <v>0.27042897700000001</v>
      </c>
      <c r="E2236" s="1"/>
      <c r="H2236" s="2">
        <v>12.3898089</v>
      </c>
      <c r="I2236" s="2">
        <v>24.936857199999999</v>
      </c>
      <c r="J2236" s="2">
        <v>5.6314104199999999</v>
      </c>
      <c r="L2236" s="2"/>
      <c r="M2236" s="2"/>
    </row>
    <row r="2237" spans="2:13">
      <c r="B2237" s="2"/>
      <c r="C2237" s="1">
        <v>11.272403690000001</v>
      </c>
      <c r="D2237" s="1">
        <v>1.3587407119999999</v>
      </c>
      <c r="E2237" s="1"/>
      <c r="H2237" s="2">
        <v>41.654263999999998</v>
      </c>
      <c r="I2237" s="2">
        <v>3.6223738999999999</v>
      </c>
      <c r="J2237" s="2">
        <v>22.838497799999999</v>
      </c>
      <c r="L2237" s="2"/>
      <c r="M2237" s="2"/>
    </row>
    <row r="2238" spans="2:13">
      <c r="B2238" s="2"/>
      <c r="C2238" s="1">
        <v>23.96970683</v>
      </c>
      <c r="D2238" s="1">
        <v>1.563211401</v>
      </c>
      <c r="E2238" s="1"/>
      <c r="H2238" s="2">
        <v>5.9421119100000004</v>
      </c>
      <c r="I2238" s="2">
        <v>4.4618940299999998</v>
      </c>
      <c r="J2238" s="2">
        <v>6.9175967500000004</v>
      </c>
      <c r="L2238" s="2"/>
      <c r="M2238" s="2"/>
    </row>
    <row r="2239" spans="2:13">
      <c r="B2239" s="2"/>
      <c r="C2239" s="1">
        <v>3.1214958269999999</v>
      </c>
      <c r="D2239" s="1">
        <v>3.119826974</v>
      </c>
      <c r="E2239" s="1"/>
      <c r="H2239" s="2">
        <v>8.5889986</v>
      </c>
      <c r="I2239" s="2">
        <v>25.170057199999999</v>
      </c>
      <c r="J2239" s="2">
        <v>29.790856399999999</v>
      </c>
      <c r="L2239" s="2"/>
      <c r="M2239" s="2"/>
    </row>
    <row r="2240" spans="2:13">
      <c r="B2240" s="2"/>
      <c r="C2240" s="1">
        <v>4.5343198559999998</v>
      </c>
      <c r="D2240" s="1">
        <v>122.1085767</v>
      </c>
      <c r="E2240" s="1"/>
      <c r="H2240" s="2">
        <v>34.064539400000001</v>
      </c>
      <c r="I2240" s="2">
        <v>13.1835754</v>
      </c>
      <c r="J2240" s="2">
        <v>24.993728999999998</v>
      </c>
      <c r="L2240" s="2"/>
      <c r="M2240" s="2"/>
    </row>
    <row r="2241" spans="2:13">
      <c r="B2241" s="2"/>
      <c r="C2241" s="1">
        <v>30.756092339999999</v>
      </c>
      <c r="D2241" s="1">
        <v>0.54085795299999995</v>
      </c>
      <c r="E2241" s="1"/>
      <c r="H2241" s="2">
        <v>14.2991362</v>
      </c>
      <c r="I2241" s="2">
        <v>35.166565499999997</v>
      </c>
      <c r="J2241" s="2">
        <v>8.9337807300000005</v>
      </c>
      <c r="L2241" s="2"/>
      <c r="M2241" s="2"/>
    </row>
    <row r="2242" spans="2:13">
      <c r="B2242" s="2"/>
      <c r="C2242" s="1">
        <v>37.96511752</v>
      </c>
      <c r="D2242" s="1">
        <v>4.6632508890000004</v>
      </c>
      <c r="E2242" s="1"/>
      <c r="H2242" s="2">
        <v>60.444185400000002</v>
      </c>
      <c r="I2242" s="2">
        <v>27.051204200000001</v>
      </c>
      <c r="J2242" s="2">
        <v>40.949391800000001</v>
      </c>
      <c r="L2242" s="2"/>
      <c r="M2242" s="2"/>
    </row>
    <row r="2243" spans="2:13">
      <c r="B2243" s="2"/>
      <c r="C2243" s="1">
        <v>76.449478060000004</v>
      </c>
      <c r="D2243" s="1">
        <v>20.090894209999998</v>
      </c>
      <c r="E2243" s="1"/>
      <c r="H2243" s="2">
        <v>30.1864043</v>
      </c>
      <c r="I2243" s="2">
        <v>31.202164799999998</v>
      </c>
      <c r="J2243" s="2">
        <v>99.627297999999996</v>
      </c>
      <c r="L2243" s="2"/>
      <c r="M2243" s="2"/>
    </row>
    <row r="2244" spans="2:13">
      <c r="B2244" s="2"/>
      <c r="C2244" s="1">
        <v>19.53802804</v>
      </c>
      <c r="D2244" s="1">
        <v>1.121290879</v>
      </c>
      <c r="E2244" s="1"/>
      <c r="H2244" s="2">
        <v>15.3222025</v>
      </c>
      <c r="I2244" s="2">
        <v>49.018647600000001</v>
      </c>
      <c r="J2244" s="2">
        <v>13.6266228</v>
      </c>
      <c r="L2244" s="2"/>
      <c r="M2244" s="2"/>
    </row>
    <row r="2245" spans="2:13">
      <c r="B2245" s="2"/>
      <c r="C2245" s="1">
        <v>20.473873009999998</v>
      </c>
      <c r="D2245" s="1">
        <v>2.1964109559999998</v>
      </c>
      <c r="E2245" s="1"/>
      <c r="H2245" s="2">
        <v>50.903497199999997</v>
      </c>
      <c r="I2245" s="2">
        <v>140.946102</v>
      </c>
      <c r="J2245" s="2">
        <v>34.935601699999999</v>
      </c>
      <c r="L2245" s="2"/>
      <c r="M2245" s="2"/>
    </row>
    <row r="2246" spans="2:13">
      <c r="B2246" s="2"/>
      <c r="C2246" s="1">
        <v>32.929667770000002</v>
      </c>
      <c r="D2246" s="1">
        <v>2.9021646269999999</v>
      </c>
      <c r="E2246" s="1"/>
      <c r="H2246" s="2">
        <v>165.65941799999999</v>
      </c>
      <c r="I2246" s="2">
        <v>13.074748700000001</v>
      </c>
      <c r="J2246" s="2">
        <v>6.9523589999999996E-2</v>
      </c>
      <c r="L2246" s="2"/>
      <c r="M2246" s="2"/>
    </row>
    <row r="2247" spans="2:13">
      <c r="B2247" s="2"/>
      <c r="C2247" s="1">
        <v>159.3230791</v>
      </c>
      <c r="D2247" s="1">
        <v>2.6845022799999998</v>
      </c>
      <c r="E2247" s="1"/>
      <c r="H2247" s="2">
        <v>12.2054191</v>
      </c>
      <c r="I2247" s="2">
        <v>43.110913400000001</v>
      </c>
      <c r="J2247" s="2">
        <v>26.5927714</v>
      </c>
      <c r="L2247" s="2"/>
      <c r="M2247" s="2"/>
    </row>
    <row r="2248" spans="2:13">
      <c r="B2248" s="2"/>
      <c r="C2248" s="1">
        <v>15.50483807</v>
      </c>
      <c r="D2248" s="1">
        <v>0.57383709699999996</v>
      </c>
      <c r="E2248" s="1"/>
      <c r="H2248" s="2">
        <v>38.870571900000002</v>
      </c>
      <c r="I2248" s="2">
        <v>0.17101336</v>
      </c>
      <c r="J2248" s="2">
        <v>35.317981400000001</v>
      </c>
      <c r="L2248" s="2"/>
      <c r="M2248" s="2"/>
    </row>
    <row r="2249" spans="2:13">
      <c r="B2249" s="2"/>
      <c r="C2249" s="1">
        <v>25.925924720000001</v>
      </c>
      <c r="D2249" s="1">
        <v>5.5141127909999996</v>
      </c>
      <c r="E2249" s="1"/>
      <c r="H2249" s="2">
        <v>0.29145494</v>
      </c>
      <c r="I2249" s="2">
        <v>38.540192599999997</v>
      </c>
      <c r="J2249" s="2">
        <v>25.549917700000002</v>
      </c>
      <c r="L2249" s="2"/>
      <c r="M2249" s="2"/>
    </row>
    <row r="2250" spans="2:13">
      <c r="B2250" s="2"/>
      <c r="C2250" s="1">
        <v>0.13282960999999999</v>
      </c>
      <c r="D2250" s="1">
        <v>0.71894532799999999</v>
      </c>
      <c r="E2250" s="1"/>
      <c r="H2250" s="2">
        <v>44.390371600000002</v>
      </c>
      <c r="I2250" s="2">
        <v>29.227737900000001</v>
      </c>
      <c r="J2250" s="2">
        <v>68.897873200000006</v>
      </c>
      <c r="L2250" s="2"/>
      <c r="M2250" s="2"/>
    </row>
    <row r="2251" spans="2:13">
      <c r="B2251" s="2"/>
      <c r="C2251" s="1">
        <v>23.740273869999999</v>
      </c>
      <c r="D2251" s="1">
        <v>1.101503393</v>
      </c>
      <c r="E2251" s="1"/>
      <c r="H2251" s="2">
        <v>46.418660000000003</v>
      </c>
      <c r="I2251" s="2">
        <v>22.247283500000002</v>
      </c>
      <c r="J2251" s="2">
        <v>3.23284672</v>
      </c>
      <c r="L2251" s="2"/>
      <c r="M2251" s="2"/>
    </row>
    <row r="2252" spans="2:13">
      <c r="B2252" s="2"/>
      <c r="C2252" s="1">
        <v>69.89856322</v>
      </c>
      <c r="D2252" s="1">
        <v>0.29021646299999998</v>
      </c>
      <c r="E2252" s="1"/>
      <c r="H2252" s="2">
        <v>27.468140900000002</v>
      </c>
      <c r="I2252" s="2">
        <v>87.496653600000002</v>
      </c>
      <c r="J2252" s="2">
        <v>27.844196</v>
      </c>
      <c r="L2252" s="2"/>
      <c r="M2252" s="2"/>
    </row>
    <row r="2253" spans="2:13">
      <c r="B2253" s="2"/>
      <c r="C2253" s="1">
        <v>8.5856229509999995</v>
      </c>
      <c r="D2253" s="1">
        <v>0.13191657400000001</v>
      </c>
      <c r="E2253" s="1"/>
      <c r="H2253" s="2">
        <v>87.870689900000002</v>
      </c>
      <c r="I2253" s="2">
        <v>3.9333072800000002</v>
      </c>
      <c r="J2253" s="2">
        <v>5.8747429699999998</v>
      </c>
      <c r="L2253" s="2"/>
      <c r="M2253" s="2"/>
    </row>
    <row r="2254" spans="2:13">
      <c r="B2254" s="2"/>
      <c r="C2254" s="1">
        <v>130.24547000000001</v>
      </c>
      <c r="D2254" s="1">
        <v>0.310003949</v>
      </c>
      <c r="E2254" s="1"/>
      <c r="H2254" s="2">
        <v>4.9130975399999999</v>
      </c>
      <c r="I2254" s="2">
        <v>19.9152831</v>
      </c>
      <c r="J2254" s="2">
        <v>5.2142689100000004</v>
      </c>
      <c r="L2254" s="2"/>
      <c r="M2254" s="2"/>
    </row>
    <row r="2255" spans="2:13">
      <c r="B2255" s="2"/>
      <c r="C2255" s="1">
        <v>3.483758398</v>
      </c>
      <c r="D2255" s="1">
        <v>1.741298776</v>
      </c>
      <c r="E2255" s="1"/>
      <c r="H2255" s="2">
        <v>27.830972599999999</v>
      </c>
      <c r="I2255" s="2">
        <v>6.1098409499999997</v>
      </c>
      <c r="J2255" s="2">
        <v>3.1633231400000001</v>
      </c>
      <c r="L2255" s="2"/>
      <c r="M2255" s="2"/>
    </row>
    <row r="2256" spans="2:13">
      <c r="B2256" s="2"/>
      <c r="C2256" s="1">
        <v>11.51391207</v>
      </c>
      <c r="D2256" s="1">
        <v>1.0157576189999999</v>
      </c>
      <c r="E2256" s="1"/>
      <c r="H2256" s="2">
        <v>8.1488421599999992</v>
      </c>
      <c r="I2256" s="2">
        <v>9.6078414900000002</v>
      </c>
      <c r="J2256" s="2">
        <v>59.477427400000003</v>
      </c>
      <c r="L2256" s="2"/>
      <c r="M2256" s="2"/>
    </row>
    <row r="2257" spans="2:13">
      <c r="B2257" s="2"/>
      <c r="C2257" s="1">
        <v>7.2452514350000001</v>
      </c>
      <c r="D2257" s="1">
        <v>0.32319560600000002</v>
      </c>
      <c r="E2257" s="1"/>
      <c r="H2257" s="2">
        <v>5.70418951</v>
      </c>
      <c r="I2257" s="2">
        <v>4.275334</v>
      </c>
      <c r="J2257" s="2">
        <v>21.343740700000001</v>
      </c>
      <c r="L2257" s="2"/>
      <c r="M2257" s="2"/>
    </row>
    <row r="2258" spans="2:13">
      <c r="B2258" s="2"/>
      <c r="C2258" s="1">
        <v>5.7901634389999996</v>
      </c>
      <c r="D2258" s="1">
        <v>0.56064543899999997</v>
      </c>
      <c r="E2258" s="1"/>
      <c r="H2258" s="2">
        <v>6.7926844900000001</v>
      </c>
      <c r="I2258" s="2">
        <v>82.459532800000005</v>
      </c>
      <c r="J2258" s="2">
        <v>9.0380661100000008</v>
      </c>
      <c r="L2258" s="2"/>
      <c r="M2258" s="2"/>
    </row>
    <row r="2259" spans="2:13">
      <c r="B2259" s="2"/>
      <c r="C2259" s="1">
        <v>4.9026201379999996</v>
      </c>
      <c r="D2259" s="1">
        <v>2.3613066740000002</v>
      </c>
      <c r="E2259" s="1"/>
      <c r="H2259" s="2">
        <v>75.332179499999995</v>
      </c>
      <c r="I2259" s="2">
        <v>20.5060565</v>
      </c>
      <c r="J2259" s="2">
        <v>10.289490600000001</v>
      </c>
      <c r="L2259" s="2"/>
      <c r="M2259" s="2"/>
    </row>
    <row r="2260" spans="2:13">
      <c r="B2260" s="2"/>
      <c r="C2260" s="1">
        <v>32.911554639999999</v>
      </c>
      <c r="D2260" s="1">
        <v>2.6515231359999998</v>
      </c>
      <c r="E2260" s="1"/>
      <c r="H2260" s="2">
        <v>23.6673306</v>
      </c>
      <c r="I2260" s="2">
        <v>14.1630155</v>
      </c>
      <c r="J2260" s="2">
        <v>20.8223138</v>
      </c>
      <c r="L2260" s="2"/>
      <c r="M2260" s="2"/>
    </row>
    <row r="2261" spans="2:13">
      <c r="B2261" s="2"/>
      <c r="C2261" s="1">
        <v>27.80969009</v>
      </c>
      <c r="D2261" s="1">
        <v>1.108099221</v>
      </c>
      <c r="E2261" s="1"/>
      <c r="H2261" s="2">
        <v>10.997962899999999</v>
      </c>
      <c r="I2261" s="2">
        <v>10.696108300000001</v>
      </c>
      <c r="J2261" s="2">
        <v>57.461243400000001</v>
      </c>
      <c r="L2261" s="2"/>
      <c r="M2261" s="2"/>
    </row>
    <row r="2262" spans="2:13">
      <c r="B2262" s="2"/>
      <c r="C2262" s="1">
        <v>11.966740290000001</v>
      </c>
      <c r="D2262" s="1">
        <v>204.20685649999999</v>
      </c>
      <c r="E2262" s="1"/>
      <c r="H2262" s="2">
        <v>14.7095523</v>
      </c>
      <c r="I2262" s="2">
        <v>27.641977600000001</v>
      </c>
      <c r="J2262" s="2">
        <v>25.619441200000001</v>
      </c>
      <c r="L2262" s="2"/>
      <c r="M2262" s="2"/>
    </row>
    <row r="2263" spans="2:13">
      <c r="B2263" s="2"/>
      <c r="C2263" s="1">
        <v>23.474614649999999</v>
      </c>
      <c r="D2263" s="1">
        <v>1.662148832</v>
      </c>
      <c r="E2263" s="1"/>
      <c r="H2263" s="2">
        <v>21.912652900000001</v>
      </c>
      <c r="I2263" s="2">
        <v>54.288968400000002</v>
      </c>
      <c r="J2263" s="2">
        <v>29.790856399999999</v>
      </c>
      <c r="L2263" s="2"/>
      <c r="M2263" s="2"/>
    </row>
    <row r="2264" spans="2:13">
      <c r="B2264" s="2"/>
      <c r="C2264" s="1">
        <v>52.232225139999997</v>
      </c>
      <c r="D2264" s="1">
        <v>0.44192052300000001</v>
      </c>
      <c r="E2264" s="1"/>
      <c r="H2264" s="2">
        <v>59.718522100000001</v>
      </c>
      <c r="I2264" s="2">
        <v>18.733736199999999</v>
      </c>
      <c r="J2264" s="2">
        <v>39.489396499999998</v>
      </c>
      <c r="L2264" s="2"/>
      <c r="M2264" s="2"/>
    </row>
    <row r="2265" spans="2:13">
      <c r="B2265" s="2"/>
      <c r="C2265" s="1">
        <v>63.776325759999999</v>
      </c>
      <c r="D2265" s="1">
        <v>3.2187644039999999</v>
      </c>
      <c r="E2265" s="1"/>
      <c r="H2265" s="2">
        <v>32.054095199999999</v>
      </c>
      <c r="I2265" s="2">
        <v>22.6359502</v>
      </c>
      <c r="J2265" s="2">
        <v>8.6556863899999996</v>
      </c>
      <c r="L2265" s="2"/>
      <c r="M2265" s="2"/>
    </row>
    <row r="2266" spans="2:13">
      <c r="B2266" s="2"/>
      <c r="C2266" s="1">
        <v>14.629370189999999</v>
      </c>
      <c r="D2266" s="1">
        <v>10.75779661</v>
      </c>
      <c r="E2266" s="1"/>
      <c r="H2266" s="2">
        <v>33.921785999999997</v>
      </c>
      <c r="I2266" s="2">
        <v>44.043713500000003</v>
      </c>
      <c r="J2266" s="2">
        <v>37.716545099999998</v>
      </c>
      <c r="L2266" s="2"/>
      <c r="M2266" s="2"/>
    </row>
    <row r="2267" spans="2:13">
      <c r="B2267" s="2"/>
      <c r="C2267" s="1">
        <v>23.879141189999999</v>
      </c>
      <c r="D2267" s="1">
        <v>0.90362853200000004</v>
      </c>
      <c r="E2267" s="1"/>
      <c r="H2267" s="2">
        <v>41.666160099999999</v>
      </c>
      <c r="I2267" s="2">
        <v>6.7783477200000002</v>
      </c>
      <c r="J2267" s="2">
        <v>78.909269499999994</v>
      </c>
      <c r="L2267" s="2"/>
      <c r="M2267" s="2"/>
    </row>
    <row r="2268" spans="2:13">
      <c r="B2268" s="2"/>
      <c r="C2268" s="1">
        <v>42.81339827</v>
      </c>
      <c r="D2268" s="1">
        <v>2.9549312570000001</v>
      </c>
      <c r="E2268" s="1"/>
      <c r="H2268" s="2">
        <v>13.573472900000001</v>
      </c>
      <c r="I2268" s="2">
        <v>42.038193200000002</v>
      </c>
      <c r="J2268" s="2">
        <v>14.078526099999999</v>
      </c>
      <c r="L2268" s="2"/>
      <c r="M2268" s="2"/>
    </row>
    <row r="2269" spans="2:13">
      <c r="B2269" s="2"/>
      <c r="C2269" s="1">
        <v>15.848987510000001</v>
      </c>
      <c r="D2269" s="1">
        <v>1.352144883</v>
      </c>
      <c r="E2269" s="1"/>
      <c r="H2269" s="2">
        <v>58.308831900000001</v>
      </c>
      <c r="I2269" s="2">
        <v>91.492147500000002</v>
      </c>
      <c r="J2269" s="2">
        <v>48.388415500000001</v>
      </c>
      <c r="L2269" s="2"/>
      <c r="M2269" s="2"/>
    </row>
    <row r="2270" spans="2:13">
      <c r="B2270" s="2"/>
      <c r="C2270" s="1">
        <v>63.78236347</v>
      </c>
      <c r="D2270" s="1">
        <v>0.37596223600000001</v>
      </c>
      <c r="E2270" s="1"/>
      <c r="H2270" s="2">
        <v>94.847764299999994</v>
      </c>
      <c r="I2270" s="2">
        <v>8.9859747300000006</v>
      </c>
      <c r="J2270" s="2">
        <v>19.779460100000001</v>
      </c>
      <c r="L2270" s="2"/>
      <c r="M2270" s="2"/>
    </row>
    <row r="2271" spans="2:13">
      <c r="B2271" s="2"/>
      <c r="C2271" s="1">
        <v>137.38204260000001</v>
      </c>
      <c r="D2271" s="1">
        <v>2.9681229139999998</v>
      </c>
      <c r="E2271" s="1"/>
      <c r="H2271" s="2">
        <v>15.125916500000001</v>
      </c>
      <c r="I2271" s="2">
        <v>57.3516622</v>
      </c>
      <c r="J2271" s="2">
        <v>6.3961698599999997</v>
      </c>
      <c r="L2271" s="2"/>
      <c r="M2271" s="2"/>
    </row>
    <row r="2272" spans="2:13">
      <c r="B2272" s="2"/>
      <c r="C2272" s="1">
        <v>14.248994489999999</v>
      </c>
      <c r="D2272" s="1">
        <v>23.10518793</v>
      </c>
      <c r="E2272" s="1"/>
      <c r="H2272" s="2">
        <v>70.585627700000003</v>
      </c>
      <c r="I2272" s="2">
        <v>30.098351300000001</v>
      </c>
      <c r="J2272" s="2">
        <v>30.277521499999999</v>
      </c>
      <c r="L2272" s="2"/>
      <c r="M2272" s="2"/>
    </row>
    <row r="2273" spans="2:13">
      <c r="B2273" s="2"/>
      <c r="C2273" s="1">
        <v>51.978641340000003</v>
      </c>
      <c r="D2273" s="1">
        <v>0.40894137899999999</v>
      </c>
      <c r="E2273" s="1"/>
      <c r="H2273" s="2">
        <v>21.4784446</v>
      </c>
      <c r="I2273" s="2">
        <v>10.043148199999999</v>
      </c>
      <c r="J2273" s="2">
        <v>101.71300599999999</v>
      </c>
      <c r="L2273" s="2"/>
      <c r="M2273" s="2"/>
    </row>
    <row r="2274" spans="2:13">
      <c r="B2274" s="2"/>
      <c r="C2274" s="1">
        <v>26.988561600000001</v>
      </c>
      <c r="D2274" s="1">
        <v>0.25723731900000002</v>
      </c>
      <c r="E2274" s="1"/>
      <c r="H2274" s="2">
        <v>7.3339579400000003</v>
      </c>
      <c r="I2274" s="2">
        <v>44.821047</v>
      </c>
      <c r="J2274" s="2">
        <v>6.1528373099999998</v>
      </c>
      <c r="L2274" s="2"/>
      <c r="M2274" s="2"/>
    </row>
    <row r="2275" spans="2:13">
      <c r="B2275" s="2"/>
      <c r="C2275" s="1">
        <v>5.6995977959999999</v>
      </c>
      <c r="D2275" s="1">
        <v>1.068524249</v>
      </c>
      <c r="E2275" s="1"/>
      <c r="H2275" s="2">
        <v>43.510058700000002</v>
      </c>
      <c r="I2275" s="2">
        <v>137.02834100000001</v>
      </c>
      <c r="J2275" s="2">
        <v>2.5028490799999998</v>
      </c>
      <c r="L2275" s="2"/>
      <c r="M2275" s="2"/>
    </row>
    <row r="2276" spans="2:13">
      <c r="B2276" s="2"/>
      <c r="C2276" s="1">
        <v>58.32427405</v>
      </c>
      <c r="D2276" s="1">
        <v>2.453648276</v>
      </c>
      <c r="E2276" s="1"/>
      <c r="H2276" s="2">
        <v>119.10990099999999</v>
      </c>
      <c r="I2276" s="2">
        <v>10.618375</v>
      </c>
      <c r="J2276" s="2">
        <v>23.498971900000001</v>
      </c>
      <c r="L2276" s="2"/>
      <c r="M2276" s="2"/>
    </row>
    <row r="2277" spans="2:13">
      <c r="B2277" s="2"/>
      <c r="C2277" s="1">
        <v>120.6273987</v>
      </c>
      <c r="D2277" s="1">
        <v>0.45511217999999998</v>
      </c>
      <c r="E2277" s="1"/>
      <c r="H2277" s="2">
        <v>9.8321431300000004</v>
      </c>
      <c r="I2277" s="2">
        <v>2.9227737899999999</v>
      </c>
      <c r="J2277" s="2">
        <v>36.360835199999997</v>
      </c>
      <c r="L2277" s="2"/>
      <c r="M2277" s="2"/>
    </row>
    <row r="2278" spans="2:13">
      <c r="B2278" s="2"/>
      <c r="C2278" s="1">
        <v>11.580326879999999</v>
      </c>
      <c r="D2278" s="1">
        <v>1.068524249</v>
      </c>
      <c r="E2278" s="1"/>
      <c r="H2278" s="2">
        <v>3.2952252199999998</v>
      </c>
      <c r="I2278" s="2">
        <v>29.740777900000001</v>
      </c>
      <c r="J2278" s="2">
        <v>13.869955300000001</v>
      </c>
      <c r="L2278" s="2"/>
      <c r="M2278" s="2"/>
    </row>
    <row r="2279" spans="2:13">
      <c r="B2279" s="2"/>
      <c r="C2279" s="1">
        <v>5.566768186</v>
      </c>
      <c r="D2279" s="1">
        <v>1.72151129</v>
      </c>
      <c r="E2279" s="1"/>
      <c r="H2279" s="2">
        <v>35.004332900000001</v>
      </c>
      <c r="I2279" s="2">
        <v>43.484033400000001</v>
      </c>
      <c r="J2279" s="2">
        <v>24.2637313</v>
      </c>
      <c r="L2279" s="2"/>
      <c r="M2279" s="2"/>
    </row>
    <row r="2280" spans="2:13">
      <c r="B2280" s="2"/>
      <c r="C2280" s="1">
        <v>22.176507099999998</v>
      </c>
      <c r="D2280" s="1">
        <v>74.275626959999997</v>
      </c>
      <c r="E2280" s="1"/>
      <c r="H2280" s="2">
        <v>50.659626799999998</v>
      </c>
      <c r="I2280" s="2">
        <v>10.354081600000001</v>
      </c>
      <c r="J2280" s="2">
        <v>43.417479100000001</v>
      </c>
      <c r="L2280" s="2"/>
      <c r="M2280" s="2"/>
    </row>
    <row r="2281" spans="2:13">
      <c r="B2281" s="2"/>
      <c r="C2281" s="1">
        <v>69.566489200000007</v>
      </c>
      <c r="D2281" s="1">
        <v>1.4049115130000001</v>
      </c>
      <c r="E2281" s="1"/>
      <c r="H2281" s="2">
        <v>16.666464000000001</v>
      </c>
      <c r="I2281" s="2">
        <v>16.7904026</v>
      </c>
      <c r="J2281" s="2">
        <v>5.7356958000000002</v>
      </c>
      <c r="L2281" s="2"/>
      <c r="M2281" s="2"/>
    </row>
    <row r="2282" spans="2:13">
      <c r="B2282" s="2"/>
      <c r="C2282" s="1">
        <v>25.992339520000002</v>
      </c>
      <c r="D2282" s="1">
        <v>0.32319560600000002</v>
      </c>
      <c r="E2282" s="1"/>
      <c r="H2282" s="2">
        <v>25.689671000000001</v>
      </c>
      <c r="I2282" s="2">
        <v>50.340114499999999</v>
      </c>
      <c r="J2282" s="2">
        <v>20.196601600000001</v>
      </c>
      <c r="L2282" s="2"/>
      <c r="M2282" s="2"/>
    </row>
    <row r="2283" spans="2:13">
      <c r="B2283" s="2"/>
      <c r="C2283" s="1">
        <v>11.23617743</v>
      </c>
      <c r="D2283" s="1">
        <v>11.0546089</v>
      </c>
      <c r="E2283" s="1"/>
      <c r="H2283" s="2">
        <v>51.058146800000003</v>
      </c>
      <c r="I2283" s="2">
        <v>4.7106407299999997</v>
      </c>
      <c r="J2283" s="2">
        <v>8.0994977099999996</v>
      </c>
      <c r="L2283" s="2"/>
      <c r="M2283" s="2"/>
    </row>
    <row r="2284" spans="2:13">
      <c r="B2284" s="2"/>
      <c r="C2284" s="1">
        <v>20.884437259999999</v>
      </c>
      <c r="D2284" s="1">
        <v>1.7610862620000001</v>
      </c>
      <c r="E2284" s="1"/>
      <c r="H2284" s="2">
        <v>5.6030724899999997</v>
      </c>
      <c r="I2284" s="2">
        <v>14.9714423</v>
      </c>
      <c r="J2284" s="2">
        <v>67.437877900000004</v>
      </c>
      <c r="L2284" s="2"/>
      <c r="M2284" s="2"/>
    </row>
    <row r="2285" spans="2:13">
      <c r="B2285" s="2"/>
      <c r="C2285" s="1">
        <v>4.1358310280000001</v>
      </c>
      <c r="D2285" s="1">
        <v>0.164895717</v>
      </c>
      <c r="E2285" s="1"/>
      <c r="H2285" s="2">
        <v>22.0078219</v>
      </c>
      <c r="I2285" s="2">
        <v>12.841548700000001</v>
      </c>
      <c r="J2285" s="2">
        <v>11.2975826</v>
      </c>
      <c r="L2285" s="2"/>
      <c r="M2285" s="2"/>
    </row>
    <row r="2286" spans="2:13">
      <c r="B2286" s="2"/>
      <c r="C2286" s="1">
        <v>31.818729220000002</v>
      </c>
      <c r="D2286" s="1">
        <v>0.20447069000000001</v>
      </c>
      <c r="E2286" s="1"/>
      <c r="H2286" s="2">
        <v>10.9444303</v>
      </c>
      <c r="I2286" s="2">
        <v>83.128039599999994</v>
      </c>
      <c r="J2286" s="2">
        <v>5.1447453200000002</v>
      </c>
      <c r="L2286" s="2"/>
      <c r="M2286" s="2"/>
    </row>
    <row r="2287" spans="2:13">
      <c r="B2287" s="2"/>
      <c r="C2287" s="1">
        <v>7.0158184730000004</v>
      </c>
      <c r="D2287" s="1">
        <v>1.088311735</v>
      </c>
      <c r="E2287" s="1"/>
      <c r="H2287" s="2">
        <v>69.378171499999993</v>
      </c>
      <c r="I2287" s="2">
        <v>10.043148199999999</v>
      </c>
      <c r="J2287" s="2">
        <v>8.0647359099999996</v>
      </c>
      <c r="L2287" s="2"/>
      <c r="M2287" s="2"/>
    </row>
    <row r="2288" spans="2:13">
      <c r="B2288" s="2"/>
      <c r="C2288" s="1">
        <v>61.995201450000003</v>
      </c>
      <c r="D2288" s="1">
        <v>1.292782425</v>
      </c>
      <c r="E2288" s="1"/>
      <c r="H2288" s="2">
        <v>21.847224300000001</v>
      </c>
      <c r="I2288" s="2">
        <v>4.3686140099999999</v>
      </c>
      <c r="J2288" s="2">
        <v>13.452813799999999</v>
      </c>
      <c r="L2288" s="2"/>
      <c r="M2288" s="2"/>
    </row>
    <row r="2289" spans="2:13">
      <c r="B2289" s="2"/>
      <c r="C2289" s="1">
        <v>43.537923419999998</v>
      </c>
      <c r="D2289" s="1">
        <v>0.67277452699999996</v>
      </c>
      <c r="E2289" s="1"/>
      <c r="H2289" s="2">
        <v>7.3993865999999997</v>
      </c>
      <c r="I2289" s="2">
        <v>6.1564809599999997</v>
      </c>
      <c r="J2289" s="2">
        <v>8.2385448799999992</v>
      </c>
      <c r="L2289" s="2"/>
      <c r="M2289" s="2"/>
    </row>
    <row r="2290" spans="2:13">
      <c r="B2290" s="2"/>
      <c r="C2290" s="1">
        <v>12.93277381</v>
      </c>
      <c r="D2290" s="1">
        <v>0.51447463800000004</v>
      </c>
      <c r="E2290" s="1"/>
      <c r="H2290" s="2">
        <v>8.0060887199999993</v>
      </c>
      <c r="I2290" s="2">
        <v>21.469950000000001</v>
      </c>
      <c r="J2290" s="2">
        <v>11.4366298</v>
      </c>
      <c r="L2290" s="2"/>
      <c r="M2290" s="2"/>
    </row>
    <row r="2291" spans="2:13">
      <c r="B2291" s="2"/>
      <c r="C2291" s="1">
        <v>6.6052542250000004</v>
      </c>
      <c r="D2291" s="1">
        <v>1.0751200780000001</v>
      </c>
      <c r="E2291" s="1"/>
      <c r="H2291" s="2">
        <v>20.003325700000001</v>
      </c>
      <c r="I2291" s="2">
        <v>11.6755485</v>
      </c>
      <c r="J2291" s="2">
        <v>6.8480731700000002</v>
      </c>
      <c r="L2291" s="2"/>
      <c r="M2291" s="2"/>
    </row>
    <row r="2292" spans="2:13">
      <c r="B2292" s="2"/>
      <c r="C2292" s="1">
        <v>24.205177500000001</v>
      </c>
      <c r="D2292" s="1">
        <v>5.0260214679999997</v>
      </c>
      <c r="E2292" s="1"/>
      <c r="H2292" s="2">
        <v>9.0529472700000007</v>
      </c>
      <c r="I2292" s="2">
        <v>9.1414414199999996</v>
      </c>
      <c r="J2292" s="2">
        <v>15.434236</v>
      </c>
      <c r="L2292" s="2"/>
      <c r="M2292" s="2"/>
    </row>
    <row r="2293" spans="2:13">
      <c r="B2293" s="2"/>
      <c r="C2293" s="1">
        <v>13.693525210000001</v>
      </c>
      <c r="D2293" s="1">
        <v>1.536828087</v>
      </c>
      <c r="E2293" s="1"/>
      <c r="H2293" s="2">
        <v>15.0069553</v>
      </c>
      <c r="I2293" s="2">
        <v>17.256802700000001</v>
      </c>
      <c r="J2293" s="2">
        <v>14.1132878</v>
      </c>
      <c r="L2293" s="2"/>
      <c r="M2293" s="2"/>
    </row>
    <row r="2294" spans="2:13">
      <c r="B2294" s="2"/>
      <c r="C2294" s="1">
        <v>11.6588171</v>
      </c>
      <c r="D2294" s="1">
        <v>0.21766234700000001</v>
      </c>
      <c r="E2294" s="1"/>
      <c r="H2294" s="2">
        <v>9.2194929499999994</v>
      </c>
      <c r="I2294" s="2">
        <v>23.537656999999999</v>
      </c>
      <c r="J2294" s="2">
        <v>25.0284908</v>
      </c>
      <c r="L2294" s="2"/>
      <c r="M2294" s="2"/>
    </row>
    <row r="2295" spans="2:13">
      <c r="B2295" s="2"/>
      <c r="C2295" s="1">
        <v>10.48750145</v>
      </c>
      <c r="D2295" s="1">
        <v>1.4246989990000001</v>
      </c>
      <c r="E2295" s="1"/>
      <c r="H2295" s="2">
        <v>19.640494</v>
      </c>
      <c r="I2295" s="2">
        <v>20.583789899999999</v>
      </c>
      <c r="J2295" s="2">
        <v>4.7276038099999997</v>
      </c>
      <c r="L2295" s="2"/>
      <c r="M2295" s="2"/>
    </row>
    <row r="2296" spans="2:13">
      <c r="B2296" s="2"/>
      <c r="C2296" s="1">
        <v>12.52220956</v>
      </c>
      <c r="D2296" s="1">
        <v>2.1634318129999999</v>
      </c>
      <c r="E2296" s="1"/>
      <c r="H2296" s="2">
        <v>23.072524600000001</v>
      </c>
      <c r="I2296" s="2">
        <v>28.388217699999998</v>
      </c>
      <c r="J2296" s="2">
        <v>24.81992</v>
      </c>
      <c r="L2296" s="2"/>
      <c r="M2296" s="2"/>
    </row>
    <row r="2297" spans="2:13">
      <c r="B2297" s="2"/>
      <c r="C2297" s="1">
        <v>25.092720799999999</v>
      </c>
      <c r="D2297" s="1">
        <v>5.2766629580000002</v>
      </c>
      <c r="E2297" s="1"/>
      <c r="H2297" s="2">
        <v>32.167108300000002</v>
      </c>
      <c r="I2297" s="2">
        <v>5.8921875799999999</v>
      </c>
      <c r="J2297" s="2">
        <v>26.279915299999999</v>
      </c>
      <c r="L2297" s="2"/>
      <c r="M2297" s="2"/>
    </row>
    <row r="2298" spans="2:13">
      <c r="B2298" s="2"/>
      <c r="C2298" s="1">
        <v>20.618778039999999</v>
      </c>
      <c r="D2298" s="1">
        <v>0.98277847600000001</v>
      </c>
      <c r="E2298" s="1"/>
      <c r="H2298" s="2">
        <v>6.6261388099999996</v>
      </c>
      <c r="I2298" s="2">
        <v>30.8134981</v>
      </c>
      <c r="J2298" s="2">
        <v>13.939478899999999</v>
      </c>
      <c r="L2298" s="2"/>
      <c r="M2298" s="2"/>
    </row>
    <row r="2299" spans="2:13">
      <c r="B2299" s="2"/>
      <c r="C2299" s="1">
        <v>3.2180991790000002</v>
      </c>
      <c r="D2299" s="1">
        <v>2.5393940490000002</v>
      </c>
      <c r="E2299" s="1"/>
      <c r="H2299" s="2">
        <v>31.887549499999999</v>
      </c>
      <c r="I2299" s="2">
        <v>23.444376999999999</v>
      </c>
      <c r="J2299" s="2">
        <v>10.1852053</v>
      </c>
      <c r="L2299" s="2"/>
      <c r="M2299" s="2"/>
    </row>
    <row r="2300" spans="2:13">
      <c r="B2300" s="2"/>
      <c r="C2300" s="1">
        <v>17.93803501</v>
      </c>
      <c r="D2300" s="1">
        <v>0.46830383799999997</v>
      </c>
      <c r="E2300" s="1"/>
      <c r="H2300" s="2">
        <v>35.688359800000001</v>
      </c>
      <c r="I2300" s="2">
        <v>28.015097699999998</v>
      </c>
      <c r="J2300" s="2">
        <v>67.994066599999996</v>
      </c>
      <c r="L2300" s="2"/>
      <c r="M2300" s="2"/>
    </row>
    <row r="2301" spans="2:13">
      <c r="B2301" s="2"/>
      <c r="C2301" s="1">
        <v>48.325827070000003</v>
      </c>
      <c r="D2301" s="1">
        <v>2.071090211</v>
      </c>
      <c r="E2301" s="1"/>
      <c r="H2301" s="2">
        <v>20.0747024</v>
      </c>
      <c r="I2301" s="2">
        <v>11.0536817</v>
      </c>
      <c r="J2301" s="2">
        <v>14.8085237</v>
      </c>
      <c r="L2301" s="2"/>
      <c r="M2301" s="2"/>
    </row>
    <row r="2302" spans="2:13">
      <c r="B2302" s="2"/>
      <c r="C2302" s="1">
        <v>23.227068559999999</v>
      </c>
      <c r="D2302" s="1">
        <v>0.74532864300000001</v>
      </c>
      <c r="E2302" s="1"/>
      <c r="H2302" s="2">
        <v>17.166101099999999</v>
      </c>
      <c r="I2302" s="2">
        <v>55.252861899999999</v>
      </c>
      <c r="J2302" s="2">
        <v>37.890354100000003</v>
      </c>
      <c r="L2302" s="2"/>
      <c r="M2302" s="2"/>
    </row>
    <row r="2303" spans="2:13">
      <c r="B2303" s="2"/>
      <c r="C2303" s="1">
        <v>25.255738959999999</v>
      </c>
      <c r="D2303" s="1">
        <v>552.78321149999999</v>
      </c>
      <c r="E2303" s="1"/>
      <c r="H2303" s="2">
        <v>80.292861500000001</v>
      </c>
      <c r="I2303" s="2">
        <v>17.521096100000001</v>
      </c>
      <c r="J2303" s="2">
        <v>9.5594929999999998</v>
      </c>
      <c r="L2303" s="2"/>
      <c r="M2303" s="2"/>
    </row>
    <row r="2304" spans="2:13">
      <c r="B2304" s="2"/>
      <c r="C2304" s="1">
        <v>88.536972539999994</v>
      </c>
      <c r="D2304" s="1">
        <v>0.36277057800000001</v>
      </c>
      <c r="E2304" s="1"/>
      <c r="H2304" s="2">
        <v>15.399527300000001</v>
      </c>
      <c r="I2304" s="2">
        <v>40.1881396</v>
      </c>
      <c r="J2304" s="2">
        <v>37.542736099999999</v>
      </c>
      <c r="L2304" s="2"/>
      <c r="M2304" s="2"/>
    </row>
    <row r="2305" spans="2:13">
      <c r="B2305" s="2"/>
      <c r="C2305" s="1">
        <v>22.605184479999998</v>
      </c>
      <c r="D2305" s="1">
        <v>1.437890656</v>
      </c>
      <c r="E2305" s="1"/>
      <c r="H2305" s="2">
        <v>36.967192699999998</v>
      </c>
      <c r="I2305" s="2">
        <v>11.0536817</v>
      </c>
      <c r="J2305" s="2">
        <v>8.0647359099999996</v>
      </c>
      <c r="L2305" s="2"/>
      <c r="M2305" s="2"/>
    </row>
    <row r="2306" spans="2:13">
      <c r="B2306" s="2"/>
      <c r="C2306" s="1">
        <v>54.858628779999997</v>
      </c>
      <c r="D2306" s="1">
        <v>1.226824138</v>
      </c>
      <c r="E2306" s="1"/>
      <c r="H2306" s="2">
        <v>17.237477800000001</v>
      </c>
      <c r="I2306" s="2">
        <v>68.638543999999996</v>
      </c>
      <c r="J2306" s="2">
        <v>18.041370400000002</v>
      </c>
      <c r="L2306" s="2"/>
      <c r="M2306" s="2"/>
    </row>
    <row r="2307" spans="2:13">
      <c r="B2307" s="2"/>
      <c r="C2307" s="1">
        <v>16.513135559999998</v>
      </c>
      <c r="D2307" s="1">
        <v>0.41553720799999999</v>
      </c>
      <c r="E2307" s="1"/>
      <c r="H2307" s="2">
        <v>47.9413634</v>
      </c>
      <c r="I2307" s="2">
        <v>7.6489611899999996</v>
      </c>
      <c r="J2307" s="2">
        <v>9.2813986600000007</v>
      </c>
      <c r="L2307" s="2"/>
      <c r="M2307" s="2"/>
    </row>
    <row r="2308" spans="2:13">
      <c r="B2308" s="2"/>
      <c r="C2308" s="1">
        <v>44.334901070000001</v>
      </c>
      <c r="D2308" s="1">
        <v>6.4309329799999997</v>
      </c>
      <c r="E2308" s="1"/>
      <c r="H2308" s="2">
        <v>11.563028600000001</v>
      </c>
      <c r="I2308" s="2">
        <v>19.075762999999998</v>
      </c>
      <c r="J2308" s="2">
        <v>13.939478899999999</v>
      </c>
      <c r="L2308" s="2"/>
      <c r="M2308" s="2"/>
    </row>
    <row r="2309" spans="2:13">
      <c r="B2309" s="2"/>
      <c r="C2309" s="1">
        <v>4.7999790759999996</v>
      </c>
      <c r="D2309" s="1">
        <v>4.6896342039999999</v>
      </c>
      <c r="E2309" s="1"/>
      <c r="H2309" s="2">
        <v>19.479896400000001</v>
      </c>
      <c r="I2309" s="2">
        <v>19.8220031</v>
      </c>
      <c r="J2309" s="2">
        <v>68.828349599999996</v>
      </c>
      <c r="L2309" s="2"/>
      <c r="M2309" s="2"/>
    </row>
    <row r="2310" spans="2:13">
      <c r="B2310" s="2"/>
      <c r="C2310" s="1">
        <v>44.636786549999997</v>
      </c>
      <c r="D2310" s="1">
        <v>1.4115073410000001</v>
      </c>
      <c r="E2310" s="1"/>
      <c r="H2310" s="2">
        <v>20.193663600000001</v>
      </c>
      <c r="I2310" s="2">
        <v>17.132429299999998</v>
      </c>
      <c r="J2310" s="2">
        <v>46.963182000000003</v>
      </c>
      <c r="L2310" s="2"/>
      <c r="M2310" s="2"/>
    </row>
    <row r="2311" spans="2:13">
      <c r="B2311" s="2"/>
      <c r="C2311" s="1">
        <v>28.3832725</v>
      </c>
      <c r="D2311" s="1">
        <v>0.474899666</v>
      </c>
      <c r="E2311" s="1"/>
      <c r="H2311" s="2">
        <v>14.8582538</v>
      </c>
      <c r="I2311" s="2">
        <v>53.325074899999997</v>
      </c>
      <c r="J2311" s="2">
        <v>26.905627599999999</v>
      </c>
      <c r="L2311" s="2"/>
      <c r="M2311" s="2"/>
    </row>
    <row r="2312" spans="2:13">
      <c r="B2312" s="2"/>
      <c r="C2312" s="1">
        <v>11.06108386</v>
      </c>
      <c r="D2312" s="1">
        <v>1.0157576189999999</v>
      </c>
      <c r="E2312" s="1"/>
      <c r="H2312" s="2">
        <v>67.659182200000004</v>
      </c>
      <c r="I2312" s="2">
        <v>32.476991699999999</v>
      </c>
      <c r="J2312" s="2">
        <v>5.3185542899999998</v>
      </c>
      <c r="L2312" s="2"/>
      <c r="M2312" s="2"/>
    </row>
    <row r="2313" spans="2:13">
      <c r="B2313" s="2"/>
      <c r="C2313" s="1">
        <v>94.061476760000005</v>
      </c>
      <c r="D2313" s="1">
        <v>0.27042897700000001</v>
      </c>
      <c r="E2313" s="1"/>
      <c r="H2313" s="2">
        <v>62.716344300000003</v>
      </c>
      <c r="I2313" s="2">
        <v>15.158002400000001</v>
      </c>
      <c r="J2313" s="2">
        <v>44.842712599999999</v>
      </c>
      <c r="L2313" s="2"/>
      <c r="M2313" s="2"/>
    </row>
    <row r="2314" spans="2:13">
      <c r="B2314" s="2"/>
      <c r="C2314" s="1">
        <v>118.53835119999999</v>
      </c>
      <c r="D2314" s="1">
        <v>4.2740969959999999</v>
      </c>
      <c r="E2314" s="1"/>
      <c r="H2314" s="2">
        <v>28.8064544</v>
      </c>
      <c r="I2314" s="2">
        <v>7.5867745099999997</v>
      </c>
      <c r="J2314" s="2">
        <v>7.05664392</v>
      </c>
      <c r="L2314" s="2"/>
      <c r="M2314" s="2"/>
    </row>
    <row r="2315" spans="2:13">
      <c r="B2315" s="2"/>
      <c r="C2315" s="1">
        <v>36.77568874</v>
      </c>
      <c r="D2315" s="1">
        <v>6.1209290310000002</v>
      </c>
      <c r="E2315" s="1"/>
      <c r="H2315" s="2">
        <v>8.8388171199999999</v>
      </c>
      <c r="I2315" s="2">
        <v>34.404778700000001</v>
      </c>
      <c r="J2315" s="2">
        <v>119.44152</v>
      </c>
      <c r="L2315" s="2"/>
      <c r="M2315" s="2"/>
    </row>
    <row r="2316" spans="2:13">
      <c r="B2316" s="2"/>
      <c r="C2316" s="1">
        <v>6.1403505909999998</v>
      </c>
      <c r="D2316" s="1">
        <v>332.7067912</v>
      </c>
      <c r="E2316" s="1"/>
      <c r="H2316" s="2">
        <v>41.844601900000001</v>
      </c>
      <c r="I2316" s="2">
        <v>9.6233881599999993</v>
      </c>
      <c r="J2316" s="2">
        <v>88.573047900000006</v>
      </c>
      <c r="L2316" s="2"/>
      <c r="M2316" s="2"/>
    </row>
    <row r="2317" spans="2:13">
      <c r="B2317" s="2"/>
      <c r="C2317" s="1">
        <v>42.577927600000002</v>
      </c>
      <c r="D2317" s="1">
        <v>0.90362853200000004</v>
      </c>
      <c r="E2317" s="1"/>
      <c r="H2317" s="2">
        <v>9.3860386299999998</v>
      </c>
      <c r="I2317" s="2">
        <v>92.362761000000006</v>
      </c>
      <c r="J2317" s="2">
        <v>59.442665599999998</v>
      </c>
      <c r="L2317" s="2"/>
      <c r="M2317" s="2"/>
    </row>
    <row r="2318" spans="2:13">
      <c r="B2318" s="2"/>
      <c r="C2318" s="1">
        <v>8.0663799310000002</v>
      </c>
      <c r="D2318" s="1">
        <v>0.63319955500000003</v>
      </c>
      <c r="E2318" s="1"/>
      <c r="H2318" s="2">
        <v>105.20928499999999</v>
      </c>
      <c r="I2318" s="2">
        <v>156.41503800000001</v>
      </c>
      <c r="J2318" s="2">
        <v>20.509457699999999</v>
      </c>
      <c r="L2318" s="2"/>
      <c r="M2318" s="2"/>
    </row>
    <row r="2319" spans="2:13">
      <c r="B2319" s="2"/>
      <c r="C2319" s="1">
        <v>38.683604950000003</v>
      </c>
      <c r="D2319" s="1">
        <v>0.13851240300000001</v>
      </c>
      <c r="E2319" s="1"/>
      <c r="H2319" s="2">
        <v>96.084960800000005</v>
      </c>
      <c r="I2319" s="2">
        <v>47.961474099999997</v>
      </c>
      <c r="J2319" s="2">
        <v>15.1561416</v>
      </c>
      <c r="L2319" s="2"/>
      <c r="M2319" s="2"/>
    </row>
    <row r="2320" spans="2:13">
      <c r="B2320" s="2"/>
      <c r="C2320" s="1">
        <v>96.69995582</v>
      </c>
      <c r="D2320" s="1">
        <v>6.2792289200000004</v>
      </c>
      <c r="E2320" s="1"/>
      <c r="H2320" s="2">
        <v>73.036228399999999</v>
      </c>
      <c r="I2320" s="2">
        <v>21.936350099999999</v>
      </c>
      <c r="J2320" s="2">
        <v>2.1899929400000002</v>
      </c>
      <c r="L2320" s="2"/>
      <c r="M2320" s="2"/>
    </row>
    <row r="2321" spans="2:13">
      <c r="B2321" s="2"/>
      <c r="C2321" s="1">
        <v>70.532522720000003</v>
      </c>
      <c r="D2321" s="1">
        <v>1.385124027</v>
      </c>
      <c r="E2321" s="1"/>
      <c r="H2321" s="2">
        <v>22.727537099999999</v>
      </c>
      <c r="I2321" s="2">
        <v>12.530615299999999</v>
      </c>
      <c r="J2321" s="2">
        <v>93.335413500000001</v>
      </c>
      <c r="L2321" s="2"/>
      <c r="M2321" s="2"/>
    </row>
    <row r="2322" spans="2:13">
      <c r="B2322" s="2"/>
      <c r="C2322" s="1">
        <v>16.096533600000001</v>
      </c>
      <c r="D2322" s="1">
        <v>1.457678142</v>
      </c>
      <c r="E2322" s="1"/>
      <c r="H2322" s="2">
        <v>17.867972200000001</v>
      </c>
      <c r="I2322" s="2">
        <v>2.3320003599999999</v>
      </c>
      <c r="J2322" s="2">
        <v>15.3647124</v>
      </c>
      <c r="L2322" s="2"/>
      <c r="M2322" s="2"/>
    </row>
    <row r="2323" spans="2:13">
      <c r="B2323" s="2"/>
      <c r="C2323" s="1">
        <v>15.323706789999999</v>
      </c>
      <c r="D2323" s="1">
        <v>1.2861865960000001</v>
      </c>
      <c r="E2323" s="1"/>
      <c r="H2323" s="2">
        <v>2.9859260999999999</v>
      </c>
      <c r="I2323" s="2">
        <v>58.657582400000003</v>
      </c>
      <c r="J2323" s="2">
        <v>20.613743100000001</v>
      </c>
      <c r="L2323" s="2"/>
      <c r="M2323" s="2"/>
    </row>
    <row r="2324" spans="2:13">
      <c r="B2324" s="2"/>
      <c r="C2324" s="1">
        <v>4.6007346609999997</v>
      </c>
      <c r="D2324" s="1">
        <v>2.7108855950000001</v>
      </c>
      <c r="E2324" s="1"/>
      <c r="H2324" s="2">
        <v>112.13282700000001</v>
      </c>
      <c r="I2324" s="2">
        <v>22.387203499999998</v>
      </c>
      <c r="J2324" s="2">
        <v>29.199905900000001</v>
      </c>
      <c r="L2324" s="2"/>
      <c r="M2324" s="2"/>
    </row>
    <row r="2325" spans="2:13">
      <c r="B2325" s="2"/>
      <c r="C2325" s="1">
        <v>99.314284049999998</v>
      </c>
      <c r="D2325" s="1">
        <v>6.6156161840000003</v>
      </c>
      <c r="E2325" s="1"/>
      <c r="H2325" s="2">
        <v>17.481348300000001</v>
      </c>
      <c r="I2325" s="2">
        <v>18.640456199999999</v>
      </c>
      <c r="J2325" s="2">
        <v>60.276948599999997</v>
      </c>
      <c r="L2325" s="2"/>
      <c r="M2325" s="2"/>
    </row>
    <row r="2326" spans="2:13">
      <c r="B2326" s="2"/>
      <c r="C2326" s="1">
        <v>16.7244554</v>
      </c>
      <c r="D2326" s="1">
        <v>0.40894137899999999</v>
      </c>
      <c r="E2326" s="1"/>
      <c r="H2326" s="2">
        <v>20.901482699999999</v>
      </c>
      <c r="I2326" s="2">
        <v>25.1856039</v>
      </c>
      <c r="J2326" s="2">
        <v>87.147814400000001</v>
      </c>
      <c r="L2326" s="2"/>
      <c r="M2326" s="2"/>
    </row>
    <row r="2327" spans="2:13">
      <c r="B2327" s="2"/>
      <c r="C2327" s="1">
        <v>32.839102130000001</v>
      </c>
      <c r="D2327" s="1">
        <v>344.09119149999998</v>
      </c>
      <c r="E2327" s="1"/>
      <c r="H2327" s="2">
        <v>30.828794800000001</v>
      </c>
      <c r="I2327" s="2">
        <v>71.670144500000006</v>
      </c>
      <c r="J2327" s="2">
        <v>11.9580567</v>
      </c>
      <c r="L2327" s="2"/>
      <c r="M2327" s="2"/>
    </row>
    <row r="2328" spans="2:13">
      <c r="B2328" s="2"/>
      <c r="C2328" s="1">
        <v>29.73571943</v>
      </c>
      <c r="D2328" s="1">
        <v>2.242581757</v>
      </c>
      <c r="E2328" s="1"/>
      <c r="H2328" s="2">
        <v>66.731284799999997</v>
      </c>
      <c r="I2328" s="2">
        <v>82.412892799999995</v>
      </c>
      <c r="J2328" s="2">
        <v>42.861290400000001</v>
      </c>
      <c r="L2328" s="2"/>
      <c r="M2328" s="2"/>
    </row>
    <row r="2329" spans="2:13">
      <c r="B2329" s="2"/>
      <c r="C2329" s="1">
        <v>51.67675586</v>
      </c>
      <c r="D2329" s="1">
        <v>2.4800315899999998</v>
      </c>
      <c r="E2329" s="1"/>
      <c r="H2329" s="2">
        <v>94.163737400000002</v>
      </c>
      <c r="I2329" s="2">
        <v>14.1163755</v>
      </c>
      <c r="J2329" s="2">
        <v>73.069288299999997</v>
      </c>
      <c r="L2329" s="2"/>
      <c r="M2329" s="2"/>
    </row>
    <row r="2330" spans="2:13">
      <c r="B2330" s="2"/>
      <c r="C2330" s="1">
        <v>111.5889475</v>
      </c>
      <c r="D2330" s="1">
        <v>2.3217317020000001</v>
      </c>
      <c r="E2330" s="1"/>
      <c r="H2330" s="2">
        <v>13.216589300000001</v>
      </c>
      <c r="I2330" s="2">
        <v>31.3887249</v>
      </c>
      <c r="J2330" s="2">
        <v>63.057892000000002</v>
      </c>
      <c r="L2330" s="2"/>
      <c r="M2330" s="2"/>
    </row>
    <row r="2331" spans="2:13">
      <c r="B2331" s="2"/>
      <c r="C2331" s="1">
        <v>13.941071300000001</v>
      </c>
      <c r="D2331" s="1">
        <v>0.67937035599999995</v>
      </c>
      <c r="E2331" s="1"/>
      <c r="H2331" s="2">
        <v>39.280988000000001</v>
      </c>
      <c r="I2331" s="2">
        <v>70.690704299999993</v>
      </c>
      <c r="J2331" s="2">
        <v>72.339290700000006</v>
      </c>
      <c r="L2331" s="2"/>
      <c r="M2331" s="2"/>
    </row>
    <row r="2332" spans="2:13">
      <c r="B2332" s="2"/>
      <c r="C2332" s="1">
        <v>46.804324270000002</v>
      </c>
      <c r="D2332" s="1">
        <v>0.34957892099999999</v>
      </c>
      <c r="E2332" s="1"/>
      <c r="H2332" s="2">
        <v>94.948881299999996</v>
      </c>
      <c r="I2332" s="2">
        <v>44.214726900000002</v>
      </c>
      <c r="J2332" s="2">
        <v>10.602346799999999</v>
      </c>
      <c r="L2332" s="2"/>
      <c r="M2332" s="2"/>
    </row>
    <row r="2333" spans="2:13">
      <c r="B2333" s="2"/>
      <c r="C2333" s="1">
        <v>50.970343849999999</v>
      </c>
      <c r="D2333" s="1">
        <v>4.3664385980000002</v>
      </c>
      <c r="E2333" s="1"/>
      <c r="H2333" s="2">
        <v>57.565324400000002</v>
      </c>
      <c r="I2333" s="2">
        <v>59.994596000000001</v>
      </c>
      <c r="J2333" s="2">
        <v>4.7623655999999999</v>
      </c>
      <c r="L2333" s="2"/>
      <c r="M2333" s="2"/>
    </row>
    <row r="2334" spans="2:13">
      <c r="B2334" s="2"/>
      <c r="C2334" s="1">
        <v>52.177885750000002</v>
      </c>
      <c r="D2334" s="1">
        <v>2.3481150159999999</v>
      </c>
      <c r="E2334" s="1"/>
      <c r="H2334" s="2">
        <v>64.827905599999994</v>
      </c>
      <c r="I2334" s="2">
        <v>7.9288012300000004</v>
      </c>
      <c r="J2334" s="2">
        <v>93.196366299999994</v>
      </c>
      <c r="L2334" s="2"/>
      <c r="M2334" s="2"/>
    </row>
    <row r="2335" spans="2:13">
      <c r="B2335" s="2"/>
      <c r="C2335" s="1">
        <v>23.239143980000001</v>
      </c>
      <c r="D2335" s="1">
        <v>4.9732548379999999</v>
      </c>
      <c r="E2335" s="1"/>
      <c r="H2335" s="2">
        <v>13.317706299999999</v>
      </c>
      <c r="I2335" s="2">
        <v>9.98096155</v>
      </c>
      <c r="J2335" s="2">
        <v>24.7503964</v>
      </c>
      <c r="L2335" s="2"/>
      <c r="M2335" s="2"/>
    </row>
    <row r="2336" spans="2:13">
      <c r="B2336" s="2"/>
      <c r="C2336" s="1">
        <v>16.99011462</v>
      </c>
      <c r="D2336" s="1">
        <v>2.565777363</v>
      </c>
      <c r="E2336" s="1"/>
      <c r="H2336" s="2">
        <v>6.8700092699999997</v>
      </c>
      <c r="I2336" s="2">
        <v>100.960069</v>
      </c>
      <c r="J2336" s="2">
        <v>89.268283699999998</v>
      </c>
      <c r="L2336" s="2"/>
      <c r="M2336" s="2"/>
    </row>
    <row r="2337" spans="2:13">
      <c r="B2337" s="2"/>
      <c r="C2337" s="1">
        <v>2.2943296210000002</v>
      </c>
      <c r="D2337" s="1">
        <v>1.5302322580000001</v>
      </c>
      <c r="E2337" s="1"/>
      <c r="H2337" s="2">
        <v>92.236565999999996</v>
      </c>
      <c r="I2337" s="2">
        <v>34.2182186</v>
      </c>
      <c r="J2337" s="2">
        <v>31.841802099999999</v>
      </c>
      <c r="L2337" s="2"/>
      <c r="M2337" s="2"/>
    </row>
    <row r="2338" spans="2:13">
      <c r="B2338" s="2"/>
      <c r="C2338" s="1">
        <v>26.39082835</v>
      </c>
      <c r="D2338" s="1">
        <v>0.52766629600000003</v>
      </c>
      <c r="E2338" s="1"/>
      <c r="H2338" s="2">
        <v>36.895816000000003</v>
      </c>
      <c r="I2338" s="2">
        <v>78.215292099999999</v>
      </c>
      <c r="J2338" s="2">
        <v>22.038976600000002</v>
      </c>
      <c r="L2338" s="2"/>
      <c r="M2338" s="2"/>
    </row>
    <row r="2339" spans="2:13">
      <c r="B2339" s="2"/>
      <c r="C2339" s="1">
        <v>38.556813050000002</v>
      </c>
      <c r="D2339" s="1">
        <v>681.82400410000002</v>
      </c>
      <c r="E2339" s="1"/>
      <c r="H2339" s="2">
        <v>84.188840799999994</v>
      </c>
      <c r="I2339" s="2">
        <v>54.0713151</v>
      </c>
      <c r="J2339" s="2">
        <v>5.7704575900000004</v>
      </c>
      <c r="L2339" s="2"/>
      <c r="M2339" s="2"/>
    </row>
    <row r="2340" spans="2:13">
      <c r="B2340" s="2"/>
      <c r="C2340" s="1">
        <v>60.274454230000003</v>
      </c>
      <c r="D2340" s="1">
        <v>0.69915784199999997</v>
      </c>
      <c r="E2340" s="1"/>
      <c r="H2340" s="2">
        <v>34.778306600000001</v>
      </c>
      <c r="I2340" s="2">
        <v>30.9534181</v>
      </c>
      <c r="J2340" s="2">
        <v>97.159210700000003</v>
      </c>
      <c r="L2340" s="2"/>
      <c r="M2340" s="2"/>
    </row>
    <row r="2341" spans="2:13">
      <c r="B2341" s="2"/>
      <c r="C2341" s="1">
        <v>51.290342449999997</v>
      </c>
      <c r="D2341" s="1">
        <v>0.69915784199999997</v>
      </c>
      <c r="E2341" s="1"/>
      <c r="H2341" s="2">
        <v>31.381964400000001</v>
      </c>
      <c r="I2341" s="2">
        <v>7.4002144799999998</v>
      </c>
      <c r="J2341" s="2">
        <v>21.1004082</v>
      </c>
      <c r="L2341" s="2"/>
      <c r="M2341" s="2"/>
    </row>
    <row r="2342" spans="2:13">
      <c r="B2342" s="2"/>
      <c r="C2342" s="1">
        <v>24.881400970000001</v>
      </c>
      <c r="D2342" s="1">
        <v>0.67277452699999996</v>
      </c>
      <c r="E2342" s="1"/>
      <c r="H2342" s="2">
        <v>5.9778002700000004</v>
      </c>
      <c r="I2342" s="2">
        <v>81.651105999999999</v>
      </c>
      <c r="J2342" s="2">
        <v>10.7761557</v>
      </c>
      <c r="L2342" s="2"/>
      <c r="M2342" s="2"/>
    </row>
    <row r="2343" spans="2:13">
      <c r="B2343" s="2"/>
      <c r="C2343" s="1">
        <v>4.1841327039999996</v>
      </c>
      <c r="D2343" s="1">
        <v>1.3983156839999999</v>
      </c>
      <c r="E2343" s="1"/>
      <c r="H2343" s="2">
        <v>96.834416300000001</v>
      </c>
      <c r="I2343" s="2">
        <v>25.4032573</v>
      </c>
      <c r="J2343" s="2">
        <v>14.6694765</v>
      </c>
      <c r="L2343" s="2"/>
      <c r="M2343" s="2"/>
    </row>
    <row r="2344" spans="2:13">
      <c r="B2344" s="2"/>
      <c r="C2344" s="1">
        <v>64.355945869999999</v>
      </c>
      <c r="D2344" s="1">
        <v>3.8057931589999998</v>
      </c>
      <c r="E2344" s="1"/>
      <c r="H2344" s="2">
        <v>27.527621499999999</v>
      </c>
      <c r="I2344" s="2">
        <v>12.592802000000001</v>
      </c>
      <c r="J2344" s="2">
        <v>19.7446983</v>
      </c>
      <c r="L2344" s="2"/>
      <c r="M2344" s="2"/>
    </row>
    <row r="2345" spans="2:13">
      <c r="B2345" s="2"/>
      <c r="C2345" s="1">
        <v>6.8890265729999998</v>
      </c>
      <c r="D2345" s="1">
        <v>0.244045662</v>
      </c>
      <c r="E2345" s="1"/>
      <c r="H2345" s="2">
        <v>13.3533946</v>
      </c>
      <c r="I2345" s="2">
        <v>18.733736199999999</v>
      </c>
      <c r="J2345" s="2">
        <v>46.128898999999997</v>
      </c>
      <c r="L2345" s="2"/>
      <c r="M2345" s="2"/>
    </row>
    <row r="2346" spans="2:13">
      <c r="B2346" s="2"/>
      <c r="C2346" s="1">
        <v>7.6678911019999996</v>
      </c>
      <c r="D2346" s="1">
        <v>4.696230033</v>
      </c>
      <c r="E2346" s="1"/>
      <c r="H2346" s="2">
        <v>19.241973999999999</v>
      </c>
      <c r="I2346" s="2">
        <v>30.829044799999998</v>
      </c>
      <c r="J2346" s="2">
        <v>7.4390236400000003</v>
      </c>
      <c r="L2346" s="2"/>
      <c r="M2346" s="2"/>
    </row>
    <row r="2347" spans="2:13">
      <c r="B2347" s="2"/>
      <c r="C2347" s="1">
        <v>10.91014112</v>
      </c>
      <c r="D2347" s="1">
        <v>2.0908776969999998</v>
      </c>
      <c r="E2347" s="1"/>
      <c r="H2347" s="2">
        <v>27.825024500000001</v>
      </c>
      <c r="I2347" s="2">
        <v>50.262381099999999</v>
      </c>
      <c r="J2347" s="2">
        <v>67.194545300000001</v>
      </c>
      <c r="L2347" s="2"/>
      <c r="M2347" s="2"/>
    </row>
    <row r="2348" spans="2:13">
      <c r="B2348" s="2"/>
      <c r="C2348" s="1">
        <v>21.59084928</v>
      </c>
      <c r="D2348" s="1">
        <v>2.5327982200000001</v>
      </c>
      <c r="E2348" s="1"/>
      <c r="H2348" s="2">
        <v>52.545161800000002</v>
      </c>
      <c r="I2348" s="2">
        <v>8.4107479699999992</v>
      </c>
      <c r="J2348" s="2">
        <v>22.595165300000001</v>
      </c>
      <c r="L2348" s="2"/>
      <c r="M2348" s="2"/>
    </row>
    <row r="2349" spans="2:13">
      <c r="B2349" s="2"/>
      <c r="C2349" s="1">
        <v>24.99611745</v>
      </c>
      <c r="D2349" s="1">
        <v>2.1568359840000002</v>
      </c>
      <c r="E2349" s="1"/>
      <c r="H2349" s="2">
        <v>9.5406881899999991</v>
      </c>
      <c r="I2349" s="2">
        <v>71.576864400000005</v>
      </c>
      <c r="J2349" s="2">
        <v>35.213695999999999</v>
      </c>
      <c r="L2349" s="2"/>
      <c r="M2349" s="2"/>
    </row>
    <row r="2350" spans="2:13">
      <c r="B2350" s="2"/>
      <c r="C2350" s="1">
        <v>4.7999790759999996</v>
      </c>
      <c r="D2350" s="1">
        <v>4.0960096210000003</v>
      </c>
      <c r="E2350" s="1"/>
      <c r="H2350" s="2">
        <v>69.6815225</v>
      </c>
      <c r="I2350" s="2">
        <v>57.569315600000003</v>
      </c>
      <c r="J2350" s="2">
        <v>18.667082700000002</v>
      </c>
      <c r="L2350" s="2"/>
      <c r="M2350" s="2"/>
    </row>
    <row r="2351" spans="2:13">
      <c r="B2351" s="2"/>
      <c r="C2351" s="1">
        <v>155.86950920000001</v>
      </c>
      <c r="D2351" s="1">
        <v>61.545677580000003</v>
      </c>
      <c r="E2351" s="1"/>
      <c r="H2351" s="2">
        <v>31.387912499999999</v>
      </c>
      <c r="I2351" s="2">
        <v>36.037178900000001</v>
      </c>
      <c r="J2351" s="2">
        <v>62.2931326</v>
      </c>
      <c r="L2351" s="2"/>
      <c r="M2351" s="2"/>
    </row>
    <row r="2352" spans="2:13">
      <c r="B2352" s="2"/>
      <c r="C2352" s="1">
        <v>46.695645499999998</v>
      </c>
      <c r="D2352" s="1">
        <v>0.72554115699999999</v>
      </c>
      <c r="E2352" s="1"/>
      <c r="H2352" s="2">
        <v>41.095146300000003</v>
      </c>
      <c r="I2352" s="2">
        <v>33.285418499999999</v>
      </c>
      <c r="J2352" s="2">
        <v>4.6928420199999996</v>
      </c>
      <c r="L2352" s="2"/>
      <c r="M2352" s="2"/>
    </row>
    <row r="2353" spans="2:13">
      <c r="B2353" s="2"/>
      <c r="C2353" s="1">
        <v>27.640634219999999</v>
      </c>
      <c r="D2353" s="1">
        <v>4.4060135699999998</v>
      </c>
      <c r="E2353" s="1"/>
      <c r="H2353" s="2">
        <v>35.724048199999999</v>
      </c>
      <c r="I2353" s="2">
        <v>62.808543100000001</v>
      </c>
      <c r="J2353" s="2">
        <v>7.8561651599999998</v>
      </c>
      <c r="L2353" s="2"/>
      <c r="M2353" s="2"/>
    </row>
    <row r="2354" spans="2:13">
      <c r="B2354" s="2"/>
      <c r="C2354" s="1">
        <v>56.627677669999997</v>
      </c>
      <c r="D2354" s="1">
        <v>1.3191657400000001</v>
      </c>
      <c r="E2354" s="1"/>
      <c r="H2354" s="2">
        <v>70.419082000000003</v>
      </c>
      <c r="I2354" s="2">
        <v>5.1614941300000003</v>
      </c>
      <c r="J2354" s="2">
        <v>27.427054500000001</v>
      </c>
      <c r="L2354" s="2"/>
      <c r="M2354" s="2"/>
    </row>
    <row r="2355" spans="2:13">
      <c r="B2355" s="2"/>
      <c r="C2355" s="1">
        <v>26.807430310000001</v>
      </c>
      <c r="D2355" s="1">
        <v>0.34298309199999999</v>
      </c>
      <c r="E2355" s="1"/>
      <c r="H2355" s="2">
        <v>5.8885793700000004</v>
      </c>
      <c r="I2355" s="2">
        <v>7.6645078599999996</v>
      </c>
      <c r="J2355" s="2">
        <v>9.4899694199999995</v>
      </c>
      <c r="L2355" s="2"/>
      <c r="M2355" s="2"/>
    </row>
    <row r="2356" spans="2:13">
      <c r="B2356" s="2"/>
      <c r="C2356" s="1">
        <v>15.65578081</v>
      </c>
      <c r="D2356" s="1">
        <v>1.035545106</v>
      </c>
      <c r="E2356" s="1"/>
      <c r="H2356" s="2">
        <v>7.3815424199999997</v>
      </c>
      <c r="I2356" s="2">
        <v>34.7468054</v>
      </c>
      <c r="J2356" s="2">
        <v>5.5966486299999998</v>
      </c>
      <c r="L2356" s="2"/>
      <c r="M2356" s="2"/>
    </row>
    <row r="2357" spans="2:13">
      <c r="B2357" s="2"/>
      <c r="C2357" s="1">
        <v>9.7569385989999997</v>
      </c>
      <c r="D2357" s="1">
        <v>3.9377097330000002</v>
      </c>
      <c r="E2357" s="1"/>
      <c r="H2357" s="2">
        <v>29.793832399999999</v>
      </c>
      <c r="I2357" s="2">
        <v>12.748268599999999</v>
      </c>
      <c r="J2357" s="2">
        <v>24.4723021</v>
      </c>
      <c r="L2357" s="2"/>
      <c r="M2357" s="2"/>
    </row>
    <row r="2358" spans="2:13">
      <c r="B2358" s="2"/>
      <c r="C2358" s="1">
        <v>36.830028130000002</v>
      </c>
      <c r="D2358" s="1">
        <v>2.4470524469999999</v>
      </c>
      <c r="E2358" s="1"/>
      <c r="H2358" s="2">
        <v>17.183945300000001</v>
      </c>
      <c r="I2358" s="2">
        <v>4.9749341100000004</v>
      </c>
      <c r="J2358" s="2">
        <v>59.859807099999998</v>
      </c>
      <c r="L2358" s="2"/>
      <c r="M2358" s="2"/>
    </row>
    <row r="2359" spans="2:13">
      <c r="B2359" s="2"/>
      <c r="C2359" s="1">
        <v>19.942554569999999</v>
      </c>
      <c r="D2359" s="1">
        <v>11.034821409999999</v>
      </c>
      <c r="E2359" s="1"/>
      <c r="H2359" s="2">
        <v>7.9287639399999996</v>
      </c>
      <c r="I2359" s="2">
        <v>25.605364000000002</v>
      </c>
      <c r="J2359" s="2">
        <v>31.841802099999999</v>
      </c>
      <c r="L2359" s="2"/>
      <c r="M2359" s="2"/>
    </row>
    <row r="2360" spans="2:13">
      <c r="B2360" s="2"/>
      <c r="C2360" s="1">
        <v>9.5093925079999995</v>
      </c>
      <c r="D2360" s="1">
        <v>2.4338607890000001</v>
      </c>
      <c r="E2360" s="1"/>
      <c r="H2360" s="2">
        <v>21.7342111</v>
      </c>
      <c r="I2360" s="2">
        <v>57.693688999999999</v>
      </c>
      <c r="J2360" s="2">
        <v>188.51320200000001</v>
      </c>
      <c r="L2360" s="2"/>
      <c r="M2360" s="2"/>
    </row>
    <row r="2361" spans="2:13">
      <c r="B2361" s="2"/>
      <c r="C2361" s="1">
        <v>13.34937577</v>
      </c>
      <c r="D2361" s="1">
        <v>1.5500197440000001</v>
      </c>
      <c r="E2361" s="1"/>
      <c r="H2361" s="2">
        <v>81.226707000000005</v>
      </c>
      <c r="I2361" s="2">
        <v>35.524138800000003</v>
      </c>
      <c r="J2361" s="2">
        <v>62.501703300000003</v>
      </c>
      <c r="L2361" s="2"/>
      <c r="M2361" s="2"/>
    </row>
    <row r="2362" spans="2:13">
      <c r="B2362" s="2"/>
      <c r="C2362" s="1">
        <v>78.363431980000001</v>
      </c>
      <c r="D2362" s="1">
        <v>0.72554115699999999</v>
      </c>
      <c r="E2362" s="1"/>
      <c r="H2362" s="2">
        <v>42.290706399999998</v>
      </c>
      <c r="I2362" s="2">
        <v>111.454071</v>
      </c>
      <c r="J2362" s="2">
        <v>15.5037596</v>
      </c>
      <c r="L2362" s="2"/>
      <c r="M2362" s="2"/>
    </row>
    <row r="2363" spans="2:13">
      <c r="B2363" s="2"/>
      <c r="C2363" s="1">
        <v>62.049540829999998</v>
      </c>
      <c r="D2363" s="1">
        <v>0.857457731</v>
      </c>
      <c r="E2363" s="1"/>
      <c r="H2363" s="2">
        <v>245.14334400000001</v>
      </c>
      <c r="I2363" s="2">
        <v>62.6997164</v>
      </c>
      <c r="J2363" s="2">
        <v>20.439934099999999</v>
      </c>
      <c r="L2363" s="2"/>
      <c r="M2363" s="2"/>
    </row>
    <row r="2364" spans="2:13">
      <c r="B2364" s="2"/>
      <c r="C2364" s="1">
        <v>160.23477320000001</v>
      </c>
      <c r="D2364" s="1">
        <v>2.4272649610000001</v>
      </c>
      <c r="E2364" s="1"/>
      <c r="H2364" s="2">
        <v>57.7497142</v>
      </c>
      <c r="I2364" s="2">
        <v>26.429337400000001</v>
      </c>
      <c r="J2364" s="2">
        <v>5.0056981499999997</v>
      </c>
      <c r="L2364" s="2"/>
      <c r="M2364" s="2"/>
    </row>
    <row r="2365" spans="2:13">
      <c r="B2365" s="2"/>
      <c r="C2365" s="1">
        <v>28.85421384</v>
      </c>
      <c r="D2365" s="1">
        <v>0.42872886500000001</v>
      </c>
      <c r="E2365" s="1"/>
      <c r="H2365" s="2">
        <v>27.4502968</v>
      </c>
      <c r="I2365" s="2">
        <v>13.8987222</v>
      </c>
      <c r="J2365" s="2">
        <v>29.825618200000001</v>
      </c>
      <c r="L2365" s="2"/>
      <c r="M2365" s="2"/>
    </row>
    <row r="2366" spans="2:13">
      <c r="B2366" s="2"/>
      <c r="C2366" s="1">
        <v>13.65729896</v>
      </c>
      <c r="D2366" s="1">
        <v>1.3587407119999999</v>
      </c>
      <c r="E2366" s="1"/>
      <c r="H2366" s="2">
        <v>18.908882599999998</v>
      </c>
      <c r="I2366" s="2">
        <v>6.7317077100000002</v>
      </c>
      <c r="J2366" s="2">
        <v>9.4552076199999995</v>
      </c>
      <c r="L2366" s="2"/>
      <c r="M2366" s="2"/>
    </row>
    <row r="2367" spans="2:13">
      <c r="B2367" s="2"/>
      <c r="C2367" s="1">
        <v>12.781831070000001</v>
      </c>
      <c r="D2367" s="1">
        <v>0.69915784199999997</v>
      </c>
      <c r="E2367" s="1"/>
      <c r="H2367" s="2">
        <v>7.4231788400000003</v>
      </c>
      <c r="I2367" s="2">
        <v>19.7287231</v>
      </c>
      <c r="J2367" s="2">
        <v>18.2151794</v>
      </c>
      <c r="L2367" s="2"/>
      <c r="M2367" s="2"/>
    </row>
    <row r="2368" spans="2:13">
      <c r="B2368" s="2"/>
      <c r="C2368" s="1">
        <v>23.17272917</v>
      </c>
      <c r="D2368" s="1">
        <v>0.62660372600000003</v>
      </c>
      <c r="E2368" s="1"/>
      <c r="H2368" s="2">
        <v>37.032621399999996</v>
      </c>
      <c r="I2368" s="2">
        <v>13.7588021</v>
      </c>
      <c r="J2368" s="2">
        <v>23.881351599999999</v>
      </c>
      <c r="L2368" s="2"/>
      <c r="M2368" s="2"/>
    </row>
    <row r="2369" spans="2:13">
      <c r="B2369" s="2"/>
      <c r="C2369" s="1">
        <v>40.59755887</v>
      </c>
      <c r="D2369" s="1">
        <v>0.65958287000000004</v>
      </c>
      <c r="E2369" s="1"/>
      <c r="H2369" s="2">
        <v>11.592768899999999</v>
      </c>
      <c r="I2369" s="2">
        <v>18.065229500000001</v>
      </c>
      <c r="J2369" s="2">
        <v>7.8561651599999998</v>
      </c>
      <c r="L2369" s="2"/>
      <c r="M2369" s="2"/>
    </row>
    <row r="2370" spans="2:13">
      <c r="B2370" s="2"/>
      <c r="C2370" s="1">
        <v>9.1592053559999993</v>
      </c>
      <c r="D2370" s="1">
        <v>4.6434634030000002</v>
      </c>
      <c r="E2370" s="1"/>
      <c r="H2370" s="2">
        <v>18.331920799999999</v>
      </c>
      <c r="I2370" s="2">
        <v>22.5893102</v>
      </c>
      <c r="J2370" s="2">
        <v>12.8618633</v>
      </c>
      <c r="L2370" s="2"/>
      <c r="M2370" s="2"/>
    </row>
    <row r="2371" spans="2:13">
      <c r="B2371" s="2"/>
      <c r="C2371" s="1">
        <v>15.37200846</v>
      </c>
      <c r="D2371" s="1">
        <v>0.857457731</v>
      </c>
      <c r="E2371" s="1"/>
      <c r="H2371" s="2">
        <v>27.2896991</v>
      </c>
      <c r="I2371" s="2">
        <v>15.329015699999999</v>
      </c>
      <c r="J2371" s="2">
        <v>96.568260199999997</v>
      </c>
      <c r="L2371" s="2"/>
      <c r="M2371" s="2"/>
    </row>
    <row r="2372" spans="2:13">
      <c r="B2372" s="2"/>
      <c r="C2372" s="1">
        <v>8.3743031170000002</v>
      </c>
      <c r="D2372" s="1">
        <v>0.35617474999999998</v>
      </c>
      <c r="E2372" s="1"/>
      <c r="H2372" s="2">
        <v>10.0700655</v>
      </c>
      <c r="I2372" s="2">
        <v>13.9453622</v>
      </c>
      <c r="J2372" s="2">
        <v>13.5570992</v>
      </c>
      <c r="L2372" s="2"/>
      <c r="M2372" s="2"/>
    </row>
    <row r="2373" spans="2:13">
      <c r="B2373" s="2"/>
      <c r="C2373" s="1">
        <v>15.2089903</v>
      </c>
      <c r="D2373" s="1">
        <v>0.36277057800000001</v>
      </c>
      <c r="E2373" s="1"/>
      <c r="H2373" s="2">
        <v>16.601035400000001</v>
      </c>
      <c r="I2373" s="2">
        <v>87.963053700000003</v>
      </c>
      <c r="J2373" s="2">
        <v>10.2199671</v>
      </c>
      <c r="L2373" s="2"/>
      <c r="M2373" s="2"/>
    </row>
    <row r="2374" spans="2:13">
      <c r="B2374" s="2"/>
      <c r="C2374" s="1">
        <v>16.181061540000002</v>
      </c>
      <c r="D2374" s="1">
        <v>11.27886707</v>
      </c>
      <c r="E2374" s="1"/>
      <c r="H2374" s="2">
        <v>116.106131</v>
      </c>
      <c r="I2374" s="2">
        <v>11.9709352</v>
      </c>
      <c r="J2374" s="2">
        <v>12.3056746</v>
      </c>
      <c r="L2374" s="2"/>
      <c r="M2374" s="2"/>
    </row>
    <row r="2375" spans="2:13">
      <c r="B2375" s="2"/>
      <c r="C2375" s="1">
        <v>28.147801829999999</v>
      </c>
      <c r="D2375" s="1">
        <v>5.9362458E-2</v>
      </c>
      <c r="E2375" s="1"/>
      <c r="H2375" s="2">
        <v>21.448704299999999</v>
      </c>
      <c r="I2375" s="2">
        <v>13.276855400000001</v>
      </c>
      <c r="J2375" s="2">
        <v>104.772043</v>
      </c>
      <c r="L2375" s="2"/>
      <c r="M2375" s="2"/>
    </row>
    <row r="2376" spans="2:13">
      <c r="B2376" s="2"/>
      <c r="C2376" s="1">
        <v>27.586294840000001</v>
      </c>
      <c r="D2376" s="1">
        <v>0.145108231</v>
      </c>
      <c r="E2376" s="1"/>
      <c r="H2376" s="2">
        <v>15.060487800000001</v>
      </c>
      <c r="I2376" s="2">
        <v>11.0070417</v>
      </c>
      <c r="J2376" s="2">
        <v>1.4252335</v>
      </c>
      <c r="L2376" s="2"/>
      <c r="M2376" s="2"/>
    </row>
    <row r="2377" spans="2:13">
      <c r="B2377" s="2"/>
      <c r="C2377" s="1">
        <v>11.29655453</v>
      </c>
      <c r="D2377" s="1">
        <v>64.104859110000007</v>
      </c>
      <c r="E2377" s="1"/>
      <c r="H2377" s="2">
        <v>19.8248839</v>
      </c>
      <c r="I2377" s="2">
        <v>131.71137999999999</v>
      </c>
      <c r="J2377" s="2">
        <v>4.4147476799999996</v>
      </c>
      <c r="L2377" s="2"/>
      <c r="M2377" s="2"/>
    </row>
    <row r="2378" spans="2:13">
      <c r="B2378" s="2"/>
      <c r="C2378" s="1">
        <v>4.8241299140000002</v>
      </c>
      <c r="D2378" s="1">
        <v>1.8138528920000001</v>
      </c>
      <c r="E2378" s="1"/>
      <c r="H2378" s="2">
        <v>118.092783</v>
      </c>
      <c r="I2378" s="2">
        <v>1.1660001799999999</v>
      </c>
      <c r="J2378" s="2">
        <v>4.1366533299999997</v>
      </c>
      <c r="L2378" s="2"/>
      <c r="M2378" s="2"/>
    </row>
    <row r="2379" spans="2:13">
      <c r="B2379" s="2"/>
      <c r="C2379" s="1">
        <v>36.594557459999997</v>
      </c>
      <c r="D2379" s="1">
        <v>0.53426212500000003</v>
      </c>
      <c r="E2379" s="1"/>
      <c r="H2379" s="2">
        <v>1.6654567899999999</v>
      </c>
      <c r="I2379" s="2">
        <v>3.8866672699999998</v>
      </c>
      <c r="J2379" s="2">
        <v>37.855592299999998</v>
      </c>
      <c r="L2379" s="2"/>
      <c r="M2379" s="2"/>
    </row>
    <row r="2380" spans="2:13">
      <c r="B2380" s="2"/>
      <c r="C2380" s="1">
        <v>1.3705600630000001</v>
      </c>
      <c r="D2380" s="1">
        <v>1.2202283089999999</v>
      </c>
      <c r="E2380" s="1"/>
      <c r="H2380" s="2">
        <v>7.0781913599999999</v>
      </c>
      <c r="I2380" s="2">
        <v>3.2026138300000002</v>
      </c>
      <c r="J2380" s="2">
        <v>6.6395024100000004</v>
      </c>
      <c r="L2380" s="2"/>
      <c r="M2380" s="2"/>
    </row>
    <row r="2381" spans="2:13">
      <c r="B2381" s="2"/>
      <c r="C2381" s="1">
        <v>2.1071606260000002</v>
      </c>
      <c r="D2381" s="1">
        <v>2.3679025020000002</v>
      </c>
      <c r="E2381" s="1"/>
      <c r="H2381" s="2">
        <v>6.00159251</v>
      </c>
      <c r="I2381" s="2">
        <v>37.7473125</v>
      </c>
      <c r="J2381" s="2">
        <v>23.8465898</v>
      </c>
      <c r="L2381" s="2"/>
      <c r="M2381" s="2"/>
    </row>
    <row r="2382" spans="2:13">
      <c r="B2382" s="2"/>
      <c r="C2382" s="1">
        <v>3.6830028129999999</v>
      </c>
      <c r="D2382" s="1">
        <v>1.5895947159999999</v>
      </c>
      <c r="E2382" s="1"/>
      <c r="H2382" s="2">
        <v>51.266328899999998</v>
      </c>
      <c r="I2382" s="2">
        <v>4.7106407299999997</v>
      </c>
      <c r="J2382" s="2">
        <v>28.921811600000002</v>
      </c>
      <c r="L2382" s="2"/>
      <c r="M2382" s="2"/>
    </row>
    <row r="2383" spans="2:13">
      <c r="B2383" s="2"/>
      <c r="C2383" s="1">
        <v>47.854885729999999</v>
      </c>
      <c r="D2383" s="1">
        <v>0.19787486100000001</v>
      </c>
      <c r="E2383" s="1"/>
      <c r="H2383" s="2">
        <v>9.3027657900000005</v>
      </c>
      <c r="I2383" s="2">
        <v>33.7518186</v>
      </c>
      <c r="J2383" s="2">
        <v>51.760309399999997</v>
      </c>
      <c r="L2383" s="2"/>
      <c r="M2383" s="2"/>
    </row>
    <row r="2384" spans="2:13">
      <c r="B2384" s="2"/>
      <c r="C2384" s="1">
        <v>9.3342989319999994</v>
      </c>
      <c r="D2384" s="1">
        <v>0.26383314800000002</v>
      </c>
      <c r="E2384" s="1"/>
      <c r="H2384" s="2">
        <v>37.056413599999999</v>
      </c>
      <c r="I2384" s="2">
        <v>22.6359502</v>
      </c>
      <c r="J2384" s="2">
        <v>3.9976061600000001</v>
      </c>
      <c r="L2384" s="2"/>
      <c r="M2384" s="2"/>
    </row>
    <row r="2385" spans="2:13">
      <c r="B2385" s="2"/>
      <c r="C2385" s="1">
        <v>27.41723897</v>
      </c>
      <c r="D2385" s="1">
        <v>245.51653160000001</v>
      </c>
      <c r="E2385" s="1"/>
      <c r="H2385" s="2">
        <v>36.503244000000002</v>
      </c>
      <c r="I2385" s="2">
        <v>54.941928500000003</v>
      </c>
      <c r="J2385" s="2">
        <v>3.96284437</v>
      </c>
      <c r="L2385" s="2"/>
      <c r="M2385" s="2"/>
    </row>
    <row r="2386" spans="2:13">
      <c r="B2386" s="2"/>
      <c r="C2386" s="1">
        <v>28.564403779999999</v>
      </c>
      <c r="D2386" s="1">
        <v>0.54745378200000006</v>
      </c>
      <c r="E2386" s="1"/>
      <c r="H2386" s="2">
        <v>46.852868399999998</v>
      </c>
      <c r="I2386" s="2">
        <v>3.6845605699999999</v>
      </c>
      <c r="J2386" s="2">
        <v>52.768401400000002</v>
      </c>
      <c r="L2386" s="2"/>
      <c r="M2386" s="2"/>
    </row>
    <row r="2387" spans="2:13">
      <c r="B2387" s="2"/>
      <c r="C2387" s="1">
        <v>57.786917899999999</v>
      </c>
      <c r="D2387" s="1">
        <v>0.17149154599999999</v>
      </c>
      <c r="E2387" s="1"/>
      <c r="H2387" s="2">
        <v>4.4432007999999996</v>
      </c>
      <c r="I2387" s="2">
        <v>6.8871744000000001</v>
      </c>
      <c r="J2387" s="2">
        <v>15.2256652</v>
      </c>
      <c r="L2387" s="2"/>
      <c r="M2387" s="2"/>
    </row>
    <row r="2388" spans="2:13">
      <c r="B2388" s="2"/>
      <c r="C2388" s="1">
        <v>2.2460279449999998</v>
      </c>
      <c r="D2388" s="1">
        <v>3.5947266400000002</v>
      </c>
      <c r="E2388" s="1"/>
      <c r="H2388" s="2">
        <v>6.5250217900000003</v>
      </c>
      <c r="I2388" s="2">
        <v>35.850618900000001</v>
      </c>
      <c r="J2388" s="2">
        <v>4.5537948500000001</v>
      </c>
      <c r="L2388" s="2"/>
      <c r="M2388" s="2"/>
    </row>
    <row r="2389" spans="2:13">
      <c r="B2389" s="2"/>
      <c r="C2389" s="1">
        <v>3.9909259989999999</v>
      </c>
      <c r="D2389" s="1">
        <v>176.8737424</v>
      </c>
      <c r="E2389" s="1"/>
      <c r="H2389" s="2">
        <v>62.722292400000001</v>
      </c>
      <c r="I2389" s="2">
        <v>13.4478688</v>
      </c>
      <c r="J2389" s="2">
        <v>71.783102</v>
      </c>
      <c r="L2389" s="2"/>
      <c r="M2389" s="2"/>
    </row>
    <row r="2390" spans="2:13">
      <c r="B2390" s="2"/>
      <c r="C2390" s="1">
        <v>43.399056100000003</v>
      </c>
      <c r="D2390" s="1">
        <v>0.857457731</v>
      </c>
      <c r="E2390" s="1"/>
      <c r="H2390" s="2">
        <v>17.588413299999999</v>
      </c>
      <c r="I2390" s="2">
        <v>8.7527746900000007</v>
      </c>
      <c r="J2390" s="2">
        <v>23.533733699999999</v>
      </c>
      <c r="L2390" s="2"/>
      <c r="M2390" s="2"/>
    </row>
    <row r="2391" spans="2:13">
      <c r="B2391" s="2"/>
      <c r="C2391" s="1">
        <v>18.01652524</v>
      </c>
      <c r="D2391" s="1">
        <v>0.98277847600000001</v>
      </c>
      <c r="E2391" s="1"/>
      <c r="H2391" s="2">
        <v>4.5383697600000001</v>
      </c>
      <c r="I2391" s="2">
        <v>59.916862600000002</v>
      </c>
      <c r="J2391" s="2">
        <v>16.3728044</v>
      </c>
      <c r="L2391" s="2"/>
      <c r="M2391" s="2"/>
    </row>
    <row r="2392" spans="2:13">
      <c r="B2392" s="2"/>
      <c r="C2392" s="1">
        <v>5.1441285189999997</v>
      </c>
      <c r="D2392" s="1">
        <v>12.63760778</v>
      </c>
      <c r="E2392" s="1"/>
      <c r="H2392" s="2">
        <v>78.680937299999997</v>
      </c>
      <c r="I2392" s="2">
        <v>16.028615800000001</v>
      </c>
      <c r="J2392" s="2">
        <v>17.102802000000001</v>
      </c>
      <c r="L2392" s="2"/>
      <c r="M2392" s="2"/>
    </row>
    <row r="2393" spans="2:13">
      <c r="B2393" s="2"/>
      <c r="C2393" s="1">
        <v>57.756729360000001</v>
      </c>
      <c r="D2393" s="1">
        <v>1.8138528920000001</v>
      </c>
      <c r="E2393" s="1"/>
      <c r="H2393" s="2">
        <v>28.889727300000001</v>
      </c>
      <c r="I2393" s="2">
        <v>16.6504826</v>
      </c>
      <c r="J2393" s="2">
        <v>28.4003847</v>
      </c>
      <c r="L2393" s="2"/>
      <c r="M2393" s="2"/>
    </row>
    <row r="2394" spans="2:13">
      <c r="B2394" s="2"/>
      <c r="C2394" s="1">
        <v>38.478322830000003</v>
      </c>
      <c r="D2394" s="1">
        <v>68.240443709999994</v>
      </c>
      <c r="E2394" s="1"/>
      <c r="H2394" s="2">
        <v>18.1415829</v>
      </c>
      <c r="I2394" s="2">
        <v>14.4428556</v>
      </c>
      <c r="J2394" s="2">
        <v>31.6332314</v>
      </c>
      <c r="L2394" s="2"/>
      <c r="M2394" s="2"/>
    </row>
    <row r="2395" spans="2:13">
      <c r="B2395" s="2"/>
      <c r="C2395" s="1">
        <v>19.815762670000002</v>
      </c>
      <c r="D2395" s="1">
        <v>1.174057508</v>
      </c>
      <c r="E2395" s="1"/>
      <c r="H2395" s="2">
        <v>19.396623600000002</v>
      </c>
      <c r="I2395" s="2">
        <v>22.9157902</v>
      </c>
      <c r="J2395" s="2">
        <v>16.755184100000001</v>
      </c>
      <c r="L2395" s="2"/>
      <c r="M2395" s="2"/>
    </row>
    <row r="2396" spans="2:13">
      <c r="B2396" s="2"/>
      <c r="C2396" s="1">
        <v>11.70711878</v>
      </c>
      <c r="D2396" s="1">
        <v>0.949799332</v>
      </c>
      <c r="E2396" s="1"/>
      <c r="H2396" s="2">
        <v>30.941808000000002</v>
      </c>
      <c r="I2396" s="2">
        <v>30.409284700000001</v>
      </c>
      <c r="J2396" s="2">
        <v>16.164233599999999</v>
      </c>
      <c r="L2396" s="2"/>
      <c r="M2396" s="2"/>
    </row>
    <row r="2397" spans="2:13">
      <c r="B2397" s="2"/>
      <c r="C2397" s="1">
        <v>20.2746286</v>
      </c>
      <c r="D2397" s="1">
        <v>0.86405355900000003</v>
      </c>
      <c r="E2397" s="1"/>
      <c r="H2397" s="2">
        <v>31.7626402</v>
      </c>
      <c r="I2397" s="2">
        <v>26.009577400000001</v>
      </c>
      <c r="J2397" s="2">
        <v>11.4713916</v>
      </c>
      <c r="L2397" s="2"/>
      <c r="M2397" s="2"/>
    </row>
    <row r="2398" spans="2:13">
      <c r="B2398" s="2"/>
      <c r="C2398" s="1">
        <v>30.448169159999999</v>
      </c>
      <c r="D2398" s="1">
        <v>0.31659977700000003</v>
      </c>
      <c r="E2398" s="1"/>
      <c r="H2398" s="2">
        <v>17.023347600000001</v>
      </c>
      <c r="I2398" s="2">
        <v>14.1941089</v>
      </c>
      <c r="J2398" s="2">
        <v>19.153747800000001</v>
      </c>
      <c r="L2398" s="2"/>
      <c r="M2398" s="2"/>
    </row>
    <row r="2399" spans="2:13">
      <c r="B2399" s="2"/>
      <c r="C2399" s="1">
        <v>9.3886383179999999</v>
      </c>
      <c r="D2399" s="1">
        <v>2.2689650719999999</v>
      </c>
      <c r="E2399" s="1"/>
      <c r="H2399" s="2">
        <v>18.569843200000001</v>
      </c>
      <c r="I2399" s="2">
        <v>8.5040279900000009</v>
      </c>
      <c r="J2399" s="2">
        <v>6.7090259999999997</v>
      </c>
      <c r="L2399" s="2"/>
      <c r="M2399" s="2"/>
    </row>
    <row r="2400" spans="2:13">
      <c r="B2400" s="2"/>
      <c r="C2400" s="1">
        <v>17.75086602</v>
      </c>
      <c r="D2400" s="1">
        <v>13.521448830000001</v>
      </c>
      <c r="E2400" s="1"/>
      <c r="H2400" s="2">
        <v>15.119968399999999</v>
      </c>
      <c r="I2400" s="2">
        <v>17.474456</v>
      </c>
      <c r="J2400" s="2">
        <v>41.331771600000003</v>
      </c>
      <c r="L2400" s="2"/>
      <c r="M2400" s="2"/>
    </row>
    <row r="2401" spans="2:13">
      <c r="B2401" s="2"/>
      <c r="C2401" s="1">
        <v>25.207437280000001</v>
      </c>
      <c r="D2401" s="1">
        <v>1.615978031</v>
      </c>
      <c r="E2401" s="1"/>
      <c r="H2401" s="2">
        <v>18.498466499999999</v>
      </c>
      <c r="I2401" s="2">
        <v>6.7161610400000002</v>
      </c>
      <c r="J2401" s="2">
        <v>251.74490299999999</v>
      </c>
      <c r="L2401" s="2"/>
      <c r="M2401" s="2"/>
    </row>
    <row r="2402" spans="2:13">
      <c r="B2402" s="2"/>
      <c r="C2402" s="1">
        <v>15.03389673</v>
      </c>
      <c r="D2402" s="1">
        <v>0.21106651800000001</v>
      </c>
      <c r="E2402" s="1"/>
      <c r="H2402" s="2">
        <v>9.1838045899999994</v>
      </c>
      <c r="I2402" s="2">
        <v>39.519632799999997</v>
      </c>
      <c r="J2402" s="2">
        <v>50.161266900000001</v>
      </c>
      <c r="L2402" s="2"/>
      <c r="M2402" s="2"/>
    </row>
    <row r="2403" spans="2:13">
      <c r="B2403" s="2"/>
      <c r="C2403" s="1">
        <v>4.5222444370000003</v>
      </c>
      <c r="D2403" s="1">
        <v>0.29681229100000001</v>
      </c>
      <c r="E2403" s="1"/>
      <c r="H2403" s="2">
        <v>52.783084199999998</v>
      </c>
      <c r="I2403" s="2">
        <v>258.23017299999998</v>
      </c>
      <c r="J2403" s="2">
        <v>5.2142689100000004</v>
      </c>
      <c r="L2403" s="2"/>
      <c r="M2403" s="2"/>
    </row>
    <row r="2404" spans="2:13">
      <c r="B2404" s="2"/>
      <c r="C2404" s="1">
        <v>26.00441494</v>
      </c>
      <c r="D2404" s="1">
        <v>53.920899599999998</v>
      </c>
      <c r="E2404" s="1"/>
      <c r="H2404" s="2">
        <v>247.260853</v>
      </c>
      <c r="I2404" s="2">
        <v>27.206670899999999</v>
      </c>
      <c r="J2404" s="2">
        <v>3.8933207900000002</v>
      </c>
      <c r="L2404" s="2"/>
      <c r="M2404" s="2"/>
    </row>
    <row r="2405" spans="2:13">
      <c r="B2405" s="2"/>
      <c r="C2405" s="1">
        <v>199.43158349999999</v>
      </c>
      <c r="D2405" s="1">
        <v>4.5841009450000003</v>
      </c>
      <c r="E2405" s="1"/>
      <c r="H2405" s="2">
        <v>50.231366399999999</v>
      </c>
      <c r="I2405" s="2">
        <v>9.2191747599999996</v>
      </c>
      <c r="J2405" s="2">
        <v>1.6685660499999999</v>
      </c>
      <c r="L2405" s="2"/>
      <c r="M2405" s="2"/>
    </row>
    <row r="2406" spans="2:13">
      <c r="B2406" s="2"/>
      <c r="C2406" s="1">
        <v>25.358380019999998</v>
      </c>
      <c r="D2406" s="1">
        <v>2.4668399330000002</v>
      </c>
      <c r="E2406" s="1"/>
      <c r="H2406" s="2">
        <v>6.3168396900000001</v>
      </c>
      <c r="I2406" s="2">
        <v>5.9854675999999998</v>
      </c>
      <c r="J2406" s="2">
        <v>27.114198300000002</v>
      </c>
      <c r="L2406" s="2"/>
      <c r="M2406" s="2"/>
    </row>
    <row r="2407" spans="2:13">
      <c r="B2407" s="2"/>
      <c r="C2407" s="1">
        <v>6.8528003159999997</v>
      </c>
      <c r="D2407" s="1">
        <v>0.613412069</v>
      </c>
      <c r="E2407" s="1"/>
      <c r="H2407" s="2">
        <v>5.5257477100000001</v>
      </c>
      <c r="I2407" s="2">
        <v>1.9122402999999999</v>
      </c>
      <c r="J2407" s="2">
        <v>65.873597200000006</v>
      </c>
      <c r="L2407" s="2"/>
      <c r="M2407" s="2"/>
    </row>
    <row r="2408" spans="2:13">
      <c r="B2408" s="2"/>
      <c r="C2408" s="1">
        <v>7.2150628870000002</v>
      </c>
      <c r="D2408" s="1">
        <v>195.1309962</v>
      </c>
      <c r="E2408" s="1"/>
      <c r="H2408" s="2">
        <v>2.8848090900000001</v>
      </c>
      <c r="I2408" s="2">
        <v>22.247283500000002</v>
      </c>
      <c r="J2408" s="2">
        <v>10.324252400000001</v>
      </c>
      <c r="L2408" s="2"/>
      <c r="M2408" s="2"/>
    </row>
    <row r="2409" spans="2:13">
      <c r="B2409" s="2"/>
      <c r="C2409" s="1">
        <v>3.0852695689999998</v>
      </c>
      <c r="D2409" s="1">
        <v>0.84426607300000001</v>
      </c>
      <c r="E2409" s="1"/>
      <c r="H2409" s="2">
        <v>29.835468800000001</v>
      </c>
      <c r="I2409" s="2">
        <v>40.592353000000003</v>
      </c>
      <c r="J2409" s="2">
        <v>29.234667699999999</v>
      </c>
      <c r="L2409" s="2"/>
      <c r="M2409" s="2"/>
    </row>
    <row r="2410" spans="2:13">
      <c r="B2410" s="2"/>
      <c r="C2410" s="1">
        <v>46.46017483</v>
      </c>
      <c r="D2410" s="1">
        <v>4.1092012789999997</v>
      </c>
      <c r="E2410" s="1"/>
      <c r="H2410" s="2">
        <v>62.133434399999999</v>
      </c>
      <c r="I2410" s="2">
        <v>9.8254948599999992</v>
      </c>
      <c r="J2410" s="2">
        <v>9.90711093</v>
      </c>
      <c r="L2410" s="2"/>
      <c r="M2410" s="2"/>
    </row>
    <row r="2411" spans="2:13">
      <c r="B2411" s="2"/>
      <c r="C2411" s="1">
        <v>79.830595400000007</v>
      </c>
      <c r="D2411" s="1">
        <v>52.760033749999998</v>
      </c>
      <c r="E2411" s="1"/>
      <c r="H2411" s="2">
        <v>13.4366675</v>
      </c>
      <c r="I2411" s="2">
        <v>19.169042999999999</v>
      </c>
      <c r="J2411" s="2">
        <v>39.558920100000002</v>
      </c>
      <c r="L2411" s="2"/>
      <c r="M2411" s="2"/>
    </row>
    <row r="2412" spans="2:13">
      <c r="B2412" s="2"/>
      <c r="C2412" s="1">
        <v>12.78786878</v>
      </c>
      <c r="D2412" s="1">
        <v>0.30340812</v>
      </c>
      <c r="E2412" s="1"/>
      <c r="H2412" s="2">
        <v>28.657752899999998</v>
      </c>
      <c r="I2412" s="2">
        <v>29.538671300000001</v>
      </c>
      <c r="J2412" s="2">
        <v>8.4818774300000008</v>
      </c>
      <c r="L2412" s="2"/>
      <c r="M2412" s="2"/>
    </row>
    <row r="2413" spans="2:13">
      <c r="B2413" s="2"/>
      <c r="C2413" s="1">
        <v>10.892027990000001</v>
      </c>
      <c r="D2413" s="1">
        <v>122.39219730000001</v>
      </c>
      <c r="E2413" s="1"/>
      <c r="H2413" s="2">
        <v>19.539377000000002</v>
      </c>
      <c r="I2413" s="2">
        <v>49.251847599999998</v>
      </c>
      <c r="J2413" s="2">
        <v>9.8028255499999997</v>
      </c>
      <c r="L2413" s="2"/>
      <c r="M2413" s="2"/>
    </row>
    <row r="2414" spans="2:13">
      <c r="B2414" s="2"/>
      <c r="C2414" s="1">
        <v>21.77801827</v>
      </c>
      <c r="D2414" s="1">
        <v>1.2861865960000001</v>
      </c>
      <c r="E2414" s="1"/>
      <c r="H2414" s="2">
        <v>52.753343899999997</v>
      </c>
      <c r="I2414" s="2">
        <v>9.5301081500000002</v>
      </c>
      <c r="J2414" s="2">
        <v>70.635962800000001</v>
      </c>
      <c r="L2414" s="2"/>
      <c r="M2414" s="2"/>
    </row>
    <row r="2415" spans="2:13">
      <c r="B2415" s="2"/>
      <c r="C2415" s="1">
        <v>104.8508637</v>
      </c>
      <c r="D2415" s="1">
        <v>1.0817159059999999</v>
      </c>
      <c r="E2415" s="1"/>
      <c r="H2415" s="2">
        <v>10.046273299999999</v>
      </c>
      <c r="I2415" s="2">
        <v>10.8671217</v>
      </c>
      <c r="J2415" s="2">
        <v>30.6599012</v>
      </c>
      <c r="L2415" s="2"/>
      <c r="M2415" s="2"/>
    </row>
    <row r="2416" spans="2:13">
      <c r="B2416" s="2"/>
      <c r="C2416" s="1">
        <v>8.7607165269999996</v>
      </c>
      <c r="D2416" s="1">
        <v>0.40894137899999999</v>
      </c>
      <c r="E2416" s="1"/>
      <c r="H2416" s="2">
        <v>11.009859000000001</v>
      </c>
      <c r="I2416" s="2">
        <v>55.936915300000003</v>
      </c>
      <c r="J2416" s="2">
        <v>16.407566200000002</v>
      </c>
      <c r="L2416" s="2"/>
      <c r="M2416" s="2"/>
    </row>
    <row r="2417" spans="2:13">
      <c r="B2417" s="2"/>
      <c r="C2417" s="1">
        <v>11.82183526</v>
      </c>
      <c r="D2417" s="1">
        <v>1.141078365</v>
      </c>
      <c r="E2417" s="1"/>
      <c r="H2417" s="2">
        <v>68.961807300000004</v>
      </c>
      <c r="I2417" s="2">
        <v>32.974485100000003</v>
      </c>
      <c r="J2417" s="2">
        <v>10.1504435</v>
      </c>
      <c r="L2417" s="2"/>
      <c r="M2417" s="2"/>
    </row>
    <row r="2418" spans="2:13">
      <c r="B2418" s="2"/>
      <c r="C2418" s="1">
        <v>35.344751580000001</v>
      </c>
      <c r="D2418" s="1">
        <v>0.52107046700000004</v>
      </c>
      <c r="E2418" s="1"/>
      <c r="H2418" s="2">
        <v>35.212515000000003</v>
      </c>
      <c r="I2418" s="2">
        <v>22.527123499999998</v>
      </c>
      <c r="J2418" s="2">
        <v>13.730908100000001</v>
      </c>
      <c r="L2418" s="2"/>
      <c r="M2418" s="2"/>
    </row>
    <row r="2419" spans="2:13">
      <c r="B2419" s="2"/>
      <c r="C2419" s="1">
        <v>32.398349330000002</v>
      </c>
      <c r="D2419" s="1">
        <v>0.72554115699999999</v>
      </c>
      <c r="E2419" s="1"/>
      <c r="H2419" s="2">
        <v>21.169145400000001</v>
      </c>
      <c r="I2419" s="2">
        <v>8.4262946400000001</v>
      </c>
      <c r="J2419" s="2">
        <v>9.8375873400000007</v>
      </c>
      <c r="L2419" s="2"/>
      <c r="M2419" s="2"/>
    </row>
    <row r="2420" spans="2:13">
      <c r="B2420" s="2"/>
      <c r="C2420" s="1">
        <v>18.976521049999999</v>
      </c>
      <c r="D2420" s="1">
        <v>2.031515239</v>
      </c>
      <c r="E2420" s="1"/>
      <c r="H2420" s="2">
        <v>17.368335099999999</v>
      </c>
      <c r="I2420" s="2">
        <v>10.9137617</v>
      </c>
      <c r="J2420" s="2">
        <v>7.8909269499999999</v>
      </c>
      <c r="L2420" s="2"/>
      <c r="M2420" s="2"/>
    </row>
    <row r="2421" spans="2:13">
      <c r="B2421" s="2"/>
      <c r="C2421" s="1">
        <v>4.7094134329999999</v>
      </c>
      <c r="D2421" s="1">
        <v>3.7332390430000002</v>
      </c>
      <c r="E2421" s="1"/>
      <c r="H2421" s="2">
        <v>16.380957200000001</v>
      </c>
      <c r="I2421" s="2">
        <v>6.1409342899999997</v>
      </c>
      <c r="J2421" s="2">
        <v>49.014127700000003</v>
      </c>
      <c r="L2421" s="2"/>
      <c r="M2421" s="2"/>
    </row>
    <row r="2422" spans="2:13">
      <c r="B2422" s="2"/>
      <c r="C2422" s="1">
        <v>31.547032290000001</v>
      </c>
      <c r="D2422" s="1">
        <v>1.0421409340000001</v>
      </c>
      <c r="E2422" s="1"/>
      <c r="H2422" s="2">
        <v>10.307987900000001</v>
      </c>
      <c r="I2422" s="2">
        <v>6.9493610800000001</v>
      </c>
      <c r="J2422" s="2">
        <v>55.757915500000003</v>
      </c>
      <c r="L2422" s="2"/>
      <c r="M2422" s="2"/>
    </row>
    <row r="2423" spans="2:13">
      <c r="B2423" s="2"/>
      <c r="C2423" s="1">
        <v>16.935775230000001</v>
      </c>
      <c r="D2423" s="1">
        <v>0.712349499</v>
      </c>
      <c r="E2423" s="1"/>
      <c r="H2423" s="2">
        <v>10.9503784</v>
      </c>
      <c r="I2423" s="2">
        <v>42.364673199999999</v>
      </c>
      <c r="J2423" s="2">
        <v>21.3785025</v>
      </c>
      <c r="L2423" s="2"/>
      <c r="M2423" s="2"/>
    </row>
    <row r="2424" spans="2:13">
      <c r="B2424" s="2"/>
      <c r="C2424" s="1">
        <v>7.4384581399999998</v>
      </c>
      <c r="D2424" s="1">
        <v>0.63319955500000003</v>
      </c>
      <c r="E2424" s="1"/>
      <c r="H2424" s="2">
        <v>50.909445300000002</v>
      </c>
      <c r="I2424" s="2">
        <v>55.999102000000001</v>
      </c>
      <c r="J2424" s="2">
        <v>14.982332700000001</v>
      </c>
      <c r="L2424" s="2"/>
      <c r="M2424" s="2"/>
    </row>
    <row r="2425" spans="2:13">
      <c r="B2425" s="2"/>
      <c r="C2425" s="1">
        <v>22.84065515</v>
      </c>
      <c r="D2425" s="1">
        <v>0.64639121200000005</v>
      </c>
      <c r="E2425" s="1"/>
      <c r="H2425" s="2">
        <v>71.751447400000004</v>
      </c>
      <c r="I2425" s="2">
        <v>21.936350099999999</v>
      </c>
      <c r="J2425" s="2">
        <v>10.7761557</v>
      </c>
      <c r="L2425" s="2"/>
      <c r="M2425" s="2"/>
    </row>
    <row r="2426" spans="2:13">
      <c r="B2426" s="2"/>
      <c r="C2426" s="1">
        <v>92.552049370000006</v>
      </c>
      <c r="D2426" s="1">
        <v>5.5009211340000004</v>
      </c>
      <c r="E2426" s="1"/>
      <c r="H2426" s="2">
        <v>25.308995199999998</v>
      </c>
      <c r="I2426" s="2">
        <v>36.223739000000002</v>
      </c>
      <c r="J2426" s="2">
        <v>12.9313869</v>
      </c>
      <c r="L2426" s="2"/>
      <c r="M2426" s="2"/>
    </row>
    <row r="2427" spans="2:13">
      <c r="B2427" s="2"/>
      <c r="C2427" s="1">
        <v>26.62026131</v>
      </c>
      <c r="D2427" s="1">
        <v>4.1685637370000004</v>
      </c>
      <c r="E2427" s="1"/>
      <c r="H2427" s="2">
        <v>17.630049799999998</v>
      </c>
      <c r="I2427" s="2">
        <v>16.5261092</v>
      </c>
      <c r="J2427" s="2">
        <v>42.027007400000002</v>
      </c>
      <c r="L2427" s="2"/>
      <c r="M2427" s="2"/>
    </row>
    <row r="2428" spans="2:13">
      <c r="B2428" s="2"/>
      <c r="C2428" s="1">
        <v>15.17276405</v>
      </c>
      <c r="D2428" s="1">
        <v>8.5745772999999997E-2</v>
      </c>
      <c r="E2428" s="1"/>
      <c r="H2428" s="2">
        <v>13.192797000000001</v>
      </c>
      <c r="I2428" s="2">
        <v>11.4423484</v>
      </c>
      <c r="J2428" s="2">
        <v>45.016521599999997</v>
      </c>
      <c r="L2428" s="2"/>
      <c r="M2428" s="2"/>
    </row>
    <row r="2429" spans="2:13">
      <c r="B2429" s="2"/>
      <c r="C2429" s="1">
        <v>19.04897356</v>
      </c>
      <c r="D2429" s="1">
        <v>1.385124027</v>
      </c>
      <c r="E2429" s="1"/>
      <c r="H2429" s="2">
        <v>14.7630848</v>
      </c>
      <c r="I2429" s="2">
        <v>77.375771999999998</v>
      </c>
      <c r="J2429" s="2">
        <v>2.4333254900000001</v>
      </c>
      <c r="L2429" s="2"/>
      <c r="M2429" s="2"/>
    </row>
    <row r="2430" spans="2:13">
      <c r="B2430" s="2"/>
      <c r="C2430" s="1">
        <v>12.12975844</v>
      </c>
      <c r="D2430" s="1">
        <v>0.34957892099999999</v>
      </c>
      <c r="E2430" s="1"/>
      <c r="H2430" s="2">
        <v>53.270825100000003</v>
      </c>
      <c r="I2430" s="2">
        <v>30.797951399999999</v>
      </c>
      <c r="J2430" s="2">
        <v>45.329377700000002</v>
      </c>
      <c r="L2430" s="2"/>
      <c r="M2430" s="2"/>
    </row>
    <row r="2431" spans="2:13">
      <c r="B2431" s="2"/>
      <c r="C2431" s="1">
        <v>76.87815544</v>
      </c>
      <c r="D2431" s="1">
        <v>0.474899666</v>
      </c>
      <c r="E2431" s="1"/>
      <c r="H2431" s="2">
        <v>55.685737400000001</v>
      </c>
      <c r="I2431" s="2">
        <v>3.7312005799999999</v>
      </c>
      <c r="J2431" s="2">
        <v>5.0404599499999998</v>
      </c>
      <c r="L2431" s="2"/>
      <c r="M2431" s="2"/>
    </row>
    <row r="2432" spans="2:13">
      <c r="B2432" s="2"/>
      <c r="C2432" s="1">
        <v>85.94679515</v>
      </c>
      <c r="D2432" s="1">
        <v>1.9787486E-2</v>
      </c>
      <c r="E2432" s="1"/>
      <c r="H2432" s="2">
        <v>3.3547058199999999</v>
      </c>
      <c r="I2432" s="2">
        <v>40.810006299999998</v>
      </c>
      <c r="J2432" s="2">
        <v>18.945177000000001</v>
      </c>
      <c r="L2432" s="2"/>
      <c r="M2432" s="2"/>
    </row>
    <row r="2433" spans="2:13">
      <c r="B2433" s="2"/>
      <c r="C2433" s="1">
        <v>4.950921814</v>
      </c>
      <c r="D2433" s="1">
        <v>8.5745772999999997E-2</v>
      </c>
      <c r="E2433" s="1"/>
      <c r="H2433" s="2">
        <v>53.699085400000001</v>
      </c>
      <c r="I2433" s="2">
        <v>12.188588599999999</v>
      </c>
      <c r="J2433" s="2">
        <v>1.00809199</v>
      </c>
      <c r="L2433" s="2"/>
      <c r="M2433" s="2"/>
    </row>
    <row r="2434" spans="2:13">
      <c r="B2434" s="2"/>
      <c r="C2434" s="1">
        <v>34.306265539999998</v>
      </c>
      <c r="D2434" s="1">
        <v>3.6540890990000001</v>
      </c>
      <c r="E2434" s="1"/>
      <c r="H2434" s="2">
        <v>7.46481526</v>
      </c>
      <c r="I2434" s="2">
        <v>23.755310399999999</v>
      </c>
      <c r="J2434" s="2">
        <v>1.9466603899999999</v>
      </c>
      <c r="L2434" s="2"/>
      <c r="M2434" s="2"/>
    </row>
    <row r="2435" spans="2:13">
      <c r="B2435" s="2"/>
      <c r="C2435" s="1">
        <v>8.2656243450000009</v>
      </c>
      <c r="D2435" s="1">
        <v>0.42213303699999999</v>
      </c>
      <c r="E2435" s="1"/>
      <c r="H2435" s="2">
        <v>23.250966399999999</v>
      </c>
      <c r="I2435" s="2">
        <v>0.71514677999999998</v>
      </c>
      <c r="J2435" s="2">
        <v>48.6665098</v>
      </c>
      <c r="L2435" s="2"/>
      <c r="M2435" s="2"/>
    </row>
    <row r="2436" spans="2:13">
      <c r="B2436" s="2"/>
      <c r="C2436" s="1">
        <v>6.9916676349999998</v>
      </c>
      <c r="D2436" s="1">
        <v>356.76177840000003</v>
      </c>
      <c r="E2436" s="1"/>
      <c r="H2436" s="2">
        <v>0.93979347999999996</v>
      </c>
      <c r="I2436" s="2">
        <v>1.9588802999999999</v>
      </c>
      <c r="J2436" s="2">
        <v>8.8990189399999995</v>
      </c>
      <c r="L2436" s="2"/>
      <c r="M2436" s="2"/>
    </row>
    <row r="2437" spans="2:13">
      <c r="B2437" s="2"/>
      <c r="C2437" s="1">
        <v>0.90565642899999999</v>
      </c>
      <c r="D2437" s="1">
        <v>6.2594414340000002</v>
      </c>
      <c r="E2437" s="1"/>
      <c r="H2437" s="2">
        <v>2.8669649100000001</v>
      </c>
      <c r="I2437" s="2">
        <v>43.328566700000003</v>
      </c>
      <c r="J2437" s="2">
        <v>43.208908399999999</v>
      </c>
      <c r="L2437" s="2"/>
      <c r="M2437" s="2"/>
    </row>
    <row r="2438" spans="2:13">
      <c r="B2438" s="2"/>
      <c r="C2438" s="1">
        <v>3.3690419170000001</v>
      </c>
      <c r="D2438" s="1">
        <v>2.3217317020000001</v>
      </c>
      <c r="E2438" s="1"/>
      <c r="H2438" s="2">
        <v>58.671663500000001</v>
      </c>
      <c r="I2438" s="2">
        <v>5.4568808500000001</v>
      </c>
      <c r="J2438" s="2">
        <v>54.819347100000002</v>
      </c>
      <c r="L2438" s="2"/>
      <c r="M2438" s="2"/>
    </row>
    <row r="2439" spans="2:13">
      <c r="B2439" s="2"/>
      <c r="C2439" s="1">
        <v>104.5308651</v>
      </c>
      <c r="D2439" s="1">
        <v>0.32979143500000002</v>
      </c>
      <c r="E2439" s="1"/>
      <c r="H2439" s="2">
        <v>13.983889</v>
      </c>
      <c r="I2439" s="2">
        <v>58.642035800000002</v>
      </c>
      <c r="J2439" s="2">
        <v>25.237061499999999</v>
      </c>
      <c r="L2439" s="2"/>
      <c r="M2439" s="2"/>
    </row>
    <row r="2440" spans="2:13">
      <c r="B2440" s="2"/>
      <c r="C2440" s="1">
        <v>10.8980657</v>
      </c>
      <c r="D2440" s="1">
        <v>0.92341601799999995</v>
      </c>
      <c r="E2440" s="1"/>
      <c r="H2440" s="2">
        <v>44.009695700000002</v>
      </c>
      <c r="I2440" s="2">
        <v>65.855690199999998</v>
      </c>
      <c r="J2440" s="2">
        <v>12.9661487</v>
      </c>
      <c r="L2440" s="2"/>
      <c r="M2440" s="2"/>
    </row>
    <row r="2441" spans="2:13">
      <c r="B2441" s="2"/>
      <c r="C2441" s="1">
        <v>33.418722240000001</v>
      </c>
      <c r="D2441" s="1">
        <v>0.96958681899999999</v>
      </c>
      <c r="E2441" s="1"/>
      <c r="H2441" s="2">
        <v>83.665411500000005</v>
      </c>
      <c r="I2441" s="2">
        <v>39.146512700000002</v>
      </c>
      <c r="J2441" s="2">
        <v>12.3404364</v>
      </c>
      <c r="L2441" s="2"/>
      <c r="M2441" s="2"/>
    </row>
    <row r="2442" spans="2:13">
      <c r="B2442" s="2"/>
      <c r="C2442" s="1">
        <v>49.90770697</v>
      </c>
      <c r="D2442" s="1">
        <v>0.75852030000000004</v>
      </c>
      <c r="E2442" s="1"/>
      <c r="H2442" s="2">
        <v>30.537339899999999</v>
      </c>
      <c r="I2442" s="2">
        <v>12.406241899999999</v>
      </c>
      <c r="J2442" s="2">
        <v>11.8190095</v>
      </c>
      <c r="L2442" s="2"/>
      <c r="M2442" s="2"/>
    </row>
    <row r="2443" spans="2:13">
      <c r="B2443" s="2"/>
      <c r="C2443" s="1">
        <v>80.591346799999997</v>
      </c>
      <c r="D2443" s="1">
        <v>0.40234555100000002</v>
      </c>
      <c r="E2443" s="1"/>
      <c r="H2443" s="2">
        <v>12.449289500000001</v>
      </c>
      <c r="I2443" s="2">
        <v>10.9293084</v>
      </c>
      <c r="J2443" s="2">
        <v>14.356620400000001</v>
      </c>
      <c r="L2443" s="2"/>
      <c r="M2443" s="2"/>
    </row>
    <row r="2444" spans="2:13">
      <c r="B2444" s="2"/>
      <c r="C2444" s="1">
        <v>11.23013972</v>
      </c>
      <c r="D2444" s="1">
        <v>239.29666520000001</v>
      </c>
      <c r="E2444" s="1"/>
      <c r="H2444" s="2">
        <v>16.809217499999999</v>
      </c>
      <c r="I2444" s="2">
        <v>14.986988999999999</v>
      </c>
      <c r="J2444" s="2">
        <v>13.209481200000001</v>
      </c>
      <c r="L2444" s="2"/>
      <c r="M2444" s="2"/>
    </row>
    <row r="2445" spans="2:13">
      <c r="B2445" s="2"/>
      <c r="C2445" s="1">
        <v>13.4339037</v>
      </c>
      <c r="D2445" s="1">
        <v>3.8651556170000001</v>
      </c>
      <c r="E2445" s="1"/>
      <c r="H2445" s="2">
        <v>17.106620499999998</v>
      </c>
      <c r="I2445" s="2">
        <v>16.5105626</v>
      </c>
      <c r="J2445" s="2">
        <v>26.7318186</v>
      </c>
      <c r="L2445" s="2"/>
      <c r="M2445" s="2"/>
    </row>
    <row r="2446" spans="2:13">
      <c r="B2446" s="2"/>
      <c r="C2446" s="1">
        <v>10.330520999999999</v>
      </c>
      <c r="D2446" s="1">
        <v>0.84426607300000001</v>
      </c>
      <c r="E2446" s="1"/>
      <c r="H2446" s="2">
        <v>19.658338199999999</v>
      </c>
      <c r="I2446" s="2">
        <v>13.5722421</v>
      </c>
      <c r="J2446" s="2">
        <v>31.459422400000001</v>
      </c>
      <c r="L2446" s="2"/>
      <c r="M2446" s="2"/>
    </row>
    <row r="2447" spans="2:13">
      <c r="B2447" s="2"/>
      <c r="C2447" s="1">
        <v>17.207472159999998</v>
      </c>
      <c r="D2447" s="1">
        <v>0.36277057800000001</v>
      </c>
      <c r="E2447" s="1"/>
      <c r="H2447" s="2">
        <v>18.659064099999998</v>
      </c>
      <c r="I2447" s="2">
        <v>38.788939399999997</v>
      </c>
      <c r="J2447" s="2">
        <v>15.5037596</v>
      </c>
      <c r="L2447" s="2"/>
      <c r="M2447" s="2"/>
    </row>
    <row r="2448" spans="2:13">
      <c r="B2448" s="2"/>
      <c r="C2448" s="1">
        <v>4.4679050519999999</v>
      </c>
      <c r="D2448" s="1">
        <v>0.42213303699999999</v>
      </c>
      <c r="E2448" s="1"/>
      <c r="H2448" s="2">
        <v>32.6429531</v>
      </c>
      <c r="I2448" s="2">
        <v>42.784433300000003</v>
      </c>
      <c r="J2448" s="2">
        <v>12.722816099999999</v>
      </c>
      <c r="L2448" s="2"/>
      <c r="M2448" s="2"/>
    </row>
    <row r="2449" spans="2:13">
      <c r="B2449" s="2"/>
      <c r="C2449" s="1">
        <v>26.445167739999999</v>
      </c>
      <c r="D2449" s="1">
        <v>1.8864070079999999</v>
      </c>
      <c r="E2449" s="1"/>
      <c r="H2449" s="2">
        <v>30.882327400000001</v>
      </c>
      <c r="I2449" s="2">
        <v>26.522617400000001</v>
      </c>
      <c r="J2449" s="2">
        <v>17.380896400000001</v>
      </c>
      <c r="L2449" s="2"/>
      <c r="M2449" s="2"/>
    </row>
    <row r="2450" spans="2:13">
      <c r="B2450" s="2"/>
      <c r="C2450" s="1">
        <v>48.307713939999999</v>
      </c>
      <c r="D2450" s="1">
        <v>4.7555924909999998</v>
      </c>
      <c r="E2450" s="1"/>
      <c r="H2450" s="2">
        <v>23.5602655</v>
      </c>
      <c r="I2450" s="2">
        <v>8.7527746900000007</v>
      </c>
      <c r="J2450" s="2">
        <v>27.044674700000002</v>
      </c>
      <c r="L2450" s="2"/>
      <c r="M2450" s="2"/>
    </row>
    <row r="2451" spans="2:13">
      <c r="B2451" s="2"/>
      <c r="C2451" s="1">
        <v>12.63088834</v>
      </c>
      <c r="D2451" s="1">
        <v>2.9417395989999999</v>
      </c>
      <c r="E2451" s="1"/>
      <c r="H2451" s="2">
        <v>15.5244365</v>
      </c>
      <c r="I2451" s="2">
        <v>10.120881600000001</v>
      </c>
      <c r="J2451" s="2">
        <v>56.870292900000003</v>
      </c>
      <c r="L2451" s="2"/>
      <c r="M2451" s="2"/>
    </row>
    <row r="2452" spans="2:13">
      <c r="B2452" s="2"/>
      <c r="C2452" s="1">
        <v>15.408234719999999</v>
      </c>
      <c r="D2452" s="1">
        <v>0.60681624000000001</v>
      </c>
      <c r="E2452" s="1"/>
      <c r="H2452" s="2">
        <v>16.452333899999999</v>
      </c>
      <c r="I2452" s="2">
        <v>44.541206899999999</v>
      </c>
      <c r="J2452" s="2">
        <v>73.382144499999995</v>
      </c>
      <c r="L2452" s="2"/>
      <c r="M2452" s="2"/>
    </row>
    <row r="2453" spans="2:13">
      <c r="B2453" s="2"/>
      <c r="C2453" s="1">
        <v>8.1629832830000009</v>
      </c>
      <c r="D2453" s="1">
        <v>10.467580140000001</v>
      </c>
      <c r="E2453" s="1"/>
      <c r="H2453" s="2">
        <v>32.791654600000001</v>
      </c>
      <c r="I2453" s="2">
        <v>42.660060000000001</v>
      </c>
      <c r="J2453" s="2">
        <v>15.086618</v>
      </c>
      <c r="L2453" s="2"/>
      <c r="M2453" s="2"/>
    </row>
    <row r="2454" spans="2:13">
      <c r="B2454" s="2"/>
      <c r="C2454" s="1">
        <v>11.701081070000001</v>
      </c>
      <c r="D2454" s="1">
        <v>0.244045662</v>
      </c>
      <c r="E2454" s="1"/>
      <c r="H2454" s="2">
        <v>79.115145699999999</v>
      </c>
      <c r="I2454" s="2">
        <v>88.709293799999998</v>
      </c>
      <c r="J2454" s="2">
        <v>226.194985</v>
      </c>
      <c r="L2454" s="2"/>
      <c r="M2454" s="2"/>
    </row>
    <row r="2455" spans="2:13">
      <c r="B2455" s="2"/>
      <c r="C2455" s="1">
        <v>83.495485079999995</v>
      </c>
      <c r="D2455" s="1">
        <v>4.4785676859999999</v>
      </c>
      <c r="E2455" s="1"/>
      <c r="H2455" s="2">
        <v>77.747091900000001</v>
      </c>
      <c r="I2455" s="2">
        <v>12.375148599999999</v>
      </c>
      <c r="J2455" s="2">
        <v>3.9280825799999999</v>
      </c>
      <c r="L2455" s="2"/>
      <c r="M2455" s="2"/>
    </row>
    <row r="2456" spans="2:13">
      <c r="B2456" s="2"/>
      <c r="C2456" s="1">
        <v>57.303901140000001</v>
      </c>
      <c r="D2456" s="1">
        <v>1.035545106</v>
      </c>
      <c r="E2456" s="1"/>
      <c r="H2456" s="2">
        <v>19.616701800000001</v>
      </c>
      <c r="I2456" s="2">
        <v>185.658322</v>
      </c>
      <c r="J2456" s="2">
        <v>64.205031199999993</v>
      </c>
      <c r="L2456" s="2"/>
      <c r="M2456" s="2"/>
    </row>
    <row r="2457" spans="2:13">
      <c r="B2457" s="2"/>
      <c r="C2457" s="1">
        <v>7.7765698739999998</v>
      </c>
      <c r="D2457" s="1">
        <v>4.7687841479999999</v>
      </c>
      <c r="E2457" s="1"/>
      <c r="H2457" s="2">
        <v>225.38388800000001</v>
      </c>
      <c r="I2457" s="2">
        <v>5.2392274800000003</v>
      </c>
      <c r="J2457" s="2">
        <v>8.4471156300000008</v>
      </c>
      <c r="L2457" s="2"/>
      <c r="M2457" s="2"/>
    </row>
    <row r="2458" spans="2:13">
      <c r="B2458" s="2"/>
      <c r="C2458" s="1">
        <v>172.46113500000001</v>
      </c>
      <c r="D2458" s="1">
        <v>0.73873281400000002</v>
      </c>
      <c r="E2458" s="1"/>
      <c r="H2458" s="2">
        <v>4.4253566199999996</v>
      </c>
      <c r="I2458" s="2">
        <v>49.873714399999997</v>
      </c>
      <c r="J2458" s="2">
        <v>76.510705799999997</v>
      </c>
      <c r="L2458" s="2"/>
      <c r="M2458" s="2"/>
    </row>
    <row r="2459" spans="2:13">
      <c r="B2459" s="2"/>
      <c r="C2459" s="1">
        <v>7.5471369109999999</v>
      </c>
      <c r="D2459" s="1">
        <v>1.4510823129999999</v>
      </c>
      <c r="E2459" s="1"/>
      <c r="H2459" s="2">
        <v>71.602745900000002</v>
      </c>
      <c r="I2459" s="2">
        <v>10.944855</v>
      </c>
      <c r="J2459" s="2">
        <v>13.904717099999999</v>
      </c>
      <c r="L2459" s="2"/>
      <c r="M2459" s="2"/>
    </row>
    <row r="2460" spans="2:13">
      <c r="B2460" s="2"/>
      <c r="C2460" s="1">
        <v>98.203345490000004</v>
      </c>
      <c r="D2460" s="1">
        <v>0.69256201299999998</v>
      </c>
      <c r="E2460" s="1"/>
      <c r="H2460" s="2">
        <v>13.5318364</v>
      </c>
      <c r="I2460" s="2">
        <v>68.809557299999994</v>
      </c>
      <c r="J2460" s="2">
        <v>12.722816099999999</v>
      </c>
      <c r="L2460" s="2"/>
      <c r="M2460" s="2"/>
    </row>
    <row r="2461" spans="2:13">
      <c r="B2461" s="2"/>
      <c r="C2461" s="1">
        <v>10.11920117</v>
      </c>
      <c r="D2461" s="1">
        <v>4.346651112</v>
      </c>
      <c r="E2461" s="1"/>
      <c r="H2461" s="2">
        <v>110.122382</v>
      </c>
      <c r="I2461" s="2">
        <v>18.842562900000001</v>
      </c>
      <c r="J2461" s="2">
        <v>10.602346799999999</v>
      </c>
      <c r="L2461" s="2"/>
      <c r="M2461" s="2"/>
    </row>
    <row r="2462" spans="2:13">
      <c r="B2462" s="2"/>
      <c r="C2462" s="1">
        <v>189.61426779999999</v>
      </c>
      <c r="D2462" s="1">
        <v>0.64639121200000005</v>
      </c>
      <c r="E2462" s="1"/>
      <c r="H2462" s="2">
        <v>17.8144396</v>
      </c>
      <c r="I2462" s="2">
        <v>13.401228700000001</v>
      </c>
      <c r="J2462" s="2">
        <v>68.063590199999993</v>
      </c>
      <c r="L2462" s="2"/>
      <c r="M2462" s="2"/>
    </row>
    <row r="2463" spans="2:13">
      <c r="B2463" s="2"/>
      <c r="C2463" s="1">
        <v>23.390086719999999</v>
      </c>
      <c r="D2463" s="1">
        <v>5.2700671290000001</v>
      </c>
      <c r="E2463" s="1"/>
      <c r="H2463" s="2">
        <v>19.146805000000001</v>
      </c>
      <c r="I2463" s="2">
        <v>15.391202399999999</v>
      </c>
      <c r="J2463" s="2">
        <v>11.2628208</v>
      </c>
      <c r="L2463" s="2"/>
      <c r="M2463" s="2"/>
    </row>
    <row r="2464" spans="2:13">
      <c r="B2464" s="2"/>
      <c r="C2464" s="1">
        <v>25.171211029999998</v>
      </c>
      <c r="D2464" s="1">
        <v>0.244045662</v>
      </c>
      <c r="E2464" s="1"/>
      <c r="H2464" s="2">
        <v>17.3921274</v>
      </c>
      <c r="I2464" s="2">
        <v>83.081399599999997</v>
      </c>
      <c r="J2464" s="2">
        <v>79.569743599999995</v>
      </c>
      <c r="L2464" s="2"/>
      <c r="M2464" s="2"/>
    </row>
    <row r="2465" spans="2:13">
      <c r="B2465" s="2"/>
      <c r="C2465" s="1">
        <v>22.122167709999999</v>
      </c>
      <c r="D2465" s="1">
        <v>2.625139822</v>
      </c>
      <c r="E2465" s="1"/>
      <c r="H2465" s="2">
        <v>97.0188062</v>
      </c>
      <c r="I2465" s="2">
        <v>6.1720276199999997</v>
      </c>
      <c r="J2465" s="2">
        <v>3.0242759700000001</v>
      </c>
      <c r="L2465" s="2"/>
      <c r="M2465" s="2"/>
    </row>
    <row r="2466" spans="2:13">
      <c r="B2466" s="2"/>
      <c r="C2466" s="1">
        <v>93.982986530000005</v>
      </c>
      <c r="D2466" s="1">
        <v>0.41553720799999999</v>
      </c>
      <c r="E2466" s="1"/>
      <c r="H2466" s="2">
        <v>13.954148699999999</v>
      </c>
      <c r="I2466" s="2">
        <v>42.722246599999998</v>
      </c>
      <c r="J2466" s="2">
        <v>54.124111300000003</v>
      </c>
      <c r="L2466" s="2"/>
      <c r="M2466" s="2"/>
    </row>
    <row r="2467" spans="2:13">
      <c r="B2467" s="2"/>
      <c r="C2467" s="1">
        <v>12.636926040000001</v>
      </c>
      <c r="D2467" s="1">
        <v>0.13191657400000001</v>
      </c>
      <c r="E2467" s="1"/>
      <c r="H2467" s="2">
        <v>75.094257099999993</v>
      </c>
      <c r="I2467" s="2">
        <v>3.7622939199999998</v>
      </c>
      <c r="J2467" s="2">
        <v>6.8828349600000003</v>
      </c>
      <c r="L2467" s="2"/>
      <c r="M2467" s="2"/>
    </row>
    <row r="2468" spans="2:13">
      <c r="B2468" s="2"/>
      <c r="C2468" s="1">
        <v>85.071327269999998</v>
      </c>
      <c r="D2468" s="1">
        <v>1.371932369</v>
      </c>
      <c r="E2468" s="1"/>
      <c r="H2468" s="2">
        <v>5.29972143</v>
      </c>
      <c r="I2468" s="2">
        <v>64.953983399999998</v>
      </c>
      <c r="J2468" s="2">
        <v>1.7380896400000001</v>
      </c>
      <c r="L2468" s="2"/>
      <c r="M2468" s="2"/>
    </row>
    <row r="2469" spans="2:13">
      <c r="B2469" s="2"/>
      <c r="C2469" s="1">
        <v>9.1893939029999991</v>
      </c>
      <c r="D2469" s="1">
        <v>6.9058326460000004</v>
      </c>
      <c r="E2469" s="1"/>
      <c r="H2469" s="2">
        <v>61.473199800000003</v>
      </c>
      <c r="I2469" s="2">
        <v>13.5411488</v>
      </c>
      <c r="J2469" s="2">
        <v>32.1894201</v>
      </c>
      <c r="L2469" s="2"/>
      <c r="M2469" s="2"/>
    </row>
    <row r="2470" spans="2:13">
      <c r="B2470" s="2"/>
      <c r="C2470" s="1">
        <v>63.41406319</v>
      </c>
      <c r="D2470" s="1">
        <v>0.20447069000000001</v>
      </c>
      <c r="E2470" s="1"/>
      <c r="H2470" s="2">
        <v>10.379364600000001</v>
      </c>
      <c r="I2470" s="2">
        <v>2.78285377</v>
      </c>
      <c r="J2470" s="2">
        <v>50.300314100000001</v>
      </c>
      <c r="L2470" s="2"/>
      <c r="M2470" s="2"/>
    </row>
    <row r="2471" spans="2:13">
      <c r="B2471" s="2"/>
      <c r="C2471" s="1">
        <v>10.74712296</v>
      </c>
      <c r="D2471" s="1">
        <v>1.4312948270000001</v>
      </c>
      <c r="E2471" s="1"/>
      <c r="H2471" s="2">
        <v>2.9264455100000002</v>
      </c>
      <c r="I2471" s="2">
        <v>23.553203700000001</v>
      </c>
      <c r="J2471" s="2">
        <v>3.3718938899999999</v>
      </c>
      <c r="L2471" s="2"/>
      <c r="M2471" s="2"/>
    </row>
    <row r="2472" spans="2:13">
      <c r="B2472" s="2"/>
      <c r="C2472" s="1">
        <v>4.679224885</v>
      </c>
      <c r="D2472" s="1">
        <v>0.42213303699999999</v>
      </c>
      <c r="E2472" s="1"/>
      <c r="H2472" s="2">
        <v>37.086153899999999</v>
      </c>
      <c r="I2472" s="2">
        <v>69.664624099999997</v>
      </c>
      <c r="J2472" s="2">
        <v>29.999427099999998</v>
      </c>
      <c r="L2472" s="2"/>
      <c r="M2472" s="2"/>
    </row>
    <row r="2473" spans="2:13">
      <c r="B2473" s="2"/>
      <c r="C2473" s="1">
        <v>19.833875800000001</v>
      </c>
      <c r="D2473" s="1">
        <v>2.0447068960000001</v>
      </c>
      <c r="E2473" s="1"/>
      <c r="H2473" s="2">
        <v>63.6026053</v>
      </c>
      <c r="I2473" s="2">
        <v>2.6429337400000001</v>
      </c>
      <c r="J2473" s="2">
        <v>9.6290165900000009</v>
      </c>
      <c r="L2473" s="2"/>
      <c r="M2473" s="2"/>
    </row>
    <row r="2474" spans="2:13">
      <c r="B2474" s="2"/>
      <c r="C2474" s="1">
        <v>151.27481230000001</v>
      </c>
      <c r="D2474" s="1">
        <v>0.224258176</v>
      </c>
      <c r="E2474" s="1"/>
      <c r="H2474" s="2">
        <v>3.669953</v>
      </c>
      <c r="I2474" s="2">
        <v>24.4549105</v>
      </c>
      <c r="J2474" s="2">
        <v>38.377019199999999</v>
      </c>
      <c r="L2474" s="2"/>
      <c r="M2474" s="2"/>
    </row>
    <row r="2475" spans="2:13">
      <c r="B2475" s="2"/>
      <c r="C2475" s="1">
        <v>2.0588589490000002</v>
      </c>
      <c r="D2475" s="1">
        <v>16.238930249999999</v>
      </c>
      <c r="E2475" s="1"/>
      <c r="H2475" s="2">
        <v>31.631782900000001</v>
      </c>
      <c r="I2475" s="2">
        <v>5.7522675599999999</v>
      </c>
      <c r="J2475" s="2">
        <v>2.53761087</v>
      </c>
      <c r="L2475" s="2"/>
      <c r="M2475" s="2"/>
    </row>
    <row r="2476" spans="2:13">
      <c r="B2476" s="2"/>
      <c r="C2476" s="1">
        <v>45.76583823</v>
      </c>
      <c r="D2476" s="1">
        <v>2.5723731920000001</v>
      </c>
      <c r="E2476" s="1"/>
      <c r="H2476" s="2">
        <v>9.8024028300000001</v>
      </c>
      <c r="I2476" s="2">
        <v>43.655046800000001</v>
      </c>
      <c r="J2476" s="2">
        <v>33.753700700000003</v>
      </c>
      <c r="L2476" s="2"/>
      <c r="M2476" s="2"/>
    </row>
    <row r="2477" spans="2:13">
      <c r="B2477" s="2"/>
      <c r="C2477" s="1">
        <v>14.677671869999999</v>
      </c>
      <c r="D2477" s="1">
        <v>1.141078365</v>
      </c>
      <c r="E2477" s="1"/>
      <c r="H2477" s="2">
        <v>51.468562900000002</v>
      </c>
      <c r="I2477" s="2">
        <v>3.3114405100000002</v>
      </c>
      <c r="J2477" s="2">
        <v>35.596075800000001</v>
      </c>
      <c r="L2477" s="2"/>
      <c r="M2477" s="2"/>
    </row>
    <row r="2478" spans="2:13">
      <c r="B2478" s="2"/>
      <c r="C2478" s="1">
        <v>46.62923069</v>
      </c>
      <c r="D2478" s="1">
        <v>0.74532864300000001</v>
      </c>
      <c r="E2478" s="1"/>
      <c r="H2478" s="2">
        <v>4.3956163200000002</v>
      </c>
      <c r="I2478" s="2">
        <v>22.4649368</v>
      </c>
      <c r="J2478" s="2">
        <v>11.506153400000001</v>
      </c>
      <c r="L2478" s="2"/>
      <c r="M2478" s="2"/>
    </row>
    <row r="2479" spans="2:13">
      <c r="B2479" s="2"/>
      <c r="C2479" s="1">
        <v>8.8150559130000001</v>
      </c>
      <c r="D2479" s="1">
        <v>0.74532864300000001</v>
      </c>
      <c r="E2479" s="1"/>
      <c r="H2479" s="2">
        <v>43.456526099999998</v>
      </c>
      <c r="I2479" s="2">
        <v>43.810513499999999</v>
      </c>
      <c r="J2479" s="2">
        <v>7.2304528899999996</v>
      </c>
      <c r="L2479" s="2"/>
      <c r="M2479" s="2"/>
    </row>
    <row r="2480" spans="2:13">
      <c r="B2480" s="2"/>
      <c r="C2480" s="1">
        <v>24.386308790000001</v>
      </c>
      <c r="D2480" s="1">
        <v>0.310003949</v>
      </c>
      <c r="E2480" s="1"/>
      <c r="H2480" s="2">
        <v>53.913215600000001</v>
      </c>
      <c r="I2480" s="2">
        <v>22.6048568</v>
      </c>
      <c r="J2480" s="2">
        <v>9.8723491400000007</v>
      </c>
      <c r="L2480" s="2"/>
      <c r="M2480" s="2"/>
    </row>
    <row r="2481" spans="2:13">
      <c r="B2481" s="2"/>
      <c r="C2481" s="1">
        <v>61.500109260000002</v>
      </c>
      <c r="D2481" s="1">
        <v>10.856734039999999</v>
      </c>
      <c r="E2481" s="1"/>
      <c r="H2481" s="2">
        <v>15.833735600000001</v>
      </c>
      <c r="I2481" s="2">
        <v>12.4528819</v>
      </c>
      <c r="J2481" s="2">
        <v>5.1447453200000002</v>
      </c>
      <c r="L2481" s="2"/>
      <c r="M2481" s="2"/>
    </row>
    <row r="2482" spans="2:13">
      <c r="B2482" s="2"/>
      <c r="C2482" s="1">
        <v>9.1954316130000002</v>
      </c>
      <c r="D2482" s="1">
        <v>1.9523652949999999</v>
      </c>
      <c r="E2482" s="1"/>
      <c r="H2482" s="2">
        <v>11.533288300000001</v>
      </c>
      <c r="I2482" s="2">
        <v>8.1309079299999993</v>
      </c>
      <c r="J2482" s="2">
        <v>102.51252700000001</v>
      </c>
      <c r="L2482" s="2"/>
      <c r="M2482" s="2"/>
    </row>
    <row r="2483" spans="2:13">
      <c r="B2483" s="2"/>
      <c r="C2483" s="1">
        <v>12.812019619999999</v>
      </c>
      <c r="D2483" s="1">
        <v>1.7347029469999999</v>
      </c>
      <c r="E2483" s="1"/>
      <c r="H2483" s="2">
        <v>14.090954099999999</v>
      </c>
      <c r="I2483" s="2">
        <v>8.9237880500000006</v>
      </c>
      <c r="J2483" s="2">
        <v>20.752790300000001</v>
      </c>
      <c r="L2483" s="2"/>
      <c r="M2483" s="2"/>
    </row>
    <row r="2484" spans="2:13">
      <c r="B2484" s="2"/>
      <c r="C2484" s="1">
        <v>17.038416290000001</v>
      </c>
      <c r="D2484" s="1">
        <v>2.4404566179999998</v>
      </c>
      <c r="E2484" s="1"/>
      <c r="H2484" s="2">
        <v>6.7213077700000001</v>
      </c>
      <c r="I2484" s="2">
        <v>78.106465499999999</v>
      </c>
      <c r="J2484" s="2">
        <v>40.497488500000003</v>
      </c>
      <c r="L2484" s="2"/>
      <c r="M2484" s="2"/>
    </row>
    <row r="2485" spans="2:13">
      <c r="B2485" s="2"/>
      <c r="C2485" s="1">
        <v>4.5705461139999999</v>
      </c>
      <c r="D2485" s="1">
        <v>9.2341601999999995E-2</v>
      </c>
      <c r="E2485" s="1"/>
      <c r="H2485" s="2">
        <v>117.224366</v>
      </c>
      <c r="I2485" s="2">
        <v>41.027659700000001</v>
      </c>
      <c r="J2485" s="2">
        <v>50.752217399999999</v>
      </c>
      <c r="L2485" s="2"/>
      <c r="M2485" s="2"/>
    </row>
    <row r="2486" spans="2:13">
      <c r="B2486" s="2"/>
      <c r="C2486" s="1">
        <v>156.2136586</v>
      </c>
      <c r="D2486" s="1">
        <v>3.7860056719999999</v>
      </c>
      <c r="E2486" s="1"/>
      <c r="H2486" s="2">
        <v>24.274032699999999</v>
      </c>
      <c r="I2486" s="2">
        <v>49.422860999999997</v>
      </c>
      <c r="J2486" s="2">
        <v>1.35570992</v>
      </c>
      <c r="L2486" s="2"/>
      <c r="M2486" s="2"/>
    </row>
    <row r="2487" spans="2:13">
      <c r="B2487" s="2"/>
      <c r="C2487" s="1">
        <v>24.31989398</v>
      </c>
      <c r="D2487" s="1">
        <v>10.60609255</v>
      </c>
      <c r="E2487" s="1"/>
      <c r="H2487" s="2">
        <v>41.035665700000003</v>
      </c>
      <c r="I2487" s="2">
        <v>110.47463</v>
      </c>
      <c r="J2487" s="2">
        <v>44.356047500000003</v>
      </c>
      <c r="L2487" s="2"/>
      <c r="M2487" s="2"/>
    </row>
    <row r="2488" spans="2:13">
      <c r="B2488" s="2"/>
      <c r="C2488" s="1">
        <v>45.596782359999999</v>
      </c>
      <c r="D2488" s="1">
        <v>3.7266432140000001</v>
      </c>
      <c r="E2488" s="1"/>
      <c r="H2488" s="2">
        <v>57.2203369</v>
      </c>
      <c r="I2488" s="2">
        <v>2.7206670900000001</v>
      </c>
      <c r="J2488" s="2">
        <v>33.162750299999999</v>
      </c>
      <c r="L2488" s="2"/>
      <c r="M2488" s="2"/>
    </row>
    <row r="2489" spans="2:13">
      <c r="B2489" s="2"/>
      <c r="C2489" s="1">
        <v>41.829251620000001</v>
      </c>
      <c r="D2489" s="1">
        <v>0.78490361500000005</v>
      </c>
      <c r="E2489" s="1"/>
      <c r="H2489" s="2">
        <v>2.0342365099999999</v>
      </c>
      <c r="I2489" s="2">
        <v>29.585311300000001</v>
      </c>
      <c r="J2489" s="2">
        <v>44.738427199999997</v>
      </c>
      <c r="L2489" s="2"/>
      <c r="M2489" s="2"/>
    </row>
    <row r="2490" spans="2:13">
      <c r="B2490" s="2"/>
      <c r="C2490" s="1">
        <v>2.578101969</v>
      </c>
      <c r="D2490" s="1">
        <v>4.0630304779999999</v>
      </c>
      <c r="E2490" s="1"/>
      <c r="H2490" s="2">
        <v>46.275906599999999</v>
      </c>
      <c r="I2490" s="2">
        <v>51.428381299999998</v>
      </c>
      <c r="J2490" s="2">
        <v>10.6718704</v>
      </c>
      <c r="L2490" s="2"/>
      <c r="M2490" s="2"/>
    </row>
    <row r="2491" spans="2:13">
      <c r="B2491" s="2"/>
      <c r="C2491" s="1">
        <v>104.0780369</v>
      </c>
      <c r="D2491" s="1">
        <v>0.310003949</v>
      </c>
      <c r="E2491" s="1"/>
      <c r="H2491" s="2">
        <v>43.230499899999998</v>
      </c>
      <c r="I2491" s="2">
        <v>31.4820049</v>
      </c>
      <c r="J2491" s="2">
        <v>40.636535700000003</v>
      </c>
      <c r="L2491" s="2"/>
      <c r="M2491" s="2"/>
    </row>
    <row r="2492" spans="2:13">
      <c r="B2492" s="2"/>
      <c r="C2492" s="1">
        <v>74.457033910000007</v>
      </c>
      <c r="D2492" s="1">
        <v>0.55404961100000005</v>
      </c>
      <c r="E2492" s="1"/>
      <c r="H2492" s="2">
        <v>54.573450200000003</v>
      </c>
      <c r="I2492" s="2">
        <v>23.879683700000001</v>
      </c>
      <c r="J2492" s="2">
        <v>9.8723491400000007</v>
      </c>
      <c r="L2492" s="2"/>
      <c r="M2492" s="2"/>
    </row>
    <row r="2493" spans="2:13">
      <c r="B2493" s="2"/>
      <c r="C2493" s="1">
        <v>25.116871639999999</v>
      </c>
      <c r="D2493" s="1">
        <v>0.57383709699999996</v>
      </c>
      <c r="E2493" s="1"/>
      <c r="H2493" s="2">
        <v>16.357164900000001</v>
      </c>
      <c r="I2493" s="2">
        <v>25.9940307</v>
      </c>
      <c r="J2493" s="2">
        <v>12.6185308</v>
      </c>
      <c r="L2493" s="2"/>
      <c r="M2493" s="2"/>
    </row>
    <row r="2494" spans="2:13">
      <c r="B2494" s="2"/>
      <c r="C2494" s="1">
        <v>13.39163974</v>
      </c>
      <c r="D2494" s="1">
        <v>1.174057508</v>
      </c>
      <c r="E2494" s="1"/>
      <c r="H2494" s="2">
        <v>59.522236100000001</v>
      </c>
      <c r="I2494" s="2">
        <v>6.9182677400000001</v>
      </c>
      <c r="J2494" s="2">
        <v>11.4366298</v>
      </c>
      <c r="L2494" s="2"/>
      <c r="M2494" s="2"/>
    </row>
    <row r="2495" spans="2:13">
      <c r="B2495" s="2"/>
      <c r="C2495" s="1">
        <v>86.792074479999997</v>
      </c>
      <c r="D2495" s="1">
        <v>105.3419801</v>
      </c>
      <c r="E2495" s="1"/>
      <c r="H2495" s="2">
        <v>10.4269491</v>
      </c>
      <c r="I2495" s="2">
        <v>13.7277088</v>
      </c>
      <c r="J2495" s="2">
        <v>23.8465898</v>
      </c>
      <c r="L2495" s="2"/>
      <c r="M2495" s="2"/>
    </row>
    <row r="2496" spans="2:13">
      <c r="B2496" s="2"/>
      <c r="C2496" s="1">
        <v>10.197691389999999</v>
      </c>
      <c r="D2496" s="1">
        <v>0.59362458299999998</v>
      </c>
      <c r="E2496" s="1"/>
      <c r="H2496" s="2">
        <v>13.115472199999999</v>
      </c>
      <c r="I2496" s="2">
        <v>13.9298155</v>
      </c>
      <c r="J2496" s="2">
        <v>6.3614080700000004</v>
      </c>
      <c r="L2496" s="2"/>
      <c r="M2496" s="2"/>
    </row>
    <row r="2497" spans="2:13">
      <c r="B2497" s="2"/>
      <c r="C2497" s="1">
        <v>20.76972078</v>
      </c>
      <c r="D2497" s="1">
        <v>3.7596223580000001</v>
      </c>
      <c r="E2497" s="1"/>
      <c r="H2497" s="2">
        <v>11.979392799999999</v>
      </c>
      <c r="I2497" s="2">
        <v>15.764322399999999</v>
      </c>
      <c r="J2497" s="2">
        <v>10.0461581</v>
      </c>
      <c r="L2497" s="2"/>
      <c r="M2497" s="2"/>
    </row>
    <row r="2498" spans="2:13">
      <c r="B2498" s="2"/>
      <c r="C2498" s="1">
        <v>6.1886522670000002</v>
      </c>
      <c r="D2498" s="1">
        <v>0.53426212500000003</v>
      </c>
      <c r="E2498" s="1"/>
      <c r="H2498" s="2">
        <v>27.236166600000001</v>
      </c>
      <c r="I2498" s="2">
        <v>10.043148199999999</v>
      </c>
      <c r="J2498" s="2">
        <v>52.559830599999998</v>
      </c>
      <c r="L2498" s="2"/>
      <c r="M2498" s="2"/>
    </row>
    <row r="2499" spans="2:13">
      <c r="B2499" s="2"/>
      <c r="C2499" s="1">
        <v>12.534284980000001</v>
      </c>
      <c r="D2499" s="1">
        <v>0.92341601799999995</v>
      </c>
      <c r="E2499" s="1"/>
      <c r="H2499" s="2">
        <v>10.361520499999999</v>
      </c>
      <c r="I2499" s="2">
        <v>13.354588700000001</v>
      </c>
      <c r="J2499" s="2">
        <v>8.7599717699999999</v>
      </c>
      <c r="L2499" s="2"/>
      <c r="M2499" s="2"/>
    </row>
    <row r="2500" spans="2:13">
      <c r="B2500" s="2"/>
      <c r="C2500" s="1">
        <v>7.4263827210000004</v>
      </c>
      <c r="D2500" s="1">
        <v>3.0934436590000001</v>
      </c>
      <c r="E2500" s="1"/>
      <c r="H2500" s="2">
        <v>18.6709602</v>
      </c>
      <c r="I2500" s="2">
        <v>42.224753200000002</v>
      </c>
      <c r="J2500" s="2">
        <v>19.466603899999999</v>
      </c>
      <c r="L2500" s="2"/>
      <c r="M2500" s="2"/>
    </row>
    <row r="2501" spans="2:13">
      <c r="B2501" s="2"/>
      <c r="C2501" s="1">
        <v>24.241403760000001</v>
      </c>
      <c r="D2501" s="1">
        <v>0.145108231</v>
      </c>
      <c r="E2501" s="1"/>
      <c r="H2501" s="2">
        <v>46.936141200000002</v>
      </c>
      <c r="I2501" s="2">
        <v>4.9749341100000004</v>
      </c>
      <c r="J2501" s="2">
        <v>16.198995400000001</v>
      </c>
      <c r="L2501" s="2"/>
      <c r="M2501" s="2"/>
    </row>
    <row r="2502" spans="2:13">
      <c r="B2502" s="2"/>
      <c r="C2502" s="1">
        <v>82.167188980000006</v>
      </c>
      <c r="D2502" s="1">
        <v>2.8559938260000002</v>
      </c>
      <c r="E2502" s="1"/>
      <c r="H2502" s="2">
        <v>10.337728200000001</v>
      </c>
      <c r="I2502" s="2">
        <v>22.060723400000001</v>
      </c>
      <c r="J2502" s="2">
        <v>4.0323679600000002</v>
      </c>
      <c r="L2502" s="2"/>
      <c r="M2502" s="2"/>
    </row>
    <row r="2503" spans="2:13">
      <c r="B2503" s="2"/>
      <c r="C2503" s="1">
        <v>7.6618533930000003</v>
      </c>
      <c r="D2503" s="1">
        <v>0.39574972200000003</v>
      </c>
      <c r="E2503" s="1"/>
      <c r="H2503" s="2">
        <v>20.068754299999998</v>
      </c>
      <c r="I2503" s="2">
        <v>19.759816399999998</v>
      </c>
      <c r="J2503" s="2">
        <v>34.414174799999998</v>
      </c>
      <c r="L2503" s="2"/>
      <c r="M2503" s="2"/>
    </row>
    <row r="2504" spans="2:13">
      <c r="B2504" s="2"/>
      <c r="C2504" s="1">
        <v>13.89276963</v>
      </c>
      <c r="D2504" s="1">
        <v>0.33638726400000002</v>
      </c>
      <c r="E2504" s="1"/>
      <c r="H2504" s="2">
        <v>20.009273700000001</v>
      </c>
      <c r="I2504" s="2">
        <v>6.4207743300000004</v>
      </c>
      <c r="J2504" s="2">
        <v>6.5352170300000001</v>
      </c>
      <c r="L2504" s="2"/>
      <c r="M2504" s="2"/>
    </row>
    <row r="2505" spans="2:13">
      <c r="B2505" s="2"/>
      <c r="C2505" s="1">
        <v>47.746206960000002</v>
      </c>
      <c r="D2505" s="1">
        <v>1.906194494</v>
      </c>
      <c r="E2505" s="1"/>
      <c r="H2505" s="2">
        <v>5.6982414500000003</v>
      </c>
      <c r="I2505" s="2">
        <v>35.461952199999999</v>
      </c>
      <c r="J2505" s="2">
        <v>4.5537948500000001</v>
      </c>
      <c r="L2505" s="2"/>
      <c r="M2505" s="2"/>
    </row>
    <row r="2506" spans="2:13">
      <c r="B2506" s="2"/>
      <c r="C2506" s="1">
        <v>3.3328156600000001</v>
      </c>
      <c r="D2506" s="1">
        <v>0.37596223600000001</v>
      </c>
      <c r="E2506" s="1"/>
      <c r="H2506" s="2">
        <v>41.660212000000001</v>
      </c>
      <c r="I2506" s="2">
        <v>6.3274943199999996</v>
      </c>
      <c r="J2506" s="2">
        <v>14.1132878</v>
      </c>
      <c r="L2506" s="2"/>
      <c r="M2506" s="2"/>
    </row>
    <row r="2507" spans="2:13">
      <c r="B2507" s="2"/>
      <c r="C2507" s="1">
        <v>66.294050630000001</v>
      </c>
      <c r="D2507" s="1">
        <v>1.6687446610000001</v>
      </c>
      <c r="E2507" s="1"/>
      <c r="H2507" s="2">
        <v>8.6663233799999997</v>
      </c>
      <c r="I2507" s="2">
        <v>6.2497609699999996</v>
      </c>
      <c r="J2507" s="2">
        <v>9.4552076199999995</v>
      </c>
      <c r="L2507" s="2"/>
      <c r="M2507" s="2"/>
    </row>
    <row r="2508" spans="2:13">
      <c r="B2508" s="2"/>
      <c r="C2508" s="1">
        <v>12.51013414</v>
      </c>
      <c r="D2508" s="1">
        <v>0.57383709699999996</v>
      </c>
      <c r="E2508" s="1"/>
      <c r="H2508" s="2">
        <v>7.0484510599999997</v>
      </c>
      <c r="I2508" s="2">
        <v>12.826002000000001</v>
      </c>
      <c r="J2508" s="2">
        <v>41.401295099999999</v>
      </c>
      <c r="L2508" s="2"/>
      <c r="M2508" s="2"/>
    </row>
    <row r="2509" spans="2:13">
      <c r="B2509" s="2"/>
      <c r="C2509" s="1">
        <v>9.6724106659999993</v>
      </c>
      <c r="D2509" s="1">
        <v>0.31659977700000003</v>
      </c>
      <c r="E2509" s="1"/>
      <c r="H2509" s="2">
        <v>20.318572899999999</v>
      </c>
      <c r="I2509" s="2">
        <v>19.5577097</v>
      </c>
      <c r="J2509" s="2">
        <v>8.0299741200000003</v>
      </c>
      <c r="L2509" s="2"/>
      <c r="M2509" s="2"/>
    </row>
    <row r="2510" spans="2:13">
      <c r="B2510" s="2"/>
      <c r="C2510" s="1">
        <v>15.07616069</v>
      </c>
      <c r="D2510" s="1">
        <v>1.154270022</v>
      </c>
      <c r="E2510" s="1"/>
      <c r="H2510" s="2">
        <v>12.0150811</v>
      </c>
      <c r="I2510" s="2">
        <v>57.009635500000002</v>
      </c>
      <c r="J2510" s="2">
        <v>3.7195118200000001</v>
      </c>
      <c r="L2510" s="2"/>
      <c r="M2510" s="2"/>
    </row>
    <row r="2511" spans="2:13">
      <c r="B2511" s="2"/>
      <c r="C2511" s="1">
        <v>15.69804478</v>
      </c>
      <c r="D2511" s="1">
        <v>8.5745772999999997E-2</v>
      </c>
      <c r="E2511" s="1"/>
      <c r="H2511" s="2">
        <v>42.260966099999997</v>
      </c>
      <c r="I2511" s="2">
        <v>9.2969081100000004</v>
      </c>
      <c r="J2511" s="2">
        <v>25.4456323</v>
      </c>
      <c r="L2511" s="2"/>
      <c r="M2511" s="2"/>
    </row>
    <row r="2512" spans="2:13">
      <c r="B2512" s="2"/>
      <c r="C2512" s="1">
        <v>45.029237670000001</v>
      </c>
      <c r="D2512" s="1">
        <v>0.19787486100000001</v>
      </c>
      <c r="E2512" s="1"/>
      <c r="H2512" s="2">
        <v>11.2656256</v>
      </c>
      <c r="I2512" s="2">
        <v>5.1614941300000003</v>
      </c>
      <c r="J2512" s="2">
        <v>1.14713916</v>
      </c>
      <c r="L2512" s="2"/>
      <c r="M2512" s="2"/>
    </row>
    <row r="2513" spans="2:13">
      <c r="B2513" s="2"/>
      <c r="C2513" s="1">
        <v>4.7335642709999997</v>
      </c>
      <c r="D2513" s="1">
        <v>4.1157971069999997</v>
      </c>
      <c r="E2513" s="1"/>
      <c r="H2513" s="2">
        <v>4.9309417199999999</v>
      </c>
      <c r="I2513" s="2">
        <v>32.321525000000001</v>
      </c>
      <c r="J2513" s="2">
        <v>2.1552311500000001</v>
      </c>
      <c r="L2513" s="2"/>
      <c r="M2513" s="2"/>
    </row>
    <row r="2514" spans="2:13">
      <c r="B2514" s="2"/>
      <c r="C2514" s="1">
        <v>8.1690209930000002</v>
      </c>
      <c r="D2514" s="1">
        <v>1.193844994</v>
      </c>
      <c r="E2514" s="1"/>
      <c r="H2514" s="2">
        <v>29.1395458</v>
      </c>
      <c r="I2514" s="2">
        <v>1.0571735</v>
      </c>
      <c r="J2514" s="2">
        <v>37.334165400000003</v>
      </c>
      <c r="L2514" s="2"/>
      <c r="M2514" s="2"/>
    </row>
    <row r="2515" spans="2:13">
      <c r="B2515" s="2"/>
      <c r="C2515" s="1">
        <v>11.26636598</v>
      </c>
      <c r="D2515" s="1">
        <v>0.77830778599999995</v>
      </c>
      <c r="E2515" s="1"/>
      <c r="H2515" s="2">
        <v>1.6297684299999999</v>
      </c>
      <c r="I2515" s="2">
        <v>1.2281868600000001</v>
      </c>
      <c r="J2515" s="2">
        <v>30.833710199999999</v>
      </c>
      <c r="L2515" s="2"/>
      <c r="M2515" s="2"/>
    </row>
    <row r="2516" spans="2:13">
      <c r="B2516" s="2"/>
      <c r="C2516" s="1">
        <v>3.2724385649999999</v>
      </c>
      <c r="D2516" s="1">
        <v>0.17149154599999999</v>
      </c>
      <c r="E2516" s="1"/>
      <c r="H2516" s="2">
        <v>3.1465237199999998</v>
      </c>
      <c r="I2516" s="2">
        <v>59.232809199999998</v>
      </c>
      <c r="J2516" s="2">
        <v>8.2037830799999991</v>
      </c>
      <c r="L2516" s="2"/>
      <c r="M2516" s="2"/>
    </row>
    <row r="2517" spans="2:13">
      <c r="B2517" s="2"/>
      <c r="C2517" s="1">
        <v>3.4052681740000001</v>
      </c>
      <c r="D2517" s="1">
        <v>91.780956329999995</v>
      </c>
      <c r="E2517" s="1"/>
      <c r="H2517" s="2">
        <v>50.772639900000001</v>
      </c>
      <c r="I2517" s="2">
        <v>39.3019794</v>
      </c>
      <c r="J2517" s="2">
        <v>5.5618868399999997</v>
      </c>
      <c r="L2517" s="2"/>
      <c r="M2517" s="2"/>
    </row>
    <row r="2518" spans="2:13">
      <c r="B2518" s="2"/>
      <c r="C2518" s="1">
        <v>53.306937429999998</v>
      </c>
      <c r="D2518" s="1">
        <v>2.137048498</v>
      </c>
      <c r="E2518" s="1"/>
      <c r="H2518" s="2">
        <v>39.346416699999999</v>
      </c>
      <c r="I2518" s="2">
        <v>14.986988999999999</v>
      </c>
      <c r="J2518" s="2">
        <v>10.984726500000001</v>
      </c>
      <c r="L2518" s="2"/>
      <c r="M2518" s="2"/>
    </row>
    <row r="2519" spans="2:13">
      <c r="B2519" s="2"/>
      <c r="C2519" s="1">
        <v>32.814951290000003</v>
      </c>
      <c r="D2519" s="1">
        <v>1.1344825359999999</v>
      </c>
      <c r="E2519" s="1"/>
      <c r="H2519" s="2">
        <v>14.096902099999999</v>
      </c>
      <c r="I2519" s="2">
        <v>8.6128546700000008</v>
      </c>
      <c r="J2519" s="2">
        <v>15.5037596</v>
      </c>
      <c r="L2519" s="2"/>
      <c r="M2519" s="2"/>
    </row>
    <row r="2520" spans="2:13">
      <c r="B2520" s="2"/>
      <c r="C2520" s="1">
        <v>20.993116029999999</v>
      </c>
      <c r="D2520" s="1">
        <v>521.55196260000002</v>
      </c>
      <c r="E2520" s="1"/>
      <c r="H2520" s="2">
        <v>9.6180129700000005</v>
      </c>
      <c r="I2520" s="2">
        <v>14.4894956</v>
      </c>
      <c r="J2520" s="2">
        <v>21.1004082</v>
      </c>
      <c r="L2520" s="2"/>
      <c r="M2520" s="2"/>
    </row>
    <row r="2521" spans="2:13">
      <c r="B2521" s="2"/>
      <c r="C2521" s="1">
        <v>7.2814776920000002</v>
      </c>
      <c r="D2521" s="1">
        <v>13.05314499</v>
      </c>
      <c r="E2521" s="1"/>
      <c r="H2521" s="2">
        <v>14.2991362</v>
      </c>
      <c r="I2521" s="2">
        <v>11.7999218</v>
      </c>
      <c r="J2521" s="2">
        <v>47.380323500000003</v>
      </c>
      <c r="L2521" s="2"/>
      <c r="M2521" s="2"/>
    </row>
    <row r="2522" spans="2:13">
      <c r="B2522" s="2"/>
      <c r="C2522" s="1">
        <v>7.7946830020000002</v>
      </c>
      <c r="D2522" s="1">
        <v>0.237449833</v>
      </c>
      <c r="E2522" s="1"/>
      <c r="H2522" s="2">
        <v>17.885816299999998</v>
      </c>
      <c r="I2522" s="2">
        <v>21.205656600000001</v>
      </c>
      <c r="J2522" s="2">
        <v>31.389898800000001</v>
      </c>
      <c r="L2522" s="2"/>
      <c r="M2522" s="2"/>
    </row>
    <row r="2523" spans="2:13">
      <c r="B2523" s="2"/>
      <c r="C2523" s="1">
        <v>17.56973473</v>
      </c>
      <c r="D2523" s="1">
        <v>1.6885321470000001</v>
      </c>
      <c r="E2523" s="1"/>
      <c r="H2523" s="2">
        <v>26.254736699999999</v>
      </c>
      <c r="I2523" s="2">
        <v>41.882726499999997</v>
      </c>
      <c r="J2523" s="2">
        <v>5.1795071200000002</v>
      </c>
      <c r="L2523" s="2"/>
      <c r="M2523" s="2"/>
    </row>
    <row r="2524" spans="2:13">
      <c r="B2524" s="2"/>
      <c r="C2524" s="1">
        <v>32.893441520000003</v>
      </c>
      <c r="D2524" s="1">
        <v>0.97618264700000001</v>
      </c>
      <c r="E2524" s="1"/>
      <c r="H2524" s="2">
        <v>52.789032200000001</v>
      </c>
      <c r="I2524" s="2">
        <v>35.182112099999998</v>
      </c>
      <c r="J2524" s="2">
        <v>36.360835199999997</v>
      </c>
      <c r="L2524" s="2"/>
      <c r="M2524" s="2"/>
    </row>
    <row r="2525" spans="2:13">
      <c r="B2525" s="2"/>
      <c r="C2525" s="1">
        <v>79.232862150000003</v>
      </c>
      <c r="D2525" s="1">
        <v>0.92341601799999995</v>
      </c>
      <c r="E2525" s="1"/>
      <c r="H2525" s="2">
        <v>44.961385300000003</v>
      </c>
      <c r="I2525" s="2">
        <v>10.494001600000001</v>
      </c>
      <c r="J2525" s="2">
        <v>28.087528500000001</v>
      </c>
      <c r="L2525" s="2"/>
      <c r="M2525" s="2"/>
    </row>
    <row r="2526" spans="2:13">
      <c r="B2526" s="2"/>
      <c r="C2526" s="1">
        <v>55.770322919999998</v>
      </c>
      <c r="D2526" s="1">
        <v>0.620007898</v>
      </c>
      <c r="E2526" s="1"/>
      <c r="H2526" s="2">
        <v>6.5726062699999996</v>
      </c>
      <c r="I2526" s="2">
        <v>42.240299899999997</v>
      </c>
      <c r="J2526" s="2">
        <v>11.8885331</v>
      </c>
      <c r="L2526" s="2"/>
      <c r="M2526" s="2"/>
    </row>
    <row r="2527" spans="2:13">
      <c r="B2527" s="2"/>
      <c r="C2527" s="1">
        <v>6.8588380249999998</v>
      </c>
      <c r="D2527" s="1">
        <v>8.0798901549999993</v>
      </c>
      <c r="E2527" s="1"/>
      <c r="H2527" s="2">
        <v>34.8258911</v>
      </c>
      <c r="I2527" s="2">
        <v>36.223739000000002</v>
      </c>
      <c r="J2527" s="2">
        <v>23.498971900000001</v>
      </c>
      <c r="L2527" s="2"/>
      <c r="M2527" s="2"/>
    </row>
    <row r="2528" spans="2:13">
      <c r="B2528" s="2"/>
      <c r="C2528" s="1">
        <v>39.728128699999999</v>
      </c>
      <c r="D2528" s="1">
        <v>5.0326172959999997</v>
      </c>
      <c r="E2528" s="1"/>
      <c r="H2528" s="2">
        <v>34.784254699999998</v>
      </c>
      <c r="I2528" s="2">
        <v>9.87213487</v>
      </c>
      <c r="J2528" s="2">
        <v>141.41097300000001</v>
      </c>
      <c r="L2528" s="2"/>
      <c r="M2528" s="2"/>
    </row>
    <row r="2529" spans="2:13">
      <c r="B2529" s="2"/>
      <c r="C2529" s="1">
        <v>12.32296515</v>
      </c>
      <c r="D2529" s="1">
        <v>2.2293900999999998</v>
      </c>
      <c r="E2529" s="1"/>
      <c r="H2529" s="2">
        <v>14.804721300000001</v>
      </c>
      <c r="I2529" s="2">
        <v>39.3019794</v>
      </c>
      <c r="J2529" s="2">
        <v>67.681210399999998</v>
      </c>
      <c r="L2529" s="2"/>
      <c r="M2529" s="2"/>
    </row>
    <row r="2530" spans="2:13">
      <c r="B2530" s="2"/>
      <c r="C2530" s="1">
        <v>23.347822749999999</v>
      </c>
      <c r="D2530" s="1">
        <v>1.0421409340000001</v>
      </c>
      <c r="E2530" s="1"/>
      <c r="H2530" s="2">
        <v>26.421282399999999</v>
      </c>
      <c r="I2530" s="2">
        <v>91.227854199999996</v>
      </c>
      <c r="J2530" s="2">
        <v>36.951785700000002</v>
      </c>
      <c r="L2530" s="2"/>
      <c r="M2530" s="2"/>
    </row>
    <row r="2531" spans="2:13">
      <c r="B2531" s="2"/>
      <c r="C2531" s="1">
        <v>8.9176969750000001</v>
      </c>
      <c r="D2531" s="1">
        <v>1.0751200780000001</v>
      </c>
      <c r="E2531" s="1"/>
      <c r="H2531" s="2">
        <v>148.08290099999999</v>
      </c>
      <c r="I2531" s="2">
        <v>62.855183099999998</v>
      </c>
      <c r="J2531" s="2">
        <v>11.4713916</v>
      </c>
      <c r="L2531" s="2"/>
      <c r="M2531" s="2"/>
    </row>
    <row r="2532" spans="2:13">
      <c r="B2532" s="2"/>
      <c r="C2532" s="1">
        <v>58.928044999999997</v>
      </c>
      <c r="D2532" s="1">
        <v>0.93660767499999997</v>
      </c>
      <c r="E2532" s="1"/>
      <c r="H2532" s="2">
        <v>72.298668899999996</v>
      </c>
      <c r="I2532" s="2">
        <v>52.998594900000001</v>
      </c>
      <c r="J2532" s="2">
        <v>14.7737619</v>
      </c>
      <c r="L2532" s="2"/>
      <c r="M2532" s="2"/>
    </row>
    <row r="2533" spans="2:13">
      <c r="B2533" s="2"/>
      <c r="C2533" s="1">
        <v>104.4946388</v>
      </c>
      <c r="D2533" s="1">
        <v>69.612376080000004</v>
      </c>
      <c r="E2533" s="1"/>
      <c r="H2533" s="2">
        <v>52.342927699999997</v>
      </c>
      <c r="I2533" s="2">
        <v>15.095815699999999</v>
      </c>
      <c r="J2533" s="2">
        <v>16.129471800000001</v>
      </c>
      <c r="L2533" s="2"/>
      <c r="M2533" s="2"/>
    </row>
    <row r="2534" spans="2:13">
      <c r="B2534" s="2"/>
      <c r="C2534" s="1">
        <v>52.546186030000001</v>
      </c>
      <c r="D2534" s="1">
        <v>17.749375029999999</v>
      </c>
      <c r="E2534" s="1"/>
      <c r="H2534" s="2">
        <v>17.8441799</v>
      </c>
      <c r="I2534" s="2">
        <v>11.4889884</v>
      </c>
      <c r="J2534" s="2">
        <v>12.166627500000001</v>
      </c>
      <c r="L2534" s="2"/>
      <c r="M2534" s="2"/>
    </row>
    <row r="2535" spans="2:13">
      <c r="B2535" s="2"/>
      <c r="C2535" s="1">
        <v>16.694266850000002</v>
      </c>
      <c r="D2535" s="1">
        <v>0.93001184599999998</v>
      </c>
      <c r="E2535" s="1"/>
      <c r="H2535" s="2">
        <v>11.1228721</v>
      </c>
      <c r="I2535" s="2">
        <v>20.0085631</v>
      </c>
      <c r="J2535" s="2">
        <v>180.13561000000001</v>
      </c>
      <c r="L2535" s="2"/>
      <c r="M2535" s="2"/>
    </row>
    <row r="2536" spans="2:13">
      <c r="B2536" s="2"/>
      <c r="C2536" s="1">
        <v>20.56443866</v>
      </c>
      <c r="D2536" s="1">
        <v>0.105533259</v>
      </c>
      <c r="E2536" s="1"/>
      <c r="H2536" s="2">
        <v>20.871742399999999</v>
      </c>
      <c r="I2536" s="2">
        <v>12.266321899999999</v>
      </c>
      <c r="J2536" s="2">
        <v>27.6356252</v>
      </c>
      <c r="L2536" s="2"/>
      <c r="M2536" s="2"/>
    </row>
    <row r="2537" spans="2:13">
      <c r="B2537" s="2"/>
      <c r="C2537" s="1">
        <v>17.787092269999999</v>
      </c>
      <c r="D2537" s="1">
        <v>2.209602614</v>
      </c>
      <c r="E2537" s="1"/>
      <c r="H2537" s="2">
        <v>13.1987451</v>
      </c>
      <c r="I2537" s="2">
        <v>221.29128800000001</v>
      </c>
      <c r="J2537" s="2">
        <v>2.7114198300000001</v>
      </c>
      <c r="L2537" s="2"/>
      <c r="M2537" s="2"/>
    </row>
    <row r="2538" spans="2:13">
      <c r="B2538" s="2"/>
      <c r="C2538" s="1">
        <v>6.41808523</v>
      </c>
      <c r="D2538" s="1">
        <v>23.415191879999998</v>
      </c>
      <c r="E2538" s="1"/>
      <c r="H2538" s="2">
        <v>218.08561900000001</v>
      </c>
      <c r="I2538" s="2">
        <v>27.2688576</v>
      </c>
      <c r="J2538" s="2">
        <v>33.301797399999998</v>
      </c>
      <c r="L2538" s="2"/>
      <c r="M2538" s="2"/>
    </row>
    <row r="2539" spans="2:13">
      <c r="B2539" s="2"/>
      <c r="C2539" s="1">
        <v>278.5436914</v>
      </c>
      <c r="D2539" s="1">
        <v>265.42933849999997</v>
      </c>
      <c r="E2539" s="1"/>
      <c r="H2539" s="2">
        <v>32.292017600000001</v>
      </c>
      <c r="I2539" s="2">
        <v>2.89168045</v>
      </c>
      <c r="J2539" s="2">
        <v>229.08021400000001</v>
      </c>
      <c r="L2539" s="2"/>
      <c r="M2539" s="2"/>
    </row>
    <row r="2540" spans="2:13">
      <c r="B2540" s="2"/>
      <c r="C2540" s="1">
        <v>34.264001579999999</v>
      </c>
      <c r="D2540" s="1">
        <v>5.2964504440000004</v>
      </c>
      <c r="E2540" s="1"/>
      <c r="H2540" s="2">
        <v>3.85434286</v>
      </c>
      <c r="I2540" s="2">
        <v>22.340563499999998</v>
      </c>
      <c r="J2540" s="2">
        <v>31.737516800000002</v>
      </c>
      <c r="L2540" s="2"/>
      <c r="M2540" s="2"/>
    </row>
    <row r="2541" spans="2:13">
      <c r="B2541" s="2"/>
      <c r="C2541" s="1">
        <v>7.1184595350000004</v>
      </c>
      <c r="D2541" s="1">
        <v>1.2663991100000001</v>
      </c>
      <c r="E2541" s="1"/>
      <c r="H2541" s="2">
        <v>51.522095499999999</v>
      </c>
      <c r="I2541" s="2">
        <v>151.84431699999999</v>
      </c>
      <c r="J2541" s="2">
        <v>74.390236400000006</v>
      </c>
      <c r="L2541" s="2"/>
      <c r="M2541" s="2"/>
    </row>
    <row r="2542" spans="2:13">
      <c r="B2542" s="2"/>
      <c r="C2542" s="1">
        <v>58.20351986</v>
      </c>
      <c r="D2542" s="1">
        <v>1.6093822019999999</v>
      </c>
      <c r="E2542" s="1"/>
      <c r="H2542" s="2">
        <v>218.20457999999999</v>
      </c>
      <c r="I2542" s="2">
        <v>29.460937900000001</v>
      </c>
      <c r="J2542" s="2">
        <v>38.064163000000001</v>
      </c>
      <c r="L2542" s="2"/>
      <c r="M2542" s="2"/>
    </row>
    <row r="2543" spans="2:13">
      <c r="B2543" s="2"/>
      <c r="C2543" s="1">
        <v>343.85359540000002</v>
      </c>
      <c r="D2543" s="1">
        <v>1.2202283089999999</v>
      </c>
      <c r="E2543" s="1"/>
      <c r="H2543" s="2">
        <v>39.893638199999998</v>
      </c>
      <c r="I2543" s="2">
        <v>63.2438498</v>
      </c>
      <c r="J2543" s="2">
        <v>29.721332799999999</v>
      </c>
      <c r="L2543" s="2"/>
      <c r="M2543" s="2"/>
    </row>
    <row r="2544" spans="2:13">
      <c r="B2544" s="2"/>
      <c r="C2544" s="1">
        <v>19.47765094</v>
      </c>
      <c r="D2544" s="1">
        <v>4.3862260839999996</v>
      </c>
      <c r="E2544" s="1"/>
      <c r="H2544" s="2">
        <v>95.484206700000001</v>
      </c>
      <c r="I2544" s="2">
        <v>68.840650699999998</v>
      </c>
      <c r="J2544" s="2">
        <v>19.675174699999999</v>
      </c>
      <c r="L2544" s="2"/>
      <c r="M2544" s="2"/>
    </row>
    <row r="2545" spans="2:13">
      <c r="B2545" s="2"/>
      <c r="C2545" s="1">
        <v>106.25161230000001</v>
      </c>
      <c r="D2545" s="1">
        <v>0.74532864300000001</v>
      </c>
      <c r="E2545" s="1"/>
      <c r="H2545" s="2">
        <v>61.746810500000002</v>
      </c>
      <c r="I2545" s="2">
        <v>34.824538699999998</v>
      </c>
      <c r="J2545" s="2">
        <v>11.401868</v>
      </c>
      <c r="L2545" s="2"/>
      <c r="M2545" s="2"/>
    </row>
    <row r="2546" spans="2:13">
      <c r="B2546" s="2"/>
      <c r="C2546" s="1">
        <v>31.740238999999999</v>
      </c>
      <c r="D2546" s="1">
        <v>0.27042897700000001</v>
      </c>
      <c r="E2546" s="1"/>
      <c r="H2546" s="2">
        <v>36.883919900000002</v>
      </c>
      <c r="I2546" s="2">
        <v>14.6449623</v>
      </c>
      <c r="J2546" s="2">
        <v>10.1156817</v>
      </c>
      <c r="L2546" s="2"/>
      <c r="M2546" s="2"/>
    </row>
    <row r="2547" spans="2:13">
      <c r="B2547" s="2"/>
      <c r="C2547" s="1">
        <v>32.519103520000002</v>
      </c>
      <c r="D2547" s="1">
        <v>0.474899666</v>
      </c>
      <c r="E2547" s="1"/>
      <c r="H2547" s="2">
        <v>18.302180499999999</v>
      </c>
      <c r="I2547" s="2">
        <v>12.670535299999999</v>
      </c>
      <c r="J2547" s="2">
        <v>8.3428302599999995</v>
      </c>
      <c r="L2547" s="2"/>
      <c r="M2547" s="2"/>
    </row>
    <row r="2548" spans="2:13">
      <c r="B2548" s="2"/>
      <c r="C2548" s="1">
        <v>23.78253784</v>
      </c>
      <c r="D2548" s="1">
        <v>1.840236207</v>
      </c>
      <c r="E2548" s="1"/>
      <c r="H2548" s="2">
        <v>16.4344897</v>
      </c>
      <c r="I2548" s="2">
        <v>6.0632009399999998</v>
      </c>
      <c r="J2548" s="2">
        <v>4.3452240900000003</v>
      </c>
      <c r="L2548" s="2"/>
      <c r="M2548" s="2"/>
    </row>
    <row r="2549" spans="2:13">
      <c r="B2549" s="2"/>
      <c r="C2549" s="1">
        <v>19.284444239999999</v>
      </c>
      <c r="D2549" s="1">
        <v>449.67062149999998</v>
      </c>
      <c r="E2549" s="1"/>
      <c r="H2549" s="2">
        <v>11.497599900000001</v>
      </c>
      <c r="I2549" s="2">
        <v>11.0070417</v>
      </c>
      <c r="J2549" s="2">
        <v>49.535554599999998</v>
      </c>
      <c r="L2549" s="2"/>
      <c r="M2549" s="2"/>
    </row>
    <row r="2550" spans="2:13">
      <c r="B2550" s="2"/>
      <c r="C2550" s="1">
        <v>16.591625789999998</v>
      </c>
      <c r="D2550" s="1">
        <v>3.1132311449999999</v>
      </c>
      <c r="E2550" s="1"/>
      <c r="H2550" s="2">
        <v>11.705781999999999</v>
      </c>
      <c r="I2550" s="2">
        <v>8.8616013799999998</v>
      </c>
      <c r="J2550" s="2">
        <v>32.919417699999997</v>
      </c>
      <c r="L2550" s="2"/>
      <c r="M2550" s="2"/>
    </row>
    <row r="2551" spans="2:13">
      <c r="B2551" s="2"/>
      <c r="C2551" s="1">
        <v>4.9750726519999997</v>
      </c>
      <c r="D2551" s="1">
        <v>11.93185411</v>
      </c>
      <c r="E2551" s="1"/>
      <c r="H2551" s="2">
        <v>5.72203369</v>
      </c>
      <c r="I2551" s="2">
        <v>46.0958738</v>
      </c>
      <c r="J2551" s="2">
        <v>57.391719799999997</v>
      </c>
      <c r="L2551" s="2"/>
      <c r="M2551" s="2"/>
    </row>
    <row r="2552" spans="2:13">
      <c r="B2552" s="2"/>
      <c r="C2552" s="1">
        <v>5.5426173480000003</v>
      </c>
      <c r="D2552" s="1">
        <v>0.78490361500000005</v>
      </c>
      <c r="E2552" s="1"/>
      <c r="H2552" s="2">
        <v>62.656863700000002</v>
      </c>
      <c r="I2552" s="2">
        <v>35.959445600000002</v>
      </c>
      <c r="J2552" s="2">
        <v>44.008429599999999</v>
      </c>
      <c r="L2552" s="2"/>
      <c r="M2552" s="2"/>
    </row>
    <row r="2553" spans="2:13">
      <c r="B2553" s="2"/>
      <c r="C2553" s="1">
        <v>49.25563434</v>
      </c>
      <c r="D2553" s="1">
        <v>0.32979143500000002</v>
      </c>
      <c r="E2553" s="1"/>
      <c r="H2553" s="2">
        <v>32.845187199999998</v>
      </c>
      <c r="I2553" s="2">
        <v>27.408777600000001</v>
      </c>
      <c r="J2553" s="2">
        <v>10.1156817</v>
      </c>
      <c r="L2553" s="2"/>
      <c r="M2553" s="2"/>
    </row>
    <row r="2554" spans="2:13">
      <c r="B2554" s="2"/>
      <c r="C2554" s="1">
        <v>39.23907423</v>
      </c>
      <c r="D2554" s="1">
        <v>0.44851635099999998</v>
      </c>
      <c r="E2554" s="1"/>
      <c r="H2554" s="2">
        <v>60.705900100000001</v>
      </c>
      <c r="I2554" s="2">
        <v>65.746863500000003</v>
      </c>
      <c r="J2554" s="2">
        <v>10.2199671</v>
      </c>
      <c r="L2554" s="2"/>
      <c r="M2554" s="2"/>
    </row>
    <row r="2555" spans="2:13">
      <c r="B2555" s="2"/>
      <c r="C2555" s="1">
        <v>74.680429169999996</v>
      </c>
      <c r="D2555" s="1">
        <v>1.0553325920000001</v>
      </c>
      <c r="E2555" s="1"/>
      <c r="H2555" s="2">
        <v>52.931785699999999</v>
      </c>
      <c r="I2555" s="2">
        <v>9.3435481199999995</v>
      </c>
      <c r="J2555" s="2">
        <v>13.1399577</v>
      </c>
      <c r="L2555" s="2"/>
      <c r="M2555" s="2"/>
    </row>
    <row r="2556" spans="2:13">
      <c r="B2556" s="2"/>
      <c r="C2556" s="1">
        <v>57.086543599999999</v>
      </c>
      <c r="D2556" s="1">
        <v>1.9919402669999999</v>
      </c>
      <c r="E2556" s="1"/>
      <c r="H2556" s="2">
        <v>17.0114515</v>
      </c>
      <c r="I2556" s="2">
        <v>4.6640007199999998</v>
      </c>
      <c r="J2556" s="2">
        <v>14.2175732</v>
      </c>
      <c r="L2556" s="2"/>
      <c r="M2556" s="2"/>
    </row>
    <row r="2557" spans="2:13">
      <c r="B2557" s="2"/>
      <c r="C2557" s="1">
        <v>9.153167646</v>
      </c>
      <c r="D2557" s="1">
        <v>0.60022041100000001</v>
      </c>
      <c r="E2557" s="1"/>
      <c r="H2557" s="2">
        <v>10.754092399999999</v>
      </c>
      <c r="I2557" s="2">
        <v>13.214668700000001</v>
      </c>
      <c r="J2557" s="2">
        <v>34.553221999999998</v>
      </c>
      <c r="L2557" s="2"/>
      <c r="M2557" s="2"/>
    </row>
    <row r="2558" spans="2:13">
      <c r="B2558" s="2"/>
      <c r="C2558" s="1">
        <v>4.4135656660000002</v>
      </c>
      <c r="D2558" s="1">
        <v>1.701723804</v>
      </c>
      <c r="E2558" s="1"/>
      <c r="H2558" s="2">
        <v>17.511088600000001</v>
      </c>
      <c r="I2558" s="2">
        <v>16.681575899999999</v>
      </c>
      <c r="J2558" s="2">
        <v>6.5699788300000002</v>
      </c>
      <c r="L2558" s="2"/>
      <c r="M2558" s="2"/>
    </row>
    <row r="2559" spans="2:13">
      <c r="B2559" s="2"/>
      <c r="C2559" s="1">
        <v>15.57729059</v>
      </c>
      <c r="D2559" s="1">
        <v>8.5745772999999997E-2</v>
      </c>
      <c r="E2559" s="1"/>
      <c r="H2559" s="2">
        <v>15.958644899999999</v>
      </c>
      <c r="I2559" s="2">
        <v>30.564751399999999</v>
      </c>
      <c r="J2559" s="2">
        <v>23.8465898</v>
      </c>
      <c r="L2559" s="2"/>
      <c r="M2559" s="2"/>
    </row>
    <row r="2560" spans="2:13">
      <c r="B2560" s="2"/>
      <c r="C2560" s="1">
        <v>24.078385600000001</v>
      </c>
      <c r="D2560" s="1">
        <v>1.945769466</v>
      </c>
      <c r="E2560" s="1"/>
      <c r="H2560" s="2">
        <v>39.316676399999999</v>
      </c>
      <c r="I2560" s="2">
        <v>6.4985076800000003</v>
      </c>
      <c r="J2560" s="2">
        <v>2.95475238</v>
      </c>
      <c r="L2560" s="2"/>
      <c r="M2560" s="2"/>
    </row>
    <row r="2561" spans="2:13">
      <c r="B2561" s="2"/>
      <c r="C2561" s="1">
        <v>45.439801920000001</v>
      </c>
      <c r="D2561" s="1">
        <v>0.25064149099999999</v>
      </c>
      <c r="E2561" s="1"/>
      <c r="H2561" s="2">
        <v>9.0053627899999995</v>
      </c>
      <c r="I2561" s="2">
        <v>20.2728565</v>
      </c>
      <c r="J2561" s="2">
        <v>41.748913100000003</v>
      </c>
      <c r="L2561" s="2"/>
      <c r="M2561" s="2"/>
    </row>
    <row r="2562" spans="2:13">
      <c r="B2562" s="2"/>
      <c r="C2562" s="1">
        <v>7.7705321639999996</v>
      </c>
      <c r="D2562" s="1">
        <v>0.56724126799999997</v>
      </c>
      <c r="E2562" s="1"/>
      <c r="H2562" s="2">
        <v>27.587102099999999</v>
      </c>
      <c r="I2562" s="2">
        <v>2.6118404100000001</v>
      </c>
      <c r="J2562" s="2">
        <v>2.3290401100000002</v>
      </c>
      <c r="L2562" s="2"/>
      <c r="M2562" s="2"/>
    </row>
    <row r="2563" spans="2:13">
      <c r="B2563" s="2"/>
      <c r="C2563" s="1">
        <v>21.397642569999999</v>
      </c>
      <c r="D2563" s="1">
        <v>0.474899666</v>
      </c>
      <c r="E2563" s="1"/>
      <c r="H2563" s="2">
        <v>3.3606538800000001</v>
      </c>
      <c r="I2563" s="2">
        <v>57.180648900000001</v>
      </c>
      <c r="J2563" s="2">
        <v>12.6185308</v>
      </c>
      <c r="L2563" s="2"/>
      <c r="M2563" s="2"/>
    </row>
    <row r="2564" spans="2:13">
      <c r="B2564" s="2"/>
      <c r="C2564" s="1">
        <v>2.7411201260000002</v>
      </c>
      <c r="D2564" s="1">
        <v>0.35617474999999998</v>
      </c>
      <c r="E2564" s="1"/>
      <c r="H2564" s="2">
        <v>54.841112899999999</v>
      </c>
      <c r="I2564" s="2">
        <v>2.5807470700000001</v>
      </c>
      <c r="J2564" s="2">
        <v>7.8214033599999997</v>
      </c>
      <c r="L2564" s="2"/>
      <c r="M2564" s="2"/>
    </row>
    <row r="2565" spans="2:13">
      <c r="B2565" s="2"/>
      <c r="C2565" s="1">
        <v>49.249596629999999</v>
      </c>
      <c r="D2565" s="1">
        <v>0.38915389299999997</v>
      </c>
      <c r="E2565" s="1"/>
      <c r="H2565" s="2">
        <v>3.8959792800000002</v>
      </c>
      <c r="I2565" s="2">
        <v>19.7287231</v>
      </c>
      <c r="J2565" s="2">
        <v>4.9014127700000003</v>
      </c>
      <c r="L2565" s="2"/>
      <c r="M2565" s="2"/>
    </row>
    <row r="2566" spans="2:13">
      <c r="B2566" s="2"/>
      <c r="C2566" s="1">
        <v>4.4256410849999996</v>
      </c>
      <c r="D2566" s="1">
        <v>4.3334594539999998</v>
      </c>
      <c r="E2566" s="1"/>
      <c r="H2566" s="2">
        <v>19.479896400000001</v>
      </c>
      <c r="I2566" s="2">
        <v>11.4423484</v>
      </c>
      <c r="J2566" s="2">
        <v>4.2061769199999999</v>
      </c>
      <c r="L2566" s="2"/>
      <c r="M2566" s="2"/>
    </row>
    <row r="2567" spans="2:13">
      <c r="B2567" s="2"/>
      <c r="C2567" s="1">
        <v>9.3644874799999993</v>
      </c>
      <c r="D2567" s="1">
        <v>1.292782425</v>
      </c>
      <c r="E2567" s="1"/>
      <c r="H2567" s="2">
        <v>9.3503502699999999</v>
      </c>
      <c r="I2567" s="2">
        <v>4.9904807699999996</v>
      </c>
      <c r="J2567" s="2">
        <v>66.673118500000001</v>
      </c>
      <c r="L2567" s="2"/>
      <c r="M2567" s="2"/>
    </row>
    <row r="2568" spans="2:13">
      <c r="B2568" s="2"/>
      <c r="C2568" s="1">
        <v>10.10712575</v>
      </c>
      <c r="D2568" s="1">
        <v>2.7570563959999999</v>
      </c>
      <c r="E2568" s="1"/>
      <c r="H2568" s="2">
        <v>8.69606368</v>
      </c>
      <c r="I2568" s="2">
        <v>3.3269871800000002</v>
      </c>
      <c r="J2568" s="2">
        <v>27.392292699999999</v>
      </c>
      <c r="L2568" s="2"/>
      <c r="M2568" s="2"/>
    </row>
    <row r="2569" spans="2:13">
      <c r="B2569" s="2"/>
      <c r="C2569" s="1">
        <v>18.088977750000002</v>
      </c>
      <c r="D2569" s="1">
        <v>0.31659977700000003</v>
      </c>
      <c r="E2569" s="1"/>
      <c r="H2569" s="2">
        <v>7.3458540599999997</v>
      </c>
      <c r="I2569" s="2">
        <v>57.087368900000001</v>
      </c>
      <c r="J2569" s="2">
        <v>23.533733699999999</v>
      </c>
      <c r="L2569" s="2"/>
      <c r="M2569" s="2"/>
    </row>
    <row r="2570" spans="2:13">
      <c r="B2570" s="2"/>
      <c r="C2570" s="1">
        <v>10.31240788</v>
      </c>
      <c r="D2570" s="1">
        <v>610.33841270000005</v>
      </c>
      <c r="E2570" s="1"/>
      <c r="H2570" s="2">
        <v>73.393112000000002</v>
      </c>
      <c r="I2570" s="2">
        <v>25.341070599999998</v>
      </c>
      <c r="J2570" s="2">
        <v>3.12856135</v>
      </c>
      <c r="L2570" s="2"/>
      <c r="M2570" s="2"/>
    </row>
    <row r="2571" spans="2:13">
      <c r="B2571" s="2"/>
      <c r="C2571" s="1">
        <v>91.543751880000002</v>
      </c>
      <c r="D2571" s="1">
        <v>1.41810317</v>
      </c>
      <c r="E2571" s="1"/>
      <c r="H2571" s="2">
        <v>26.147671599999999</v>
      </c>
      <c r="I2571" s="2">
        <v>19.137949599999999</v>
      </c>
      <c r="J2571" s="2">
        <v>64.587410899999995</v>
      </c>
      <c r="L2571" s="2"/>
      <c r="M2571" s="2"/>
    </row>
    <row r="2572" spans="2:13">
      <c r="B2572" s="2"/>
      <c r="C2572" s="1">
        <v>29.36741915</v>
      </c>
      <c r="D2572" s="1">
        <v>18.93662419</v>
      </c>
      <c r="E2572" s="1"/>
      <c r="H2572" s="2">
        <v>17.493244399999998</v>
      </c>
      <c r="I2572" s="2">
        <v>7.12037444</v>
      </c>
      <c r="J2572" s="2">
        <v>35.804646499999997</v>
      </c>
      <c r="L2572" s="2"/>
      <c r="M2572" s="2"/>
    </row>
    <row r="2573" spans="2:13">
      <c r="B2573" s="2"/>
      <c r="C2573" s="1">
        <v>16.730493110000001</v>
      </c>
      <c r="D2573" s="1">
        <v>1.352144883</v>
      </c>
      <c r="E2573" s="1"/>
      <c r="H2573" s="2">
        <v>4.1457978000000004</v>
      </c>
      <c r="I2573" s="2">
        <v>50.293474500000002</v>
      </c>
      <c r="J2573" s="2">
        <v>121.90960699999999</v>
      </c>
      <c r="L2573" s="2"/>
      <c r="M2573" s="2"/>
    </row>
    <row r="2574" spans="2:13">
      <c r="B2574" s="2"/>
      <c r="C2574" s="1">
        <v>4.7275265610000003</v>
      </c>
      <c r="D2574" s="1">
        <v>0.36936640700000001</v>
      </c>
      <c r="E2574" s="1"/>
      <c r="H2574" s="2">
        <v>67.795987499999995</v>
      </c>
      <c r="I2574" s="2">
        <v>28.6369644</v>
      </c>
      <c r="J2574" s="2">
        <v>28.643717200000001</v>
      </c>
      <c r="L2574" s="2"/>
      <c r="M2574" s="2"/>
    </row>
    <row r="2575" spans="2:13">
      <c r="B2575" s="2"/>
      <c r="C2575" s="1">
        <v>155.36837929999999</v>
      </c>
      <c r="D2575" s="1">
        <v>0.15170406</v>
      </c>
      <c r="E2575" s="1"/>
      <c r="H2575" s="2">
        <v>38.602909199999999</v>
      </c>
      <c r="I2575" s="2">
        <v>82.459532800000005</v>
      </c>
      <c r="J2575" s="2">
        <v>8.3428302599999995</v>
      </c>
      <c r="L2575" s="2"/>
      <c r="M2575" s="2"/>
    </row>
    <row r="2576" spans="2:13">
      <c r="B2576" s="2"/>
      <c r="C2576" s="1">
        <v>23.9515937</v>
      </c>
      <c r="D2576" s="1">
        <v>1.6291696879999999</v>
      </c>
      <c r="E2576" s="1"/>
      <c r="H2576" s="2">
        <v>127.008925</v>
      </c>
      <c r="I2576" s="2">
        <v>31.0777915</v>
      </c>
      <c r="J2576" s="2">
        <v>2.8852288000000001</v>
      </c>
      <c r="L2576" s="2"/>
      <c r="M2576" s="2"/>
    </row>
    <row r="2577" spans="2:13">
      <c r="B2577" s="2"/>
      <c r="C2577" s="1">
        <v>137.9073234</v>
      </c>
      <c r="D2577" s="1">
        <v>8.2447858719999996</v>
      </c>
      <c r="E2577" s="1"/>
      <c r="H2577" s="2">
        <v>33.225862999999997</v>
      </c>
      <c r="I2577" s="2">
        <v>6.99600109</v>
      </c>
      <c r="J2577" s="2">
        <v>9.1771132800000004</v>
      </c>
      <c r="L2577" s="2"/>
      <c r="M2577" s="2"/>
    </row>
    <row r="2578" spans="2:13">
      <c r="B2578" s="2"/>
      <c r="C2578" s="1">
        <v>38.713793500000001</v>
      </c>
      <c r="D2578" s="1">
        <v>2.625139822</v>
      </c>
      <c r="E2578" s="1"/>
      <c r="H2578" s="2">
        <v>7.7919585600000003</v>
      </c>
      <c r="I2578" s="2">
        <v>2.2387203499999999</v>
      </c>
      <c r="J2578" s="2">
        <v>55.9664863</v>
      </c>
      <c r="L2578" s="2"/>
      <c r="M2578" s="2"/>
    </row>
    <row r="2579" spans="2:13">
      <c r="B2579" s="2"/>
      <c r="C2579" s="1">
        <v>3.326777951</v>
      </c>
      <c r="D2579" s="1">
        <v>0.38255806399999998</v>
      </c>
      <c r="E2579" s="1"/>
      <c r="H2579" s="2">
        <v>5.0320587300000001</v>
      </c>
      <c r="I2579" s="2">
        <v>10.027601600000001</v>
      </c>
      <c r="J2579" s="2">
        <v>45.329377700000002</v>
      </c>
      <c r="L2579" s="2"/>
      <c r="M2579" s="2"/>
    </row>
    <row r="2580" spans="2:13">
      <c r="B2580" s="2"/>
      <c r="C2580" s="1">
        <v>3.8520586799999998</v>
      </c>
      <c r="D2580" s="1">
        <v>3.7002598990000002</v>
      </c>
      <c r="E2580" s="1"/>
      <c r="H2580" s="2">
        <v>16.856801999999998</v>
      </c>
      <c r="I2580" s="2">
        <v>49.671607700000003</v>
      </c>
      <c r="J2580" s="2">
        <v>7.0218821299999998</v>
      </c>
      <c r="L2580" s="2"/>
      <c r="M2580" s="2"/>
    </row>
    <row r="2581" spans="2:13">
      <c r="B2581" s="2"/>
      <c r="C2581" s="1">
        <v>20.739532229999998</v>
      </c>
      <c r="D2581" s="1">
        <v>0.43532469400000001</v>
      </c>
      <c r="E2581" s="1"/>
      <c r="H2581" s="2">
        <v>76.051894799999999</v>
      </c>
      <c r="I2581" s="2">
        <v>31.046698200000002</v>
      </c>
      <c r="J2581" s="2">
        <v>43.7303353</v>
      </c>
      <c r="L2581" s="2"/>
      <c r="M2581" s="2"/>
    </row>
    <row r="2582" spans="2:13">
      <c r="B2582" s="2"/>
      <c r="C2582" s="1">
        <v>130.6379211</v>
      </c>
      <c r="D2582" s="1">
        <v>113.7120867</v>
      </c>
      <c r="E2582" s="1"/>
      <c r="H2582" s="2">
        <v>42.2847583</v>
      </c>
      <c r="I2582" s="2">
        <v>6.5296010100000004</v>
      </c>
      <c r="J2582" s="2">
        <v>9.7680637600000004</v>
      </c>
      <c r="L2582" s="2"/>
      <c r="M2582" s="2"/>
    </row>
    <row r="2583" spans="2:13">
      <c r="B2583" s="2"/>
      <c r="C2583" s="1">
        <v>28.2564806</v>
      </c>
      <c r="D2583" s="1">
        <v>1.4115073410000001</v>
      </c>
      <c r="E2583" s="1"/>
      <c r="H2583" s="2">
        <v>8.4402971000000004</v>
      </c>
      <c r="I2583" s="2">
        <v>61.642542900000002</v>
      </c>
      <c r="J2583" s="2">
        <v>11.2975826</v>
      </c>
      <c r="L2583" s="2"/>
      <c r="M2583" s="2"/>
    </row>
    <row r="2584" spans="2:13">
      <c r="B2584" s="2"/>
      <c r="C2584" s="1">
        <v>16.21125009</v>
      </c>
      <c r="D2584" s="1">
        <v>2.4932232480000001</v>
      </c>
      <c r="E2584" s="1"/>
      <c r="H2584" s="2">
        <v>59.034495200000002</v>
      </c>
      <c r="I2584" s="2">
        <v>9.3590947900000003</v>
      </c>
      <c r="J2584" s="2">
        <v>26.7318186</v>
      </c>
      <c r="L2584" s="2"/>
      <c r="M2584" s="2"/>
    </row>
    <row r="2585" spans="2:13">
      <c r="B2585" s="2"/>
      <c r="C2585" s="1">
        <v>77.282681969999999</v>
      </c>
      <c r="D2585" s="1">
        <v>0.60022041100000001</v>
      </c>
      <c r="E2585" s="1"/>
      <c r="H2585" s="2">
        <v>11.0633915</v>
      </c>
      <c r="I2585" s="2">
        <v>14.3651222</v>
      </c>
      <c r="J2585" s="2">
        <v>27.739910600000002</v>
      </c>
      <c r="L2585" s="2"/>
      <c r="M2585" s="2"/>
    </row>
    <row r="2586" spans="2:13">
      <c r="B2586" s="2"/>
      <c r="C2586" s="1">
        <v>3.2543254359999998</v>
      </c>
      <c r="D2586" s="1">
        <v>1.4642739709999999</v>
      </c>
      <c r="E2586" s="1"/>
      <c r="H2586" s="2">
        <v>13.7221744</v>
      </c>
      <c r="I2586" s="2">
        <v>36.674592400000002</v>
      </c>
      <c r="J2586" s="2">
        <v>15.5037596</v>
      </c>
      <c r="L2586" s="2"/>
      <c r="M2586" s="2"/>
    </row>
    <row r="2587" spans="2:13">
      <c r="B2587" s="2"/>
      <c r="C2587" s="1">
        <v>10.777311510000001</v>
      </c>
      <c r="D2587" s="1">
        <v>0.63979538400000002</v>
      </c>
      <c r="E2587" s="1"/>
      <c r="H2587" s="2">
        <v>37.573894799999998</v>
      </c>
      <c r="I2587" s="2">
        <v>24.377177100000001</v>
      </c>
      <c r="J2587" s="2">
        <v>11.9928185</v>
      </c>
      <c r="L2587" s="2"/>
      <c r="M2587" s="2"/>
    </row>
    <row r="2588" spans="2:13">
      <c r="B2588" s="2"/>
      <c r="C2588" s="1">
        <v>47.021681809999997</v>
      </c>
      <c r="D2588" s="1">
        <v>2.4470524469999999</v>
      </c>
      <c r="E2588" s="1"/>
      <c r="H2588" s="2">
        <v>35.908437999999997</v>
      </c>
      <c r="I2588" s="2">
        <v>20.521603200000001</v>
      </c>
      <c r="J2588" s="2">
        <v>11.3323444</v>
      </c>
      <c r="L2588" s="2"/>
      <c r="M2588" s="2"/>
    </row>
    <row r="2589" spans="2:13">
      <c r="B2589" s="2"/>
      <c r="C2589" s="1">
        <v>58.010313160000003</v>
      </c>
      <c r="D2589" s="1">
        <v>1.002565962</v>
      </c>
      <c r="E2589" s="1"/>
      <c r="H2589" s="2">
        <v>15.893216199999999</v>
      </c>
      <c r="I2589" s="2">
        <v>13.7898955</v>
      </c>
      <c r="J2589" s="2">
        <v>20.370410499999998</v>
      </c>
      <c r="L2589" s="2"/>
      <c r="M2589" s="2"/>
    </row>
    <row r="2590" spans="2:13">
      <c r="B2590" s="2"/>
      <c r="C2590" s="1">
        <v>16.99011462</v>
      </c>
      <c r="D2590" s="1">
        <v>0.38255806399999998</v>
      </c>
      <c r="E2590" s="1"/>
      <c r="H2590" s="2">
        <v>11.979392799999999</v>
      </c>
      <c r="I2590" s="2">
        <v>11.6600018</v>
      </c>
      <c r="J2590" s="2">
        <v>29.5475238</v>
      </c>
      <c r="L2590" s="2"/>
      <c r="M2590" s="2"/>
    </row>
    <row r="2591" spans="2:13">
      <c r="B2591" s="2"/>
      <c r="C2591" s="1">
        <v>22.82254202</v>
      </c>
      <c r="D2591" s="1">
        <v>1.985344438</v>
      </c>
      <c r="E2591" s="1"/>
      <c r="H2591" s="2">
        <v>15.7802031</v>
      </c>
      <c r="I2591" s="2">
        <v>27.937364299999999</v>
      </c>
      <c r="J2591" s="2">
        <v>7.0218821299999998</v>
      </c>
      <c r="L2591" s="2"/>
      <c r="M2591" s="2"/>
    </row>
    <row r="2592" spans="2:13">
      <c r="B2592" s="2"/>
      <c r="C2592" s="1">
        <v>18.10105317</v>
      </c>
      <c r="D2592" s="1">
        <v>2.4800315899999998</v>
      </c>
      <c r="E2592" s="1"/>
      <c r="H2592" s="2">
        <v>29.431000699999998</v>
      </c>
      <c r="I2592" s="2">
        <v>27.704164299999999</v>
      </c>
      <c r="J2592" s="2">
        <v>32.954179500000002</v>
      </c>
      <c r="L2592" s="2"/>
      <c r="M2592" s="2"/>
    </row>
    <row r="2593" spans="2:13">
      <c r="B2593" s="2"/>
      <c r="C2593" s="1">
        <v>37.113800480000002</v>
      </c>
      <c r="D2593" s="1">
        <v>0.79149944400000005</v>
      </c>
      <c r="E2593" s="1"/>
      <c r="H2593" s="2">
        <v>36.425919299999997</v>
      </c>
      <c r="I2593" s="2">
        <v>7.04264109</v>
      </c>
      <c r="J2593" s="2">
        <v>29.929903500000002</v>
      </c>
      <c r="L2593" s="2"/>
      <c r="M2593" s="2"/>
    </row>
    <row r="2594" spans="2:13">
      <c r="B2594" s="2"/>
      <c r="C2594" s="1">
        <v>12.799944200000001</v>
      </c>
      <c r="D2594" s="1">
        <v>4.3004803110000003</v>
      </c>
      <c r="E2594" s="1"/>
      <c r="H2594" s="2">
        <v>9.1897526500000009</v>
      </c>
      <c r="I2594" s="2">
        <v>29.740777900000001</v>
      </c>
      <c r="J2594" s="2">
        <v>12.722816099999999</v>
      </c>
      <c r="L2594" s="2"/>
      <c r="M2594" s="2"/>
    </row>
    <row r="2595" spans="2:13">
      <c r="B2595" s="2"/>
      <c r="C2595" s="1">
        <v>8.1569455739999999</v>
      </c>
      <c r="D2595" s="1">
        <v>1.5302322580000001</v>
      </c>
      <c r="E2595" s="1"/>
      <c r="H2595" s="2">
        <v>35.0697616</v>
      </c>
      <c r="I2595" s="2">
        <v>62.357689700000002</v>
      </c>
      <c r="J2595" s="2">
        <v>45.711757400000003</v>
      </c>
      <c r="L2595" s="2"/>
      <c r="M2595" s="2"/>
    </row>
    <row r="2596" spans="2:13">
      <c r="B2596" s="2"/>
      <c r="C2596" s="1">
        <v>43.193773970000002</v>
      </c>
      <c r="D2596" s="1">
        <v>4.1157971069999997</v>
      </c>
      <c r="E2596" s="1"/>
      <c r="H2596" s="2">
        <v>36.116620099999999</v>
      </c>
      <c r="I2596" s="2">
        <v>11.4889884</v>
      </c>
      <c r="J2596" s="2">
        <v>14.6694765</v>
      </c>
      <c r="L2596" s="2"/>
      <c r="M2596" s="2"/>
    </row>
    <row r="2597" spans="2:13">
      <c r="B2597" s="2"/>
      <c r="C2597" s="1">
        <v>71.649498980000004</v>
      </c>
      <c r="D2597" s="1">
        <v>0.13191657400000001</v>
      </c>
      <c r="E2597" s="1"/>
      <c r="H2597" s="2">
        <v>14.0136293</v>
      </c>
      <c r="I2597" s="2">
        <v>64.814063399999995</v>
      </c>
      <c r="J2597" s="2">
        <v>56.626960400000002</v>
      </c>
      <c r="L2597" s="2"/>
      <c r="M2597" s="2"/>
    </row>
    <row r="2598" spans="2:13">
      <c r="B2598" s="2"/>
      <c r="C2598" s="1">
        <v>4.4497919230000003</v>
      </c>
      <c r="D2598" s="1">
        <v>0.76511612900000003</v>
      </c>
      <c r="E2598" s="1"/>
      <c r="H2598" s="2">
        <v>58.136338100000003</v>
      </c>
      <c r="I2598" s="2">
        <v>13.230215400000001</v>
      </c>
      <c r="J2598" s="2">
        <v>1.4599952899999999</v>
      </c>
      <c r="L2598" s="2"/>
      <c r="M2598" s="2"/>
    </row>
    <row r="2599" spans="2:13">
      <c r="B2599" s="2"/>
      <c r="C2599" s="1">
        <v>43.338678999999999</v>
      </c>
      <c r="D2599" s="1">
        <v>0.91022435999999995</v>
      </c>
      <c r="E2599" s="1"/>
      <c r="H2599" s="2">
        <v>18.165375099999999</v>
      </c>
      <c r="I2599" s="2">
        <v>67.177157100000002</v>
      </c>
      <c r="J2599" s="2">
        <v>8.0994977099999996</v>
      </c>
      <c r="L2599" s="2"/>
      <c r="M2599" s="2"/>
    </row>
    <row r="2600" spans="2:13">
      <c r="B2600" s="2"/>
      <c r="C2600" s="1">
        <v>27.60440797</v>
      </c>
      <c r="D2600" s="1">
        <v>2.1634318129999999</v>
      </c>
      <c r="E2600" s="1"/>
      <c r="H2600" s="2">
        <v>76.866778999999994</v>
      </c>
      <c r="I2600" s="2">
        <v>2.5807470700000001</v>
      </c>
      <c r="J2600" s="2">
        <v>11.123773699999999</v>
      </c>
      <c r="L2600" s="2"/>
      <c r="M2600" s="2"/>
    </row>
    <row r="2601" spans="2:13">
      <c r="B2601" s="2"/>
      <c r="C2601" s="1">
        <v>64.663869059999996</v>
      </c>
      <c r="D2601" s="1">
        <v>0.51447463800000004</v>
      </c>
      <c r="E2601" s="1"/>
      <c r="H2601" s="2">
        <v>1.7011451500000001</v>
      </c>
      <c r="I2601" s="2">
        <v>6.1098409499999997</v>
      </c>
      <c r="J2601" s="2">
        <v>30.416568600000002</v>
      </c>
      <c r="L2601" s="2"/>
      <c r="M2601" s="2"/>
    </row>
    <row r="2602" spans="2:13">
      <c r="B2602" s="2"/>
      <c r="C2602" s="1">
        <v>2.8739497360000001</v>
      </c>
      <c r="D2602" s="1">
        <v>0.69915784199999997</v>
      </c>
      <c r="E2602" s="1"/>
      <c r="H2602" s="2">
        <v>10.189026699999999</v>
      </c>
      <c r="I2602" s="2">
        <v>20.443869800000002</v>
      </c>
      <c r="J2602" s="2">
        <v>12.6185308</v>
      </c>
      <c r="L2602" s="2"/>
      <c r="M2602" s="2"/>
    </row>
    <row r="2603" spans="2:13">
      <c r="B2603" s="2"/>
      <c r="C2603" s="1">
        <v>6.4241229390000001</v>
      </c>
      <c r="D2603" s="1">
        <v>3.1791894319999998</v>
      </c>
      <c r="E2603" s="1"/>
      <c r="H2603" s="2">
        <v>15.399527300000001</v>
      </c>
      <c r="I2603" s="2">
        <v>21.905256699999999</v>
      </c>
      <c r="J2603" s="2">
        <v>5.0752217399999999</v>
      </c>
      <c r="L2603" s="2"/>
      <c r="M2603" s="2"/>
    </row>
    <row r="2604" spans="2:13">
      <c r="B2604" s="2"/>
      <c r="C2604" s="1">
        <v>19.429349259999999</v>
      </c>
      <c r="D2604" s="1">
        <v>1.827044549</v>
      </c>
      <c r="E2604" s="1"/>
      <c r="H2604" s="2">
        <v>37.639323500000003</v>
      </c>
      <c r="I2604" s="2">
        <v>14.0541888</v>
      </c>
      <c r="J2604" s="2">
        <v>71.713578400000003</v>
      </c>
      <c r="L2604" s="2"/>
      <c r="M2604" s="2"/>
    </row>
    <row r="2605" spans="2:13">
      <c r="B2605" s="2"/>
      <c r="C2605" s="1">
        <v>27.27837165</v>
      </c>
      <c r="D2605" s="1">
        <v>1.92598198</v>
      </c>
      <c r="E2605" s="1"/>
      <c r="H2605" s="2">
        <v>14.3943051</v>
      </c>
      <c r="I2605" s="2">
        <v>10.058694900000001</v>
      </c>
      <c r="J2605" s="2">
        <v>44.877474399999997</v>
      </c>
      <c r="L2605" s="2"/>
      <c r="M2605" s="2"/>
    </row>
    <row r="2606" spans="2:13">
      <c r="B2606" s="2"/>
      <c r="C2606" s="1">
        <v>8.1267570259999999</v>
      </c>
      <c r="D2606" s="1">
        <v>0.81128692999999996</v>
      </c>
      <c r="E2606" s="1"/>
      <c r="H2606" s="2">
        <v>7.8395430399999997</v>
      </c>
      <c r="I2606" s="2">
        <v>77.437958699999996</v>
      </c>
      <c r="J2606" s="2">
        <v>25.549917700000002</v>
      </c>
      <c r="L2606" s="2"/>
      <c r="M2606" s="2"/>
    </row>
    <row r="2607" spans="2:13">
      <c r="B2607" s="2"/>
      <c r="C2607" s="1">
        <v>18.294259870000001</v>
      </c>
      <c r="D2607" s="1">
        <v>226.93608219999999</v>
      </c>
      <c r="E2607" s="1"/>
      <c r="H2607" s="2">
        <v>98.999510099999995</v>
      </c>
      <c r="I2607" s="2">
        <v>45.178620299999999</v>
      </c>
      <c r="J2607" s="2">
        <v>28.018004900000001</v>
      </c>
      <c r="L2607" s="2"/>
      <c r="M2607" s="2"/>
    </row>
    <row r="2608" spans="2:13">
      <c r="B2608" s="2"/>
      <c r="C2608" s="1">
        <v>35.091167779999999</v>
      </c>
      <c r="D2608" s="1">
        <v>0.58702875399999999</v>
      </c>
      <c r="E2608" s="1"/>
      <c r="H2608" s="2">
        <v>59.421119099999999</v>
      </c>
      <c r="I2608" s="2">
        <v>24.890217199999999</v>
      </c>
      <c r="J2608" s="2">
        <v>64.413601900000003</v>
      </c>
      <c r="L2608" s="2"/>
      <c r="M2608" s="2"/>
    </row>
    <row r="2609" spans="2:13">
      <c r="B2609" s="2"/>
      <c r="C2609" s="1">
        <v>17.461055959999999</v>
      </c>
      <c r="D2609" s="1">
        <v>2.315135873</v>
      </c>
      <c r="E2609" s="1"/>
      <c r="H2609" s="2">
        <v>33.106901800000003</v>
      </c>
      <c r="I2609" s="2">
        <v>54.910835200000001</v>
      </c>
      <c r="J2609" s="2">
        <v>10.359014200000001</v>
      </c>
      <c r="L2609" s="2"/>
      <c r="M2609" s="2"/>
    </row>
    <row r="2610" spans="2:13">
      <c r="B2610" s="2"/>
      <c r="C2610" s="1">
        <v>63.516704249999997</v>
      </c>
      <c r="D2610" s="1">
        <v>0.33638726400000002</v>
      </c>
      <c r="E2610" s="1"/>
      <c r="H2610" s="2">
        <v>33.784980599999997</v>
      </c>
      <c r="I2610" s="2">
        <v>53.418354999999998</v>
      </c>
      <c r="J2610" s="2">
        <v>27.739910600000002</v>
      </c>
      <c r="L2610" s="2"/>
      <c r="M2610" s="2"/>
    </row>
    <row r="2611" spans="2:13">
      <c r="B2611" s="2"/>
      <c r="C2611" s="1">
        <v>31.426278100000001</v>
      </c>
      <c r="D2611" s="1">
        <v>9.8541680740000004</v>
      </c>
      <c r="E2611" s="1"/>
      <c r="H2611" s="2">
        <v>61.181744899999998</v>
      </c>
      <c r="I2611" s="2">
        <v>8.6594946799999999</v>
      </c>
      <c r="J2611" s="2">
        <v>7.4737854400000003</v>
      </c>
      <c r="L2611" s="2"/>
      <c r="M2611" s="2"/>
    </row>
    <row r="2612" spans="2:13">
      <c r="B2612" s="2"/>
      <c r="C2612" s="1">
        <v>51.936377370000002</v>
      </c>
      <c r="D2612" s="1">
        <v>7.3741364840000001</v>
      </c>
      <c r="E2612" s="1"/>
      <c r="H2612" s="2">
        <v>14.519214399999999</v>
      </c>
      <c r="I2612" s="2">
        <v>23.5065636</v>
      </c>
      <c r="J2612" s="2">
        <v>121.110086</v>
      </c>
      <c r="L2612" s="2"/>
      <c r="M2612" s="2"/>
    </row>
    <row r="2613" spans="2:13">
      <c r="B2613" s="2"/>
      <c r="C2613" s="1">
        <v>14.913142540000001</v>
      </c>
      <c r="D2613" s="1">
        <v>0.58702875399999999</v>
      </c>
      <c r="E2613" s="1"/>
      <c r="H2613" s="2">
        <v>35.920334199999999</v>
      </c>
      <c r="I2613" s="2">
        <v>8.7372280199999999</v>
      </c>
      <c r="J2613" s="2">
        <v>103.068715</v>
      </c>
      <c r="L2613" s="2"/>
      <c r="M2613" s="2"/>
    </row>
    <row r="2614" spans="2:13">
      <c r="B2614" s="2"/>
      <c r="C2614" s="1">
        <v>24.87536326</v>
      </c>
      <c r="D2614" s="1">
        <v>1.5698072300000001</v>
      </c>
      <c r="E2614" s="1"/>
      <c r="H2614" s="2">
        <v>9.4395711700000007</v>
      </c>
      <c r="I2614" s="2">
        <v>105.99719</v>
      </c>
      <c r="J2614" s="2">
        <v>9.0380661100000008</v>
      </c>
      <c r="L2614" s="2"/>
      <c r="M2614" s="2"/>
    </row>
    <row r="2615" spans="2:13">
      <c r="B2615" s="2"/>
      <c r="C2615" s="1">
        <v>5.8867667910000003</v>
      </c>
      <c r="D2615" s="1">
        <v>1.8732153499999999</v>
      </c>
      <c r="E2615" s="1"/>
      <c r="H2615" s="2">
        <v>105.203337</v>
      </c>
      <c r="I2615" s="2">
        <v>117.84375199999999</v>
      </c>
      <c r="J2615" s="2">
        <v>26.1061063</v>
      </c>
      <c r="L2615" s="2"/>
      <c r="M2615" s="2"/>
    </row>
    <row r="2616" spans="2:13">
      <c r="B2616" s="2"/>
      <c r="C2616" s="1">
        <v>118.1760886</v>
      </c>
      <c r="D2616" s="1">
        <v>2.0908776969999998</v>
      </c>
      <c r="E2616" s="1"/>
      <c r="H2616" s="2">
        <v>121.38206</v>
      </c>
      <c r="I2616" s="2">
        <v>9.2036280999999995</v>
      </c>
      <c r="J2616" s="2">
        <v>20.8223138</v>
      </c>
      <c r="L2616" s="2"/>
      <c r="M2616" s="2"/>
    </row>
    <row r="2617" spans="2:13">
      <c r="B2617" s="2"/>
      <c r="C2617" s="1">
        <v>51.507699989999999</v>
      </c>
      <c r="D2617" s="1">
        <v>0.57383709699999996</v>
      </c>
      <c r="E2617" s="1"/>
      <c r="H2617" s="2">
        <v>10.6886638</v>
      </c>
      <c r="I2617" s="2">
        <v>31.8084849</v>
      </c>
      <c r="J2617" s="2">
        <v>27.5661016</v>
      </c>
      <c r="L2617" s="2"/>
      <c r="M2617" s="2"/>
    </row>
    <row r="2618" spans="2:13">
      <c r="B2618" s="2"/>
      <c r="C2618" s="1">
        <v>5.8263896959999997</v>
      </c>
      <c r="D2618" s="1">
        <v>2.3679025020000002</v>
      </c>
      <c r="E2618" s="1"/>
      <c r="H2618" s="2">
        <v>30.608716600000001</v>
      </c>
      <c r="I2618" s="2">
        <v>26.429337400000001</v>
      </c>
      <c r="J2618" s="2">
        <v>6.2918844800000002</v>
      </c>
      <c r="L2618" s="2"/>
      <c r="M2618" s="2"/>
    </row>
    <row r="2619" spans="2:13">
      <c r="B2619" s="2"/>
      <c r="C2619" s="1">
        <v>35.067016950000003</v>
      </c>
      <c r="D2619" s="1">
        <v>0.237449833</v>
      </c>
      <c r="E2619" s="1"/>
      <c r="H2619" s="2">
        <v>25.344683499999999</v>
      </c>
      <c r="I2619" s="2">
        <v>25.9007507</v>
      </c>
      <c r="J2619" s="2">
        <v>34.344651200000001</v>
      </c>
      <c r="L2619" s="2"/>
      <c r="M2619" s="2"/>
    </row>
    <row r="2620" spans="2:13">
      <c r="B2620" s="2"/>
      <c r="C2620" s="1">
        <v>25.334229180000001</v>
      </c>
      <c r="D2620" s="1">
        <v>0.69256201299999998</v>
      </c>
      <c r="E2620" s="1"/>
      <c r="H2620" s="2">
        <v>35.878697699999996</v>
      </c>
      <c r="I2620" s="2">
        <v>15.0180823</v>
      </c>
      <c r="J2620" s="2">
        <v>7.8561651599999998</v>
      </c>
      <c r="L2620" s="2"/>
      <c r="M2620" s="2"/>
    </row>
    <row r="2621" spans="2:13">
      <c r="B2621" s="2"/>
      <c r="C2621" s="1">
        <v>16.036156510000001</v>
      </c>
      <c r="D2621" s="1">
        <v>2.2623692430000002</v>
      </c>
      <c r="E2621" s="1"/>
      <c r="H2621" s="2">
        <v>10.6708196</v>
      </c>
      <c r="I2621" s="2">
        <v>27.828537699999998</v>
      </c>
      <c r="J2621" s="2">
        <v>8.6556863899999996</v>
      </c>
      <c r="L2621" s="2"/>
      <c r="M2621" s="2"/>
    </row>
    <row r="2622" spans="2:13">
      <c r="B2622" s="2"/>
      <c r="C2622" s="1">
        <v>8.4648687599999999</v>
      </c>
      <c r="D2622" s="1">
        <v>1.41810317</v>
      </c>
      <c r="E2622" s="1"/>
      <c r="H2622" s="2">
        <v>43.373253300000002</v>
      </c>
      <c r="I2622" s="2">
        <v>4.33752067</v>
      </c>
      <c r="J2622" s="2">
        <v>20.752790300000001</v>
      </c>
      <c r="L2622" s="2"/>
      <c r="M2622" s="2"/>
    </row>
    <row r="2623" spans="2:13">
      <c r="B2623" s="2"/>
      <c r="C2623" s="1">
        <v>69.65101713</v>
      </c>
      <c r="D2623" s="1">
        <v>0.54085795299999995</v>
      </c>
      <c r="E2623" s="1"/>
      <c r="H2623" s="2">
        <v>5.4900593500000001</v>
      </c>
      <c r="I2623" s="2">
        <v>11.5356285</v>
      </c>
      <c r="J2623" s="2">
        <v>33.614653599999997</v>
      </c>
      <c r="L2623" s="2"/>
      <c r="M2623" s="2"/>
    </row>
    <row r="2624" spans="2:13">
      <c r="B2624" s="2"/>
      <c r="C2624" s="1">
        <v>6.5388394200000004</v>
      </c>
      <c r="D2624" s="1">
        <v>13.69294038</v>
      </c>
      <c r="E2624" s="1"/>
      <c r="H2624" s="2">
        <v>12.4136012</v>
      </c>
      <c r="I2624" s="2">
        <v>29.631951300000001</v>
      </c>
      <c r="J2624" s="2">
        <v>5.94426656</v>
      </c>
      <c r="L2624" s="2"/>
      <c r="M2624" s="2"/>
    </row>
    <row r="2625" spans="2:13">
      <c r="B2625" s="2"/>
      <c r="C2625" s="1">
        <v>14.248994489999999</v>
      </c>
      <c r="D2625" s="1">
        <v>3.891538932</v>
      </c>
      <c r="E2625" s="1"/>
      <c r="H2625" s="2">
        <v>34.730722200000002</v>
      </c>
      <c r="I2625" s="2">
        <v>46.500087200000003</v>
      </c>
      <c r="J2625" s="2">
        <v>95.386359299999995</v>
      </c>
      <c r="L2625" s="2"/>
      <c r="M2625" s="2"/>
    </row>
    <row r="2626" spans="2:13">
      <c r="B2626" s="2"/>
      <c r="C2626" s="1">
        <v>34.064757159999999</v>
      </c>
      <c r="D2626" s="1">
        <v>0.54745378200000006</v>
      </c>
      <c r="E2626" s="1"/>
      <c r="H2626" s="2">
        <v>39.810365400000002</v>
      </c>
      <c r="I2626" s="2">
        <v>8.9082413799999998</v>
      </c>
      <c r="J2626" s="2">
        <v>40.462726699999997</v>
      </c>
      <c r="L2626" s="2"/>
      <c r="M2626" s="2"/>
    </row>
    <row r="2627" spans="2:13">
      <c r="B2627" s="2"/>
      <c r="C2627" s="1">
        <v>18.30633529</v>
      </c>
      <c r="D2627" s="1">
        <v>1.1344825359999999</v>
      </c>
      <c r="E2627" s="1"/>
      <c r="H2627" s="2">
        <v>9.9630004499999991</v>
      </c>
      <c r="I2627" s="2">
        <v>90.279507300000006</v>
      </c>
      <c r="J2627" s="2">
        <v>4.5537948500000001</v>
      </c>
      <c r="L2627" s="2"/>
      <c r="M2627" s="2"/>
    </row>
    <row r="2628" spans="2:13">
      <c r="B2628" s="2"/>
      <c r="C2628" s="1">
        <v>19.82783809</v>
      </c>
      <c r="D2628" s="1">
        <v>1.233419966</v>
      </c>
      <c r="E2628" s="1"/>
      <c r="H2628" s="2">
        <v>105.203337</v>
      </c>
      <c r="I2628" s="2">
        <v>23.164536900000002</v>
      </c>
      <c r="J2628" s="2">
        <v>13.313766599999999</v>
      </c>
      <c r="L2628" s="2"/>
      <c r="M2628" s="2"/>
    </row>
    <row r="2629" spans="2:13">
      <c r="B2629" s="2"/>
      <c r="C2629" s="1">
        <v>91.368658310000001</v>
      </c>
      <c r="D2629" s="1">
        <v>152.46258030000001</v>
      </c>
      <c r="E2629" s="1"/>
      <c r="H2629" s="2">
        <v>48.006791999999997</v>
      </c>
      <c r="I2629" s="2">
        <v>5.73672089</v>
      </c>
      <c r="J2629" s="2">
        <v>17.5199435</v>
      </c>
      <c r="L2629" s="2"/>
      <c r="M2629" s="2"/>
    </row>
    <row r="2630" spans="2:13">
      <c r="B2630" s="2"/>
      <c r="C2630" s="1">
        <v>28.993081159999999</v>
      </c>
      <c r="D2630" s="1">
        <v>3.1330186310000001</v>
      </c>
      <c r="E2630" s="1"/>
      <c r="H2630" s="2">
        <v>5.9480599700000001</v>
      </c>
      <c r="I2630" s="2">
        <v>21.345576600000001</v>
      </c>
      <c r="J2630" s="2">
        <v>31.2856135</v>
      </c>
      <c r="L2630" s="2"/>
      <c r="M2630" s="2"/>
    </row>
    <row r="2631" spans="2:13">
      <c r="B2631" s="2"/>
      <c r="C2631" s="1">
        <v>25.49120963</v>
      </c>
      <c r="D2631" s="1">
        <v>72.864119619999997</v>
      </c>
      <c r="E2631" s="1"/>
      <c r="H2631" s="2">
        <v>23.714915099999999</v>
      </c>
      <c r="I2631" s="2">
        <v>14.7382423</v>
      </c>
      <c r="J2631" s="2">
        <v>39.941299800000003</v>
      </c>
      <c r="L2631" s="2"/>
      <c r="M2631" s="2"/>
    </row>
    <row r="2632" spans="2:13">
      <c r="B2632" s="2"/>
      <c r="C2632" s="1">
        <v>11.713156489999999</v>
      </c>
      <c r="D2632" s="1">
        <v>65.575728909999995</v>
      </c>
      <c r="E2632" s="1"/>
      <c r="H2632" s="2">
        <v>23.2271742</v>
      </c>
      <c r="I2632" s="2">
        <v>26.957924200000001</v>
      </c>
      <c r="J2632" s="2">
        <v>16.998516599999999</v>
      </c>
      <c r="L2632" s="2"/>
      <c r="M2632" s="2"/>
    </row>
    <row r="2633" spans="2:13">
      <c r="B2633" s="2"/>
      <c r="C2633" s="1">
        <v>38.520586799999997</v>
      </c>
      <c r="D2633" s="1">
        <v>0.857457731</v>
      </c>
      <c r="E2633" s="1"/>
      <c r="H2633" s="2">
        <v>36.4318673</v>
      </c>
      <c r="I2633" s="2">
        <v>53.371714900000001</v>
      </c>
      <c r="J2633" s="2">
        <v>22.247547300000001</v>
      </c>
      <c r="L2633" s="2"/>
      <c r="M2633" s="2"/>
    </row>
    <row r="2634" spans="2:13">
      <c r="B2634" s="2"/>
      <c r="C2634" s="1">
        <v>45.409613370000002</v>
      </c>
      <c r="D2634" s="1">
        <v>0.27702480499999999</v>
      </c>
      <c r="E2634" s="1"/>
      <c r="H2634" s="2">
        <v>50.397912099999999</v>
      </c>
      <c r="I2634" s="2">
        <v>19.0602163</v>
      </c>
      <c r="J2634" s="2">
        <v>30.694662999999998</v>
      </c>
      <c r="L2634" s="2"/>
      <c r="M2634" s="2"/>
    </row>
    <row r="2635" spans="2:13">
      <c r="B2635" s="2"/>
      <c r="C2635" s="1">
        <v>99.936168129999999</v>
      </c>
      <c r="D2635" s="1">
        <v>0.89703270300000004</v>
      </c>
      <c r="E2635" s="1"/>
      <c r="H2635" s="2">
        <v>18.8077656</v>
      </c>
      <c r="I2635" s="2">
        <v>19.977469800000001</v>
      </c>
      <c r="J2635" s="2">
        <v>8.4471156300000008</v>
      </c>
      <c r="L2635" s="2"/>
      <c r="M2635" s="2"/>
    </row>
    <row r="2636" spans="2:13">
      <c r="B2636" s="2"/>
      <c r="C2636" s="1">
        <v>4.5826215330000002</v>
      </c>
      <c r="D2636" s="1">
        <v>15.374876690000001</v>
      </c>
      <c r="E2636" s="1"/>
      <c r="H2636" s="2">
        <v>22.186263700000001</v>
      </c>
      <c r="I2636" s="2">
        <v>57.942435699999997</v>
      </c>
      <c r="J2636" s="2">
        <v>15.6428067</v>
      </c>
      <c r="L2636" s="2"/>
      <c r="M2636" s="2"/>
    </row>
    <row r="2637" spans="2:13">
      <c r="B2637" s="2"/>
      <c r="C2637" s="1">
        <v>7.7886452930000001</v>
      </c>
      <c r="D2637" s="1">
        <v>0.79149944400000005</v>
      </c>
      <c r="E2637" s="1"/>
      <c r="H2637" s="2">
        <v>38.686182000000002</v>
      </c>
      <c r="I2637" s="2">
        <v>7.3224811399999998</v>
      </c>
      <c r="J2637" s="2">
        <v>114.852963</v>
      </c>
      <c r="L2637" s="2"/>
      <c r="M2637" s="2"/>
    </row>
    <row r="2638" spans="2:13">
      <c r="B2638" s="2"/>
      <c r="C2638" s="1">
        <v>30.88892195</v>
      </c>
      <c r="D2638" s="1">
        <v>0.29681229100000001</v>
      </c>
      <c r="E2638" s="1"/>
      <c r="H2638" s="2">
        <v>11.884223799999999</v>
      </c>
      <c r="I2638" s="2">
        <v>11.9087485</v>
      </c>
      <c r="J2638" s="2">
        <v>8.3775920500000005</v>
      </c>
      <c r="L2638" s="2"/>
      <c r="M2638" s="2"/>
    </row>
    <row r="2639" spans="2:13">
      <c r="B2639" s="2"/>
      <c r="C2639" s="1">
        <v>15.625592259999999</v>
      </c>
      <c r="D2639" s="1">
        <v>0.56064543899999997</v>
      </c>
      <c r="E2639" s="1"/>
      <c r="H2639" s="2">
        <v>14.483525999999999</v>
      </c>
      <c r="I2639" s="2">
        <v>168.30823899999999</v>
      </c>
      <c r="J2639" s="2">
        <v>10.741394</v>
      </c>
      <c r="L2639" s="2"/>
      <c r="M2639" s="2"/>
    </row>
    <row r="2640" spans="2:13">
      <c r="B2640" s="2"/>
      <c r="C2640" s="1">
        <v>27.266296229999998</v>
      </c>
      <c r="D2640" s="1">
        <v>0.712349499</v>
      </c>
      <c r="E2640" s="1"/>
      <c r="H2640" s="2">
        <v>167.211862</v>
      </c>
      <c r="I2640" s="2">
        <v>12.950375299999999</v>
      </c>
      <c r="J2640" s="2">
        <v>13.383290199999999</v>
      </c>
      <c r="L2640" s="2"/>
      <c r="M2640" s="2"/>
    </row>
    <row r="2641" spans="2:13">
      <c r="B2641" s="2"/>
      <c r="C2641" s="1">
        <v>386.11756209999999</v>
      </c>
      <c r="D2641" s="1">
        <v>0.89703270300000004</v>
      </c>
      <c r="E2641" s="1"/>
      <c r="H2641" s="2">
        <v>12.550406499999999</v>
      </c>
      <c r="I2641" s="2">
        <v>12.359601899999999</v>
      </c>
      <c r="J2641" s="2">
        <v>10.289490600000001</v>
      </c>
      <c r="L2641" s="2"/>
      <c r="M2641" s="2"/>
    </row>
    <row r="2642" spans="2:13">
      <c r="B2642" s="2"/>
      <c r="C2642" s="1">
        <v>14.46031432</v>
      </c>
      <c r="D2642" s="1">
        <v>1.2202283089999999</v>
      </c>
      <c r="E2642" s="1"/>
      <c r="H2642" s="2">
        <v>13.2046931</v>
      </c>
      <c r="I2642" s="2">
        <v>19.2312297</v>
      </c>
      <c r="J2642" s="2">
        <v>16.963754900000001</v>
      </c>
      <c r="L2642" s="2"/>
      <c r="M2642" s="2"/>
    </row>
    <row r="2643" spans="2:13">
      <c r="B2643" s="2"/>
      <c r="C2643" s="1">
        <v>13.94710901</v>
      </c>
      <c r="D2643" s="1">
        <v>0.31659977700000003</v>
      </c>
      <c r="E2643" s="1"/>
      <c r="H2643" s="2">
        <v>17.635997799999998</v>
      </c>
      <c r="I2643" s="2">
        <v>15.329015699999999</v>
      </c>
      <c r="J2643" s="2">
        <v>20.370410499999998</v>
      </c>
      <c r="L2643" s="2"/>
      <c r="M2643" s="2"/>
    </row>
    <row r="2644" spans="2:13">
      <c r="B2644" s="2"/>
      <c r="C2644" s="1">
        <v>17.376528029999999</v>
      </c>
      <c r="D2644" s="1">
        <v>0.13191657400000001</v>
      </c>
      <c r="E2644" s="1"/>
      <c r="H2644" s="2">
        <v>13.573472900000001</v>
      </c>
      <c r="I2644" s="2">
        <v>11.939841899999999</v>
      </c>
      <c r="J2644" s="2">
        <v>3.68475003</v>
      </c>
      <c r="L2644" s="2"/>
      <c r="M2644" s="2"/>
    </row>
    <row r="2645" spans="2:13">
      <c r="B2645" s="2"/>
      <c r="C2645" s="1">
        <v>23.836877220000002</v>
      </c>
      <c r="D2645" s="1">
        <v>0.21766234700000001</v>
      </c>
      <c r="E2645" s="1"/>
      <c r="H2645" s="2">
        <v>18.748284999999999</v>
      </c>
      <c r="I2645" s="2">
        <v>28.092831</v>
      </c>
      <c r="J2645" s="2">
        <v>3.0242759700000001</v>
      </c>
      <c r="L2645" s="2"/>
      <c r="M2645" s="2"/>
    </row>
    <row r="2646" spans="2:13">
      <c r="B2646" s="2"/>
      <c r="C2646" s="1">
        <v>12.002966539999999</v>
      </c>
      <c r="D2646" s="1">
        <v>0.40234555100000002</v>
      </c>
      <c r="E2646" s="1"/>
      <c r="H2646" s="2">
        <v>21.716367000000002</v>
      </c>
      <c r="I2646" s="2">
        <v>4.3686140099999999</v>
      </c>
      <c r="J2646" s="2">
        <v>3.68475003</v>
      </c>
      <c r="L2646" s="2"/>
      <c r="M2646" s="2"/>
    </row>
    <row r="2647" spans="2:13">
      <c r="B2647" s="2"/>
      <c r="C2647" s="1">
        <v>20.661042009999999</v>
      </c>
      <c r="D2647" s="1">
        <v>0.54085795299999995</v>
      </c>
      <c r="E2647" s="1"/>
      <c r="H2647" s="2">
        <v>3.6223685200000002</v>
      </c>
      <c r="I2647" s="2">
        <v>2.3630936999999999</v>
      </c>
      <c r="J2647" s="2">
        <v>15.051856300000001</v>
      </c>
      <c r="L2647" s="2"/>
      <c r="M2647" s="2"/>
    </row>
    <row r="2648" spans="2:13">
      <c r="B2648" s="2"/>
      <c r="C2648" s="1">
        <v>6.2429916529999998</v>
      </c>
      <c r="D2648" s="1">
        <v>224.0339175</v>
      </c>
      <c r="E2648" s="1"/>
      <c r="H2648" s="2">
        <v>3.4022903000000002</v>
      </c>
      <c r="I2648" s="2">
        <v>3.65346723</v>
      </c>
      <c r="J2648" s="2">
        <v>12.166627500000001</v>
      </c>
      <c r="L2648" s="2"/>
      <c r="M2648" s="2"/>
    </row>
    <row r="2649" spans="2:13">
      <c r="B2649" s="2"/>
      <c r="C2649" s="1">
        <v>7.0097807630000002</v>
      </c>
      <c r="D2649" s="1">
        <v>1.701723804</v>
      </c>
      <c r="E2649" s="1"/>
      <c r="H2649" s="2">
        <v>6.45959313</v>
      </c>
      <c r="I2649" s="2">
        <v>15.173549</v>
      </c>
      <c r="J2649" s="2">
        <v>28.7480026</v>
      </c>
      <c r="L2649" s="2"/>
      <c r="M2649" s="2"/>
    </row>
    <row r="2650" spans="2:13">
      <c r="B2650" s="2"/>
      <c r="C2650" s="1">
        <v>4.8784692999999999</v>
      </c>
      <c r="D2650" s="1">
        <v>75.509046929999997</v>
      </c>
      <c r="E2650" s="1"/>
      <c r="H2650" s="2">
        <v>16.6188796</v>
      </c>
      <c r="I2650" s="2">
        <v>6.4207743300000004</v>
      </c>
      <c r="J2650" s="2">
        <v>14.565191199999999</v>
      </c>
      <c r="L2650" s="2"/>
      <c r="M2650" s="2"/>
    </row>
    <row r="2651" spans="2:13">
      <c r="B2651" s="2"/>
      <c r="C2651" s="1">
        <v>7.1184595350000004</v>
      </c>
      <c r="D2651" s="1">
        <v>0.31659977700000003</v>
      </c>
      <c r="E2651" s="1"/>
      <c r="H2651" s="2">
        <v>13.2403815</v>
      </c>
      <c r="I2651" s="2">
        <v>61.284969500000003</v>
      </c>
      <c r="J2651" s="2">
        <v>13.0704341</v>
      </c>
      <c r="L2651" s="2"/>
      <c r="M2651" s="2"/>
    </row>
    <row r="2652" spans="2:13">
      <c r="B2652" s="2"/>
      <c r="C2652" s="1">
        <v>7.649777973</v>
      </c>
      <c r="D2652" s="1">
        <v>0.32979143500000002</v>
      </c>
      <c r="E2652" s="1"/>
      <c r="H2652" s="2">
        <v>51.617264400000003</v>
      </c>
      <c r="I2652" s="2">
        <v>17.3189894</v>
      </c>
      <c r="J2652" s="2">
        <v>4.9709363599999996</v>
      </c>
      <c r="L2652" s="2"/>
      <c r="M2652" s="2"/>
    </row>
    <row r="2653" spans="2:13">
      <c r="B2653" s="2"/>
      <c r="C2653" s="1">
        <v>54.26089554</v>
      </c>
      <c r="D2653" s="1">
        <v>2.1436443270000001</v>
      </c>
      <c r="E2653" s="1"/>
      <c r="H2653" s="2">
        <v>28.984896200000001</v>
      </c>
      <c r="I2653" s="2">
        <v>8.5040279900000009</v>
      </c>
      <c r="J2653" s="2">
        <v>2.7809434199999998</v>
      </c>
      <c r="L2653" s="2"/>
      <c r="M2653" s="2"/>
    </row>
    <row r="2654" spans="2:13">
      <c r="B2654" s="2"/>
      <c r="C2654" s="1">
        <v>28.67308255</v>
      </c>
      <c r="D2654" s="1">
        <v>5.4679419899999999</v>
      </c>
      <c r="E2654" s="1"/>
      <c r="H2654" s="2">
        <v>10.6886638</v>
      </c>
      <c r="I2654" s="2">
        <v>3.8555739299999998</v>
      </c>
      <c r="J2654" s="2">
        <v>14.9128091</v>
      </c>
      <c r="L2654" s="2"/>
      <c r="M2654" s="2"/>
    </row>
    <row r="2655" spans="2:13">
      <c r="B2655" s="2"/>
      <c r="C2655" s="1">
        <v>12.01504196</v>
      </c>
      <c r="D2655" s="1">
        <v>0.33638726400000002</v>
      </c>
      <c r="E2655" s="1"/>
      <c r="H2655" s="2">
        <v>7.1079316600000002</v>
      </c>
      <c r="I2655" s="2">
        <v>3.2026138300000002</v>
      </c>
      <c r="J2655" s="2">
        <v>52.664116</v>
      </c>
      <c r="L2655" s="2"/>
      <c r="M2655" s="2"/>
    </row>
    <row r="2656" spans="2:13">
      <c r="B2656" s="2"/>
      <c r="C2656" s="1">
        <v>6.1886522670000002</v>
      </c>
      <c r="D2656" s="1">
        <v>5.3690045599999996</v>
      </c>
      <c r="E2656" s="1"/>
      <c r="H2656" s="2">
        <v>5.4722151700000001</v>
      </c>
      <c r="I2656" s="2">
        <v>10.136428199999999</v>
      </c>
      <c r="J2656" s="2">
        <v>10.428537800000001</v>
      </c>
      <c r="L2656" s="2"/>
      <c r="M2656" s="2"/>
    </row>
    <row r="2657" spans="2:13">
      <c r="B2657" s="2"/>
      <c r="C2657" s="1">
        <v>8.1327947359999992</v>
      </c>
      <c r="D2657" s="1">
        <v>8.5745772999999997E-2</v>
      </c>
      <c r="E2657" s="1"/>
      <c r="H2657" s="2">
        <v>14.5013702</v>
      </c>
      <c r="I2657" s="2">
        <v>40.312512900000002</v>
      </c>
      <c r="J2657" s="2">
        <v>56.870292900000003</v>
      </c>
      <c r="L2657" s="2"/>
      <c r="M2657" s="2"/>
    </row>
    <row r="2658" spans="2:13">
      <c r="B2658" s="2"/>
      <c r="C2658" s="1">
        <v>24.174988949999999</v>
      </c>
      <c r="D2658" s="1">
        <v>3.119826974</v>
      </c>
      <c r="E2658" s="1"/>
      <c r="H2658" s="2">
        <v>61.294758000000002</v>
      </c>
      <c r="I2658" s="2">
        <v>9.1880814300000004</v>
      </c>
      <c r="J2658" s="2">
        <v>4.0323679600000002</v>
      </c>
      <c r="L2658" s="2"/>
      <c r="M2658" s="2"/>
    </row>
    <row r="2659" spans="2:13">
      <c r="B2659" s="2"/>
      <c r="C2659" s="1">
        <v>77.928716890000004</v>
      </c>
      <c r="D2659" s="1">
        <v>2.1634318129999999</v>
      </c>
      <c r="E2659" s="1"/>
      <c r="H2659" s="2">
        <v>14.0076812</v>
      </c>
      <c r="I2659" s="2">
        <v>47.977020799999998</v>
      </c>
      <c r="J2659" s="2">
        <v>26.975151199999999</v>
      </c>
      <c r="L2659" s="2"/>
      <c r="M2659" s="2"/>
    </row>
    <row r="2660" spans="2:13">
      <c r="B2660" s="2"/>
      <c r="C2660" s="1">
        <v>7.7343059070000004</v>
      </c>
      <c r="D2660" s="1">
        <v>1.2202283089999999</v>
      </c>
      <c r="E2660" s="1"/>
      <c r="H2660" s="2">
        <v>79.668315199999995</v>
      </c>
      <c r="I2660" s="2">
        <v>5.3169608300000002</v>
      </c>
      <c r="J2660" s="2">
        <v>51.238882500000003</v>
      </c>
      <c r="L2660" s="2"/>
      <c r="M2660" s="2"/>
    </row>
    <row r="2661" spans="2:13">
      <c r="B2661" s="2"/>
      <c r="C2661" s="1">
        <v>90.281870589999997</v>
      </c>
      <c r="D2661" s="1">
        <v>3.3902559509999999</v>
      </c>
      <c r="E2661" s="1"/>
      <c r="H2661" s="2">
        <v>5.72203369</v>
      </c>
      <c r="I2661" s="2">
        <v>26.802457499999999</v>
      </c>
      <c r="J2661" s="2">
        <v>19.2580332</v>
      </c>
      <c r="L2661" s="2"/>
      <c r="M2661" s="2"/>
    </row>
    <row r="2662" spans="2:13">
      <c r="B2662" s="2"/>
      <c r="C2662" s="1">
        <v>5.7478994720000003</v>
      </c>
      <c r="D2662" s="1">
        <v>1.6357655170000001</v>
      </c>
      <c r="E2662" s="1"/>
      <c r="H2662" s="2">
        <v>41.368757100000003</v>
      </c>
      <c r="I2662" s="2">
        <v>53.884754999999998</v>
      </c>
      <c r="J2662" s="2">
        <v>40.7060593</v>
      </c>
      <c r="L2662" s="2"/>
      <c r="M2662" s="2"/>
    </row>
    <row r="2663" spans="2:13">
      <c r="B2663" s="2"/>
      <c r="C2663" s="1">
        <v>38.061720870000002</v>
      </c>
      <c r="D2663" s="1">
        <v>0.63979538400000002</v>
      </c>
      <c r="E2663" s="1"/>
      <c r="H2663" s="2">
        <v>66.814557600000001</v>
      </c>
      <c r="I2663" s="2">
        <v>23.724216999999999</v>
      </c>
      <c r="J2663" s="2">
        <v>21.795643999999999</v>
      </c>
      <c r="L2663" s="2"/>
      <c r="M2663" s="2"/>
    </row>
    <row r="2664" spans="2:13">
      <c r="B2664" s="2"/>
      <c r="C2664" s="1">
        <v>66.203484990000007</v>
      </c>
      <c r="D2664" s="1">
        <v>2.8362063399999999</v>
      </c>
      <c r="E2664" s="1"/>
      <c r="H2664" s="2">
        <v>22.251692299999998</v>
      </c>
      <c r="I2664" s="2">
        <v>51.226274600000004</v>
      </c>
      <c r="J2664" s="2">
        <v>10.011396299999999</v>
      </c>
      <c r="L2664" s="2"/>
      <c r="M2664" s="2"/>
    </row>
    <row r="2665" spans="2:13">
      <c r="B2665" s="2"/>
      <c r="C2665" s="1">
        <v>20.902550389999998</v>
      </c>
      <c r="D2665" s="1">
        <v>1.912790322</v>
      </c>
      <c r="E2665" s="1"/>
      <c r="H2665" s="2">
        <v>49.767417799999997</v>
      </c>
      <c r="I2665" s="2">
        <v>12.950375299999999</v>
      </c>
      <c r="J2665" s="2">
        <v>34.414174799999998</v>
      </c>
      <c r="L2665" s="2"/>
      <c r="M2665" s="2"/>
    </row>
    <row r="2666" spans="2:13">
      <c r="B2666" s="2"/>
      <c r="C2666" s="1">
        <v>87.419996269999999</v>
      </c>
      <c r="D2666" s="1">
        <v>0.857457731</v>
      </c>
      <c r="E2666" s="1"/>
      <c r="H2666" s="2">
        <v>22.7037449</v>
      </c>
      <c r="I2666" s="2">
        <v>10.291894900000001</v>
      </c>
      <c r="J2666" s="2">
        <v>33.023703099999999</v>
      </c>
      <c r="L2666" s="2"/>
      <c r="M2666" s="2"/>
    </row>
    <row r="2667" spans="2:13">
      <c r="B2667" s="2"/>
      <c r="C2667" s="1">
        <v>14.90106712</v>
      </c>
      <c r="D2667" s="1">
        <v>2.4470524469999999</v>
      </c>
      <c r="E2667" s="1"/>
      <c r="H2667" s="2">
        <v>11.426223200000001</v>
      </c>
      <c r="I2667" s="2">
        <v>42.846620000000001</v>
      </c>
      <c r="J2667" s="2">
        <v>10.880441100000001</v>
      </c>
      <c r="L2667" s="2"/>
      <c r="M2667" s="2"/>
    </row>
    <row r="2668" spans="2:13">
      <c r="B2668" s="2"/>
      <c r="C2668" s="1">
        <v>10.873914859999999</v>
      </c>
      <c r="D2668" s="1">
        <v>2.2953483870000002</v>
      </c>
      <c r="E2668" s="1"/>
      <c r="H2668" s="2">
        <v>36.770906699999998</v>
      </c>
      <c r="I2668" s="2">
        <v>30.922324799999998</v>
      </c>
      <c r="J2668" s="2">
        <v>45.885566400000002</v>
      </c>
      <c r="L2668" s="2"/>
      <c r="M2668" s="2"/>
    </row>
    <row r="2669" spans="2:13">
      <c r="B2669" s="2"/>
      <c r="C2669" s="1">
        <v>70.200448699999995</v>
      </c>
      <c r="D2669" s="1">
        <v>0.41553720799999999</v>
      </c>
      <c r="E2669" s="1"/>
      <c r="H2669" s="2">
        <v>33.118797899999997</v>
      </c>
      <c r="I2669" s="2">
        <v>12.2974152</v>
      </c>
      <c r="J2669" s="2">
        <v>25.688964800000001</v>
      </c>
      <c r="L2669" s="2"/>
      <c r="M2669" s="2"/>
    </row>
    <row r="2670" spans="2:13">
      <c r="B2670" s="2"/>
      <c r="C2670" s="1">
        <v>39.420205520000003</v>
      </c>
      <c r="D2670" s="1">
        <v>0.44192052300000001</v>
      </c>
      <c r="E2670" s="1"/>
      <c r="H2670" s="2">
        <v>17.0411918</v>
      </c>
      <c r="I2670" s="2">
        <v>52.656568200000002</v>
      </c>
      <c r="J2670" s="2">
        <v>11.9928185</v>
      </c>
      <c r="L2670" s="2"/>
      <c r="M2670" s="2"/>
    </row>
    <row r="2671" spans="2:13">
      <c r="B2671" s="2"/>
      <c r="C2671" s="1">
        <v>18.052751489999999</v>
      </c>
      <c r="D2671" s="1">
        <v>1.72151129</v>
      </c>
      <c r="E2671" s="1"/>
      <c r="H2671" s="2">
        <v>60.711848099999997</v>
      </c>
      <c r="I2671" s="2">
        <v>22.7292302</v>
      </c>
      <c r="J2671" s="2">
        <v>14.356620400000001</v>
      </c>
      <c r="L2671" s="2"/>
      <c r="M2671" s="2"/>
    </row>
    <row r="2672" spans="2:13">
      <c r="B2672" s="2"/>
      <c r="C2672" s="1">
        <v>18.20369423</v>
      </c>
      <c r="D2672" s="1">
        <v>0.224258176</v>
      </c>
      <c r="E2672" s="1"/>
      <c r="H2672" s="2">
        <v>28.0867392</v>
      </c>
      <c r="I2672" s="2">
        <v>14.2252022</v>
      </c>
      <c r="J2672" s="2">
        <v>20.544219500000001</v>
      </c>
      <c r="L2672" s="2"/>
      <c r="M2672" s="2"/>
    </row>
    <row r="2673" spans="2:13">
      <c r="B2673" s="2"/>
      <c r="C2673" s="1">
        <v>32.156840950000003</v>
      </c>
      <c r="D2673" s="1">
        <v>0.32979143500000002</v>
      </c>
      <c r="E2673" s="1"/>
      <c r="H2673" s="2">
        <v>14.578695</v>
      </c>
      <c r="I2673" s="2">
        <v>8.2863746200000001</v>
      </c>
      <c r="J2673" s="2">
        <v>5.3533160799999999</v>
      </c>
      <c r="L2673" s="2"/>
      <c r="M2673" s="2"/>
    </row>
    <row r="2674" spans="2:13">
      <c r="B2674" s="2"/>
      <c r="C2674" s="1">
        <v>10.608255639999999</v>
      </c>
      <c r="D2674" s="1">
        <v>1.127886707</v>
      </c>
      <c r="E2674" s="1"/>
      <c r="H2674" s="2">
        <v>16.975763199999999</v>
      </c>
      <c r="I2674" s="2">
        <v>25.170057199999999</v>
      </c>
      <c r="J2674" s="2">
        <v>2.95475238</v>
      </c>
      <c r="L2674" s="2"/>
      <c r="M2674" s="2"/>
    </row>
    <row r="2675" spans="2:13">
      <c r="B2675" s="2"/>
      <c r="C2675" s="1">
        <v>13.651261249999999</v>
      </c>
      <c r="D2675" s="1">
        <v>6.2330581189999998</v>
      </c>
      <c r="E2675" s="1"/>
      <c r="H2675" s="2">
        <v>34.290565700000002</v>
      </c>
      <c r="I2675" s="2">
        <v>6.9027210700000001</v>
      </c>
      <c r="J2675" s="2">
        <v>23.950875199999999</v>
      </c>
      <c r="L2675" s="2"/>
      <c r="M2675" s="2"/>
    </row>
    <row r="2676" spans="2:13">
      <c r="B2676" s="2"/>
      <c r="C2676" s="1">
        <v>53.240522630000001</v>
      </c>
      <c r="D2676" s="1">
        <v>0.74532864300000001</v>
      </c>
      <c r="E2676" s="1"/>
      <c r="H2676" s="2">
        <v>8.4343490400000007</v>
      </c>
      <c r="I2676" s="2">
        <v>4.5240806999999998</v>
      </c>
      <c r="J2676" s="2">
        <v>51.760309399999997</v>
      </c>
      <c r="L2676" s="2"/>
      <c r="M2676" s="2"/>
    </row>
    <row r="2677" spans="2:13">
      <c r="B2677" s="2"/>
      <c r="C2677" s="1">
        <v>8.9961871989999995</v>
      </c>
      <c r="D2677" s="1">
        <v>543.97778019999998</v>
      </c>
      <c r="E2677" s="1"/>
      <c r="H2677" s="2">
        <v>6.0432289299999997</v>
      </c>
      <c r="I2677" s="2">
        <v>23.4599236</v>
      </c>
      <c r="J2677" s="2">
        <v>11.3671062</v>
      </c>
      <c r="L2677" s="2"/>
      <c r="M2677" s="2"/>
    </row>
    <row r="2678" spans="2:13">
      <c r="B2678" s="2"/>
      <c r="C2678" s="1">
        <v>9.7207123420000006</v>
      </c>
      <c r="D2678" s="1">
        <v>245.86611049999999</v>
      </c>
      <c r="E2678" s="1"/>
      <c r="H2678" s="2">
        <v>30.7038856</v>
      </c>
      <c r="I2678" s="2">
        <v>50.713234499999999</v>
      </c>
      <c r="J2678" s="2">
        <v>143.77477500000001</v>
      </c>
      <c r="L2678" s="2"/>
      <c r="M2678" s="2"/>
    </row>
    <row r="2679" spans="2:13">
      <c r="B2679" s="2"/>
      <c r="C2679" s="1">
        <v>34.046644039999997</v>
      </c>
      <c r="D2679" s="1">
        <v>1.3191657400000001</v>
      </c>
      <c r="E2679" s="1"/>
      <c r="H2679" s="2">
        <v>54.329579799999998</v>
      </c>
      <c r="I2679" s="2">
        <v>12.530615299999999</v>
      </c>
      <c r="J2679" s="2">
        <v>23.8465898</v>
      </c>
      <c r="L2679" s="2"/>
      <c r="M2679" s="2"/>
    </row>
    <row r="2680" spans="2:13">
      <c r="B2680" s="2"/>
      <c r="C2680" s="1">
        <v>145.52087510000001</v>
      </c>
      <c r="D2680" s="1">
        <v>0.58043292499999999</v>
      </c>
      <c r="E2680" s="1"/>
      <c r="H2680" s="2">
        <v>14.4418896</v>
      </c>
      <c r="I2680" s="2">
        <v>185.223015</v>
      </c>
      <c r="J2680" s="2">
        <v>35.109410699999998</v>
      </c>
      <c r="L2680" s="2"/>
      <c r="M2680" s="2"/>
    </row>
    <row r="2681" spans="2:13">
      <c r="B2681" s="2"/>
      <c r="C2681" s="1">
        <v>28.40742333</v>
      </c>
      <c r="D2681" s="1">
        <v>0.29681229100000001</v>
      </c>
      <c r="E2681" s="1"/>
      <c r="H2681" s="2">
        <v>148.30297899999999</v>
      </c>
      <c r="I2681" s="2">
        <v>15.779869100000001</v>
      </c>
      <c r="J2681" s="2">
        <v>11.9928185</v>
      </c>
      <c r="L2681" s="2"/>
      <c r="M2681" s="2"/>
    </row>
    <row r="2682" spans="2:13">
      <c r="B2682" s="2"/>
      <c r="C2682" s="1">
        <v>103.60105780000001</v>
      </c>
      <c r="D2682" s="1">
        <v>0.65298704100000005</v>
      </c>
      <c r="E2682" s="1"/>
      <c r="H2682" s="2">
        <v>24.511955100000002</v>
      </c>
      <c r="I2682" s="2">
        <v>21.578776699999999</v>
      </c>
      <c r="J2682" s="2">
        <v>4.7971273999999999</v>
      </c>
      <c r="L2682" s="2"/>
      <c r="M2682" s="2"/>
    </row>
    <row r="2683" spans="2:13">
      <c r="B2683" s="2"/>
      <c r="C2683" s="1">
        <v>23.221030849999998</v>
      </c>
      <c r="D2683" s="1">
        <v>0.46830383799999997</v>
      </c>
      <c r="E2683" s="1"/>
      <c r="H2683" s="2">
        <v>36.580568800000002</v>
      </c>
      <c r="I2683" s="2">
        <v>7.5245878299999998</v>
      </c>
      <c r="J2683" s="2">
        <v>22.108500200000002</v>
      </c>
      <c r="L2683" s="2"/>
      <c r="M2683" s="2"/>
    </row>
    <row r="2684" spans="2:13">
      <c r="B2684" s="2"/>
      <c r="C2684" s="1">
        <v>14.895029409999999</v>
      </c>
      <c r="D2684" s="1">
        <v>1.2532074529999999</v>
      </c>
      <c r="E2684" s="1"/>
      <c r="H2684" s="2">
        <v>17.588413299999999</v>
      </c>
      <c r="I2684" s="2">
        <v>5.1304008000000003</v>
      </c>
      <c r="J2684" s="2">
        <v>14.6694765</v>
      </c>
      <c r="L2684" s="2"/>
      <c r="M2684" s="2"/>
    </row>
    <row r="2685" spans="2:13">
      <c r="B2685" s="2"/>
      <c r="C2685" s="1">
        <v>9.1169413890000008</v>
      </c>
      <c r="D2685" s="1">
        <v>2.4008816460000002</v>
      </c>
      <c r="E2685" s="1"/>
      <c r="H2685" s="2">
        <v>7.8395430399999997</v>
      </c>
      <c r="I2685" s="2">
        <v>19.713176399999998</v>
      </c>
      <c r="J2685" s="2">
        <v>37.890354100000003</v>
      </c>
      <c r="L2685" s="2"/>
      <c r="M2685" s="2"/>
    </row>
    <row r="2686" spans="2:13">
      <c r="B2686" s="2"/>
      <c r="C2686" s="1">
        <v>4.9569595230000001</v>
      </c>
      <c r="D2686" s="1">
        <v>0.27702480499999999</v>
      </c>
      <c r="E2686" s="1"/>
      <c r="H2686" s="2">
        <v>18.623375800000002</v>
      </c>
      <c r="I2686" s="2">
        <v>22.5582168</v>
      </c>
      <c r="J2686" s="2">
        <v>40.949391800000001</v>
      </c>
      <c r="L2686" s="2"/>
      <c r="M2686" s="2"/>
    </row>
    <row r="2687" spans="2:13">
      <c r="B2687" s="2"/>
      <c r="C2687" s="1">
        <v>19.278406530000002</v>
      </c>
      <c r="D2687" s="1">
        <v>0.64639121200000005</v>
      </c>
      <c r="E2687" s="1"/>
      <c r="H2687" s="2">
        <v>16.987659300000001</v>
      </c>
      <c r="I2687" s="2">
        <v>44.479020200000001</v>
      </c>
      <c r="J2687" s="2">
        <v>6.5352170300000001</v>
      </c>
      <c r="L2687" s="2"/>
      <c r="M2687" s="2"/>
    </row>
    <row r="2688" spans="2:13">
      <c r="B2688" s="2"/>
      <c r="C2688" s="1">
        <v>10.058824080000001</v>
      </c>
      <c r="D2688" s="1">
        <v>0.481495495</v>
      </c>
      <c r="E2688" s="1"/>
      <c r="H2688" s="2">
        <v>43.492214500000003</v>
      </c>
      <c r="I2688" s="2">
        <v>31.062244799999998</v>
      </c>
      <c r="J2688" s="2">
        <v>10.741394</v>
      </c>
      <c r="L2688" s="2"/>
      <c r="M2688" s="2"/>
    </row>
    <row r="2689" spans="2:13">
      <c r="B2689" s="2"/>
      <c r="C2689" s="1">
        <v>27.127428909999999</v>
      </c>
      <c r="D2689" s="1">
        <v>24.602441039999999</v>
      </c>
      <c r="E2689" s="1"/>
      <c r="H2689" s="2">
        <v>43.325668800000003</v>
      </c>
      <c r="I2689" s="2">
        <v>9.1414414199999996</v>
      </c>
      <c r="J2689" s="2">
        <v>17.172325600000001</v>
      </c>
      <c r="L2689" s="2"/>
      <c r="M2689" s="2"/>
    </row>
    <row r="2690" spans="2:13">
      <c r="B2690" s="2"/>
      <c r="C2690" s="1">
        <v>49.62393462</v>
      </c>
      <c r="D2690" s="1">
        <v>0.75852030000000004</v>
      </c>
      <c r="E2690" s="1"/>
      <c r="H2690" s="2">
        <v>8.2083227599999997</v>
      </c>
      <c r="I2690" s="2">
        <v>14.9092556</v>
      </c>
      <c r="J2690" s="2">
        <v>172.974681</v>
      </c>
      <c r="L2690" s="2"/>
      <c r="M2690" s="2"/>
    </row>
    <row r="2691" spans="2:13">
      <c r="B2691" s="2"/>
      <c r="C2691" s="1">
        <v>11.17580034</v>
      </c>
      <c r="D2691" s="1">
        <v>1.72151129</v>
      </c>
      <c r="E2691" s="1"/>
      <c r="H2691" s="2">
        <v>13.6567457</v>
      </c>
      <c r="I2691" s="2">
        <v>12.965922000000001</v>
      </c>
      <c r="J2691" s="2">
        <v>19.362318599999998</v>
      </c>
      <c r="L2691" s="2"/>
      <c r="M2691" s="2"/>
    </row>
    <row r="2692" spans="2:13">
      <c r="B2692" s="2"/>
      <c r="C2692" s="1">
        <v>14.122202590000001</v>
      </c>
      <c r="D2692" s="1">
        <v>242.08010490000001</v>
      </c>
      <c r="E2692" s="1"/>
      <c r="H2692" s="2">
        <v>21.520081000000001</v>
      </c>
      <c r="I2692" s="2">
        <v>158.57602499999999</v>
      </c>
      <c r="J2692" s="2">
        <v>23.151354000000001</v>
      </c>
      <c r="L2692" s="2"/>
      <c r="M2692" s="2"/>
    </row>
    <row r="2693" spans="2:13">
      <c r="B2693" s="2"/>
      <c r="C2693" s="1">
        <v>6.7199707059999998</v>
      </c>
      <c r="D2693" s="1">
        <v>1.3257615679999999</v>
      </c>
      <c r="E2693" s="1"/>
      <c r="H2693" s="2">
        <v>137.834394</v>
      </c>
      <c r="I2693" s="2">
        <v>17.085789299999998</v>
      </c>
      <c r="J2693" s="2">
        <v>16.129471800000001</v>
      </c>
      <c r="L2693" s="2"/>
      <c r="M2693" s="2"/>
    </row>
    <row r="2694" spans="2:13">
      <c r="B2694" s="2"/>
      <c r="C2694" s="1">
        <v>109.831974</v>
      </c>
      <c r="D2694" s="1">
        <v>0.75852030000000004</v>
      </c>
      <c r="E2694" s="1"/>
      <c r="H2694" s="2">
        <v>30.5194957</v>
      </c>
      <c r="I2694" s="2">
        <v>29.118911199999999</v>
      </c>
      <c r="J2694" s="2">
        <v>17.937085</v>
      </c>
      <c r="L2694" s="2"/>
      <c r="M2694" s="2"/>
    </row>
    <row r="2695" spans="2:13">
      <c r="B2695" s="2"/>
      <c r="C2695" s="1">
        <v>7.4384581399999998</v>
      </c>
      <c r="D2695" s="1">
        <v>0.98277847600000001</v>
      </c>
      <c r="E2695" s="1"/>
      <c r="H2695" s="2">
        <v>25.540969499999999</v>
      </c>
      <c r="I2695" s="2">
        <v>22.6514968</v>
      </c>
      <c r="J2695" s="2">
        <v>10.463299599999999</v>
      </c>
      <c r="L2695" s="2"/>
      <c r="M2695" s="2"/>
    </row>
    <row r="2696" spans="2:13">
      <c r="B2696" s="2"/>
      <c r="C2696" s="1">
        <v>38.846623110000003</v>
      </c>
      <c r="D2696" s="1">
        <v>1.2202283089999999</v>
      </c>
      <c r="E2696" s="1"/>
      <c r="H2696" s="2">
        <v>13.430719399999999</v>
      </c>
      <c r="I2696" s="2">
        <v>19.9619231</v>
      </c>
      <c r="J2696" s="2">
        <v>2.5028490799999998</v>
      </c>
      <c r="L2696" s="2"/>
      <c r="M2696" s="2"/>
    </row>
    <row r="2697" spans="2:13">
      <c r="B2697" s="2"/>
      <c r="C2697" s="1">
        <v>35.411166389999998</v>
      </c>
      <c r="D2697" s="1">
        <v>0.12532074500000001</v>
      </c>
      <c r="E2697" s="1"/>
      <c r="H2697" s="2">
        <v>24.089642900000001</v>
      </c>
      <c r="I2697" s="2">
        <v>10.012054900000001</v>
      </c>
      <c r="J2697" s="2">
        <v>9.0728279000000001</v>
      </c>
      <c r="L2697" s="2"/>
      <c r="M2697" s="2"/>
    </row>
    <row r="2698" spans="2:13">
      <c r="B2698" s="2"/>
      <c r="C2698" s="1">
        <v>41.817176199999999</v>
      </c>
      <c r="D2698" s="1">
        <v>0.857457731</v>
      </c>
      <c r="E2698" s="1"/>
      <c r="H2698" s="2">
        <v>13.502096099999999</v>
      </c>
      <c r="I2698" s="2">
        <v>6.3430409799999996</v>
      </c>
      <c r="J2698" s="2">
        <v>1.21666275</v>
      </c>
      <c r="L2698" s="2"/>
      <c r="M2698" s="2"/>
    </row>
    <row r="2699" spans="2:13">
      <c r="B2699" s="2"/>
      <c r="C2699" s="1">
        <v>10.614293350000001</v>
      </c>
      <c r="D2699" s="1">
        <v>7.4796697429999996</v>
      </c>
      <c r="E2699" s="1"/>
      <c r="H2699" s="2">
        <v>4.75249992</v>
      </c>
      <c r="I2699" s="2">
        <v>8.9082413799999998</v>
      </c>
      <c r="J2699" s="2">
        <v>16.755184100000001</v>
      </c>
      <c r="L2699" s="2"/>
      <c r="M2699" s="2"/>
    </row>
    <row r="2700" spans="2:13">
      <c r="B2700" s="2"/>
      <c r="C2700" s="1">
        <v>10.63240648</v>
      </c>
      <c r="D2700" s="1">
        <v>0.90362853200000004</v>
      </c>
      <c r="E2700" s="1"/>
      <c r="H2700" s="2">
        <v>10.087909700000001</v>
      </c>
      <c r="I2700" s="2">
        <v>2.4408270500000002</v>
      </c>
      <c r="J2700" s="2">
        <v>55.9664863</v>
      </c>
      <c r="L2700" s="2"/>
      <c r="M2700" s="2"/>
    </row>
    <row r="2701" spans="2:13">
      <c r="B2701" s="2"/>
      <c r="C2701" s="1">
        <v>8.6822263030000002</v>
      </c>
      <c r="D2701" s="1">
        <v>1.6423613459999999</v>
      </c>
      <c r="E2701" s="1"/>
      <c r="H2701" s="2">
        <v>1.6178723100000001</v>
      </c>
      <c r="I2701" s="2">
        <v>22.6048568</v>
      </c>
      <c r="J2701" s="2">
        <v>34.587983800000003</v>
      </c>
      <c r="L2701" s="2"/>
      <c r="M2701" s="2"/>
    </row>
    <row r="2702" spans="2:13">
      <c r="B2702" s="2"/>
      <c r="C2702" s="1">
        <v>3.7614930370000002</v>
      </c>
      <c r="D2702" s="1">
        <v>0.88384104500000005</v>
      </c>
      <c r="E2702" s="1"/>
      <c r="H2702" s="2">
        <v>22.227900099999999</v>
      </c>
      <c r="I2702" s="2">
        <v>59.652569300000003</v>
      </c>
      <c r="J2702" s="2">
        <v>48.596986200000003</v>
      </c>
      <c r="L2702" s="2"/>
      <c r="M2702" s="2"/>
    </row>
    <row r="2703" spans="2:13">
      <c r="B2703" s="2"/>
      <c r="C2703" s="1">
        <v>32.923630060000001</v>
      </c>
      <c r="D2703" s="1">
        <v>0.95639516099999999</v>
      </c>
      <c r="E2703" s="1"/>
      <c r="H2703" s="2">
        <v>80.709225700000005</v>
      </c>
      <c r="I2703" s="2">
        <v>24.874670500000001</v>
      </c>
      <c r="J2703" s="2">
        <v>17.971846800000002</v>
      </c>
      <c r="L2703" s="2"/>
      <c r="M2703" s="2"/>
    </row>
    <row r="2704" spans="2:13">
      <c r="B2704" s="2"/>
      <c r="C2704" s="1">
        <v>120.6636249</v>
      </c>
      <c r="D2704" s="1">
        <v>34.252138430000002</v>
      </c>
      <c r="E2704" s="1"/>
      <c r="H2704" s="2">
        <v>34.861579499999998</v>
      </c>
      <c r="I2704" s="2">
        <v>47.448433999999999</v>
      </c>
      <c r="J2704" s="2">
        <v>17.832799699999999</v>
      </c>
      <c r="L2704" s="2"/>
      <c r="M2704" s="2"/>
    </row>
    <row r="2705" spans="2:13">
      <c r="B2705" s="2"/>
      <c r="C2705" s="1">
        <v>37.663232039999997</v>
      </c>
      <c r="D2705" s="1">
        <v>1.385124027</v>
      </c>
      <c r="E2705" s="1"/>
      <c r="H2705" s="2">
        <v>53.449266899999998</v>
      </c>
      <c r="I2705" s="2">
        <v>19.884189800000001</v>
      </c>
      <c r="J2705" s="2">
        <v>166.26565500000001</v>
      </c>
      <c r="L2705" s="2"/>
      <c r="M2705" s="2"/>
    </row>
    <row r="2706" spans="2:13">
      <c r="B2706" s="2"/>
      <c r="C2706" s="1">
        <v>34.740980630000003</v>
      </c>
      <c r="D2706" s="1">
        <v>0.82447858699999998</v>
      </c>
      <c r="E2706" s="1"/>
      <c r="H2706" s="2">
        <v>26.474814899999998</v>
      </c>
      <c r="I2706" s="2">
        <v>42.147019899999997</v>
      </c>
      <c r="J2706" s="2">
        <v>11.2975826</v>
      </c>
      <c r="L2706" s="2"/>
      <c r="M2706" s="2"/>
    </row>
    <row r="2707" spans="2:13">
      <c r="B2707" s="2"/>
      <c r="C2707" s="1">
        <v>10.15542743</v>
      </c>
      <c r="D2707" s="1">
        <v>1.576403059</v>
      </c>
      <c r="E2707" s="1"/>
      <c r="H2707" s="2">
        <v>25.511229199999999</v>
      </c>
      <c r="I2707" s="2">
        <v>139.049408</v>
      </c>
      <c r="J2707" s="2">
        <v>16.094709999999999</v>
      </c>
      <c r="L2707" s="2"/>
      <c r="M2707" s="2"/>
    </row>
    <row r="2708" spans="2:13">
      <c r="B2708" s="2"/>
      <c r="C2708" s="1">
        <v>24.265554600000002</v>
      </c>
      <c r="D2708" s="1">
        <v>5.9362458E-2</v>
      </c>
      <c r="E2708" s="1"/>
      <c r="H2708" s="2">
        <v>161.924037</v>
      </c>
      <c r="I2708" s="2">
        <v>13.230215400000001</v>
      </c>
      <c r="J2708" s="2">
        <v>22.838497799999999</v>
      </c>
      <c r="L2708" s="2"/>
      <c r="M2708" s="2"/>
    </row>
    <row r="2709" spans="2:13">
      <c r="B2709" s="2"/>
      <c r="C2709" s="1">
        <v>115.0183665</v>
      </c>
      <c r="D2709" s="1">
        <v>5.5207086199999997</v>
      </c>
      <c r="E2709" s="1"/>
      <c r="H2709" s="2">
        <v>13.704330199999999</v>
      </c>
      <c r="I2709" s="2">
        <v>14.9714423</v>
      </c>
      <c r="J2709" s="2">
        <v>0.59095047999999994</v>
      </c>
      <c r="L2709" s="2"/>
      <c r="M2709" s="2"/>
    </row>
    <row r="2710" spans="2:13">
      <c r="B2710" s="2"/>
      <c r="C2710" s="1">
        <v>18.131241719999998</v>
      </c>
      <c r="D2710" s="1">
        <v>3.1396144600000002</v>
      </c>
      <c r="E2710" s="1"/>
      <c r="H2710" s="2">
        <v>17.100672400000001</v>
      </c>
      <c r="I2710" s="2">
        <v>16.1063492</v>
      </c>
      <c r="J2710" s="2">
        <v>68.272160900000003</v>
      </c>
      <c r="L2710" s="2"/>
      <c r="M2710" s="2"/>
    </row>
    <row r="2711" spans="2:13">
      <c r="B2711" s="2"/>
      <c r="C2711" s="1">
        <v>25.153097899999999</v>
      </c>
      <c r="D2711" s="1">
        <v>0.52766629600000003</v>
      </c>
      <c r="E2711" s="1"/>
      <c r="H2711" s="2">
        <v>30.418378700000002</v>
      </c>
      <c r="I2711" s="2">
        <v>0.69960011</v>
      </c>
      <c r="J2711" s="2">
        <v>52.559830599999998</v>
      </c>
      <c r="L2711" s="2"/>
      <c r="M2711" s="2"/>
    </row>
    <row r="2712" spans="2:13">
      <c r="B2712" s="2"/>
      <c r="C2712" s="1">
        <v>16.935775230000001</v>
      </c>
      <c r="D2712" s="1">
        <v>0.87724521700000002</v>
      </c>
      <c r="E2712" s="1"/>
      <c r="H2712" s="2">
        <v>1.33831349</v>
      </c>
      <c r="I2712" s="2">
        <v>110.894391</v>
      </c>
      <c r="J2712" s="2">
        <v>8.5861628000000003</v>
      </c>
      <c r="L2712" s="2"/>
      <c r="M2712" s="2"/>
    </row>
    <row r="2713" spans="2:13">
      <c r="B2713" s="2"/>
      <c r="C2713" s="1">
        <v>4.0090391270000003</v>
      </c>
      <c r="D2713" s="1">
        <v>0.71894532799999999</v>
      </c>
      <c r="E2713" s="1"/>
      <c r="H2713" s="2">
        <v>83.469125599999998</v>
      </c>
      <c r="I2713" s="2">
        <v>44.121446800000001</v>
      </c>
      <c r="J2713" s="2">
        <v>26.5927714</v>
      </c>
      <c r="L2713" s="2"/>
      <c r="M2713" s="2"/>
    </row>
    <row r="2714" spans="2:13">
      <c r="B2714" s="2"/>
      <c r="C2714" s="1">
        <v>79.263050699999994</v>
      </c>
      <c r="D2714" s="1">
        <v>4.696230033</v>
      </c>
      <c r="E2714" s="1"/>
      <c r="H2714" s="2">
        <v>45.532399099999999</v>
      </c>
      <c r="I2714" s="2">
        <v>10.291894900000001</v>
      </c>
      <c r="J2714" s="2">
        <v>16.094709999999999</v>
      </c>
      <c r="L2714" s="2"/>
      <c r="M2714" s="2"/>
    </row>
    <row r="2715" spans="2:13">
      <c r="B2715" s="2"/>
      <c r="C2715" s="1">
        <v>30.593074179999999</v>
      </c>
      <c r="D2715" s="1">
        <v>1.8336403779999999</v>
      </c>
      <c r="E2715" s="1"/>
      <c r="H2715" s="2">
        <v>11.4797557</v>
      </c>
      <c r="I2715" s="2">
        <v>32.337071700000003</v>
      </c>
      <c r="J2715" s="2">
        <v>12.0971039</v>
      </c>
      <c r="L2715" s="2"/>
      <c r="M2715" s="2"/>
    </row>
    <row r="2716" spans="2:13">
      <c r="B2716" s="2"/>
      <c r="C2716" s="1">
        <v>8.2354357979999993</v>
      </c>
      <c r="D2716" s="1">
        <v>0.46170800899999997</v>
      </c>
      <c r="E2716" s="1"/>
      <c r="H2716" s="2">
        <v>26.6235164</v>
      </c>
      <c r="I2716" s="2">
        <v>16.4639226</v>
      </c>
      <c r="J2716" s="2">
        <v>29.095620499999999</v>
      </c>
      <c r="L2716" s="2"/>
      <c r="M2716" s="2"/>
    </row>
    <row r="2717" spans="2:13">
      <c r="B2717" s="2"/>
      <c r="C2717" s="1">
        <v>12.83617046</v>
      </c>
      <c r="D2717" s="1">
        <v>2.3481150159999999</v>
      </c>
      <c r="E2717" s="1"/>
      <c r="H2717" s="2">
        <v>22.1446273</v>
      </c>
      <c r="I2717" s="2">
        <v>8.9548813900000006</v>
      </c>
      <c r="J2717" s="2">
        <v>5.5618868399999997</v>
      </c>
      <c r="L2717" s="2"/>
      <c r="M2717" s="2"/>
    </row>
    <row r="2718" spans="2:13">
      <c r="B2718" s="2"/>
      <c r="C2718" s="1">
        <v>8.8995838460000005</v>
      </c>
      <c r="D2718" s="1">
        <v>31.290611340000002</v>
      </c>
      <c r="E2718" s="1"/>
      <c r="H2718" s="2">
        <v>9.55853237</v>
      </c>
      <c r="I2718" s="2">
        <v>23.117896900000002</v>
      </c>
      <c r="J2718" s="2">
        <v>31.6332314</v>
      </c>
      <c r="L2718" s="2"/>
      <c r="M2718" s="2"/>
    </row>
    <row r="2719" spans="2:13">
      <c r="B2719" s="2"/>
      <c r="C2719" s="1">
        <v>15.993892539999999</v>
      </c>
      <c r="D2719" s="1">
        <v>0.76511612900000003</v>
      </c>
      <c r="E2719" s="1"/>
      <c r="H2719" s="2">
        <v>38.275765900000003</v>
      </c>
      <c r="I2719" s="2">
        <v>6.6073343600000003</v>
      </c>
      <c r="J2719" s="2">
        <v>211.14312899999999</v>
      </c>
      <c r="L2719" s="2"/>
      <c r="M2719" s="2"/>
    </row>
    <row r="2720" spans="2:13">
      <c r="B2720" s="2"/>
      <c r="C2720" s="1">
        <v>36.20210634</v>
      </c>
      <c r="D2720" s="1">
        <v>0.63319955500000003</v>
      </c>
      <c r="E2720" s="1"/>
      <c r="H2720" s="2">
        <v>7.9406600599999999</v>
      </c>
      <c r="I2720" s="2">
        <v>33.689631900000002</v>
      </c>
      <c r="J2720" s="2">
        <v>8.7599717699999999</v>
      </c>
      <c r="L2720" s="2"/>
      <c r="M2720" s="2"/>
    </row>
    <row r="2721" spans="2:13">
      <c r="B2721" s="2"/>
      <c r="C2721" s="1">
        <v>4.2203589609999996</v>
      </c>
      <c r="D2721" s="1">
        <v>0.27702480499999999</v>
      </c>
      <c r="E2721" s="1"/>
      <c r="H2721" s="2">
        <v>41.6185756</v>
      </c>
      <c r="I2721" s="2">
        <v>148.20639600000001</v>
      </c>
      <c r="J2721" s="2">
        <v>17.867561500000001</v>
      </c>
      <c r="L2721" s="2"/>
      <c r="M2721" s="2"/>
    </row>
    <row r="2722" spans="2:13">
      <c r="B2722" s="2"/>
      <c r="C2722" s="1">
        <v>47.172624550000002</v>
      </c>
      <c r="D2722" s="1">
        <v>0.41553720799999999</v>
      </c>
      <c r="E2722" s="1"/>
      <c r="H2722" s="2">
        <v>177.13322600000001</v>
      </c>
      <c r="I2722" s="2">
        <v>7.8510678900000004</v>
      </c>
      <c r="J2722" s="2">
        <v>5.5618868399999997</v>
      </c>
      <c r="L2722" s="2"/>
      <c r="M2722" s="2"/>
    </row>
    <row r="2723" spans="2:13">
      <c r="B2723" s="2"/>
      <c r="C2723" s="1">
        <v>291.91118030000001</v>
      </c>
      <c r="D2723" s="1">
        <v>1.3917198550000001</v>
      </c>
      <c r="E2723" s="1"/>
      <c r="H2723" s="2">
        <v>11.360794500000001</v>
      </c>
      <c r="I2723" s="2">
        <v>18.858109599999999</v>
      </c>
      <c r="J2723" s="2">
        <v>11.506153400000001</v>
      </c>
      <c r="L2723" s="2"/>
      <c r="M2723" s="2"/>
    </row>
    <row r="2724" spans="2:13">
      <c r="B2724" s="2"/>
      <c r="C2724" s="1">
        <v>15.335782200000001</v>
      </c>
      <c r="D2724" s="1">
        <v>311.92993080000002</v>
      </c>
      <c r="E2724" s="1"/>
      <c r="H2724" s="2">
        <v>24.3870459</v>
      </c>
      <c r="I2724" s="2">
        <v>3.56018722</v>
      </c>
      <c r="J2724" s="2">
        <v>33.649415400000002</v>
      </c>
      <c r="L2724" s="2"/>
      <c r="M2724" s="2"/>
    </row>
    <row r="2725" spans="2:13">
      <c r="B2725" s="2"/>
      <c r="C2725" s="1">
        <v>9.7931648560000006</v>
      </c>
      <c r="D2725" s="1">
        <v>0.45511217999999998</v>
      </c>
      <c r="E2725" s="1"/>
      <c r="H2725" s="2">
        <v>6.9651782200000003</v>
      </c>
      <c r="I2725" s="2">
        <v>9.0015213999999997</v>
      </c>
      <c r="J2725" s="2">
        <v>50.752217399999999</v>
      </c>
      <c r="L2725" s="2"/>
      <c r="M2725" s="2"/>
    </row>
    <row r="2726" spans="2:13">
      <c r="B2726" s="2"/>
      <c r="C2726" s="1">
        <v>9.3161858039999998</v>
      </c>
      <c r="D2726" s="1">
        <v>0.68596618499999995</v>
      </c>
      <c r="E2726" s="1"/>
      <c r="H2726" s="2">
        <v>12.419549200000001</v>
      </c>
      <c r="I2726" s="2">
        <v>25.0923239</v>
      </c>
      <c r="J2726" s="2">
        <v>6.1528373099999998</v>
      </c>
      <c r="L2726" s="2"/>
      <c r="M2726" s="2"/>
    </row>
    <row r="2727" spans="2:13">
      <c r="B2727" s="2"/>
      <c r="C2727" s="1">
        <v>6.4241229390000001</v>
      </c>
      <c r="D2727" s="1">
        <v>1.3917198550000001</v>
      </c>
      <c r="E2727" s="1"/>
      <c r="H2727" s="2">
        <v>35.533710300000003</v>
      </c>
      <c r="I2727" s="2">
        <v>32.539178399999997</v>
      </c>
      <c r="J2727" s="2">
        <v>37.9598777</v>
      </c>
      <c r="L2727" s="2"/>
      <c r="M2727" s="2"/>
    </row>
    <row r="2728" spans="2:13">
      <c r="B2728" s="2"/>
      <c r="C2728" s="1">
        <v>18.197656519999999</v>
      </c>
      <c r="D2728" s="1">
        <v>292.65032350000001</v>
      </c>
      <c r="E2728" s="1"/>
      <c r="H2728" s="2">
        <v>38.109220200000003</v>
      </c>
      <c r="I2728" s="2">
        <v>4.5085340299999999</v>
      </c>
      <c r="J2728" s="2">
        <v>24.576587499999999</v>
      </c>
      <c r="L2728" s="2"/>
      <c r="M2728" s="2"/>
    </row>
    <row r="2729" spans="2:13">
      <c r="B2729" s="2"/>
      <c r="C2729" s="1">
        <v>36.914556060000002</v>
      </c>
      <c r="D2729" s="1">
        <v>1.246611624</v>
      </c>
      <c r="E2729" s="1"/>
      <c r="H2729" s="2">
        <v>9.5704284899999994</v>
      </c>
      <c r="I2729" s="2">
        <v>33.782911900000002</v>
      </c>
      <c r="J2729" s="2">
        <v>77.032132700000005</v>
      </c>
      <c r="L2729" s="2"/>
      <c r="M2729" s="2"/>
    </row>
    <row r="2730" spans="2:13">
      <c r="B2730" s="2"/>
      <c r="C2730" s="1">
        <v>7.1305349539999998</v>
      </c>
      <c r="D2730" s="1">
        <v>0.712349499</v>
      </c>
      <c r="E2730" s="1"/>
      <c r="H2730" s="2">
        <v>41.107042499999999</v>
      </c>
      <c r="I2730" s="2">
        <v>34.762352100000001</v>
      </c>
      <c r="J2730" s="2">
        <v>19.292795000000002</v>
      </c>
      <c r="L2730" s="2"/>
      <c r="M2730" s="2"/>
    </row>
    <row r="2731" spans="2:13">
      <c r="B2731" s="2"/>
      <c r="C2731" s="1">
        <v>24.603666329999999</v>
      </c>
      <c r="D2731" s="1">
        <v>1.035545106</v>
      </c>
      <c r="E2731" s="1"/>
      <c r="H2731" s="2">
        <v>33.880149600000003</v>
      </c>
      <c r="I2731" s="2">
        <v>85.149106500000002</v>
      </c>
      <c r="J2731" s="2">
        <v>15.8166157</v>
      </c>
      <c r="L2731" s="2"/>
      <c r="M2731" s="2"/>
    </row>
    <row r="2732" spans="2:13">
      <c r="B2732" s="2"/>
      <c r="C2732" s="1">
        <v>12.37730453</v>
      </c>
      <c r="D2732" s="1">
        <v>483.8963766</v>
      </c>
      <c r="E2732" s="1"/>
      <c r="H2732" s="2">
        <v>102.824113</v>
      </c>
      <c r="I2732" s="2">
        <v>34.233765300000002</v>
      </c>
      <c r="J2732" s="2">
        <v>13.765669900000001</v>
      </c>
      <c r="L2732" s="2"/>
      <c r="M2732" s="2"/>
    </row>
    <row r="2733" spans="2:13">
      <c r="B2733" s="2"/>
      <c r="C2733" s="1">
        <v>74.632127490000002</v>
      </c>
      <c r="D2733" s="1">
        <v>0.25064149099999999</v>
      </c>
      <c r="E2733" s="1"/>
      <c r="H2733" s="2">
        <v>25.868112799999999</v>
      </c>
      <c r="I2733" s="2">
        <v>11.1158684</v>
      </c>
      <c r="J2733" s="2">
        <v>49.709363600000003</v>
      </c>
      <c r="L2733" s="2"/>
      <c r="M2733" s="2"/>
    </row>
    <row r="2734" spans="2:13">
      <c r="B2734" s="2"/>
      <c r="C2734" s="1">
        <v>29.03534513</v>
      </c>
      <c r="D2734" s="1">
        <v>1.3059740820000001</v>
      </c>
      <c r="E2734" s="1"/>
      <c r="H2734" s="2">
        <v>16.595087299999999</v>
      </c>
      <c r="I2734" s="2">
        <v>12.592802000000001</v>
      </c>
      <c r="J2734" s="2">
        <v>5.1447453200000002</v>
      </c>
      <c r="L2734" s="2"/>
      <c r="M2734" s="2"/>
    </row>
    <row r="2735" spans="2:13">
      <c r="B2735" s="2"/>
      <c r="C2735" s="1">
        <v>11.92447632</v>
      </c>
      <c r="D2735" s="1">
        <v>1.543423915</v>
      </c>
      <c r="E2735" s="1"/>
      <c r="H2735" s="2">
        <v>27.384868099999998</v>
      </c>
      <c r="I2735" s="2">
        <v>28.6214178</v>
      </c>
      <c r="J2735" s="2">
        <v>18.423750099999999</v>
      </c>
      <c r="L2735" s="2"/>
      <c r="M2735" s="2"/>
    </row>
    <row r="2736" spans="2:13">
      <c r="B2736" s="2"/>
      <c r="C2736" s="1">
        <v>15.957666290000001</v>
      </c>
      <c r="D2736" s="1">
        <v>4.2740969959999999</v>
      </c>
      <c r="E2736" s="1"/>
      <c r="H2736" s="2">
        <v>74.903919200000004</v>
      </c>
      <c r="I2736" s="2">
        <v>5.73672089</v>
      </c>
      <c r="J2736" s="2">
        <v>12.3404364</v>
      </c>
      <c r="L2736" s="2"/>
      <c r="M2736" s="2"/>
    </row>
    <row r="2737" spans="2:13">
      <c r="B2737" s="2"/>
      <c r="C2737" s="1">
        <v>79.492483660000005</v>
      </c>
      <c r="D2737" s="1">
        <v>6.7475327580000002</v>
      </c>
      <c r="E2737" s="1"/>
      <c r="H2737" s="2">
        <v>7.3696463000000003</v>
      </c>
      <c r="I2737" s="2">
        <v>20.988003299999999</v>
      </c>
      <c r="J2737" s="2">
        <v>68.167875499999994</v>
      </c>
      <c r="L2737" s="2"/>
      <c r="M2737" s="2"/>
    </row>
    <row r="2738" spans="2:13">
      <c r="B2738" s="2"/>
      <c r="C2738" s="1">
        <v>5.0716760049999996</v>
      </c>
      <c r="D2738" s="1">
        <v>6.2726330910000003</v>
      </c>
      <c r="E2738" s="1"/>
      <c r="H2738" s="2">
        <v>21.448704299999999</v>
      </c>
      <c r="I2738" s="2">
        <v>9.1258947500000005</v>
      </c>
      <c r="J2738" s="2">
        <v>41.818436699999999</v>
      </c>
      <c r="L2738" s="2"/>
      <c r="M2738" s="2"/>
    </row>
    <row r="2739" spans="2:13">
      <c r="B2739" s="2"/>
      <c r="C2739" s="1">
        <v>20.00896938</v>
      </c>
      <c r="D2739" s="1">
        <v>1.0421409340000001</v>
      </c>
      <c r="E2739" s="1"/>
      <c r="H2739" s="2">
        <v>13.3712388</v>
      </c>
      <c r="I2739" s="2">
        <v>82.412892799999995</v>
      </c>
      <c r="J2739" s="2">
        <v>112.176305</v>
      </c>
      <c r="L2739" s="2"/>
      <c r="M2739" s="2"/>
    </row>
    <row r="2740" spans="2:13">
      <c r="B2740" s="2"/>
      <c r="C2740" s="1">
        <v>28.685157969999999</v>
      </c>
      <c r="D2740" s="1">
        <v>2.4668399330000002</v>
      </c>
      <c r="E2740" s="1"/>
      <c r="H2740" s="2">
        <v>69.895652699999999</v>
      </c>
      <c r="I2740" s="2">
        <v>87.792040299999996</v>
      </c>
      <c r="J2740" s="2">
        <v>8.3428302599999995</v>
      </c>
      <c r="L2740" s="2"/>
      <c r="M2740" s="2"/>
    </row>
    <row r="2741" spans="2:13">
      <c r="B2741" s="2"/>
      <c r="C2741" s="1">
        <v>78.393620530000007</v>
      </c>
      <c r="D2741" s="1">
        <v>1.0091617909999999</v>
      </c>
      <c r="E2741" s="1"/>
      <c r="H2741" s="2">
        <v>64.304476300000005</v>
      </c>
      <c r="I2741" s="2">
        <v>96.404894999999996</v>
      </c>
      <c r="J2741" s="2">
        <v>51.204120699999997</v>
      </c>
      <c r="L2741" s="2"/>
      <c r="M2741" s="2"/>
    </row>
    <row r="2742" spans="2:13">
      <c r="B2742" s="2"/>
      <c r="C2742" s="1">
        <v>137.29751469999999</v>
      </c>
      <c r="D2742" s="1">
        <v>0.92341601799999995</v>
      </c>
      <c r="E2742" s="1"/>
      <c r="H2742" s="2">
        <v>98.755639700000003</v>
      </c>
      <c r="I2742" s="2">
        <v>10.307441600000001</v>
      </c>
      <c r="J2742" s="2">
        <v>19.605651099999999</v>
      </c>
      <c r="L2742" s="2"/>
      <c r="M2742" s="2"/>
    </row>
    <row r="2743" spans="2:13">
      <c r="B2743" s="2"/>
      <c r="C2743" s="1">
        <v>37.723609140000001</v>
      </c>
      <c r="D2743" s="1">
        <v>2.0051319240000001</v>
      </c>
      <c r="E2743" s="1"/>
      <c r="H2743" s="2">
        <v>12.5325624</v>
      </c>
      <c r="I2743" s="2">
        <v>59.279449200000002</v>
      </c>
      <c r="J2743" s="2">
        <v>12.5142454</v>
      </c>
      <c r="L2743" s="2"/>
      <c r="M2743" s="2"/>
    </row>
    <row r="2744" spans="2:13">
      <c r="B2744" s="2"/>
      <c r="C2744" s="1">
        <v>25.237625829999999</v>
      </c>
      <c r="D2744" s="1">
        <v>4.142180422</v>
      </c>
      <c r="E2744" s="1"/>
      <c r="H2744" s="2">
        <v>44.081072399999996</v>
      </c>
      <c r="I2744" s="2">
        <v>20.6459765</v>
      </c>
      <c r="J2744" s="2">
        <v>33.753700700000003</v>
      </c>
      <c r="L2744" s="2"/>
      <c r="M2744" s="2"/>
    </row>
    <row r="2745" spans="2:13">
      <c r="B2745" s="2"/>
      <c r="C2745" s="1">
        <v>46.448099409999998</v>
      </c>
      <c r="D2745" s="1">
        <v>7.2554116000000002E-2</v>
      </c>
      <c r="E2745" s="1"/>
      <c r="H2745" s="2">
        <v>25.011592199999999</v>
      </c>
      <c r="I2745" s="2">
        <v>9.7011215100000001</v>
      </c>
      <c r="J2745" s="2">
        <v>133.241952</v>
      </c>
      <c r="L2745" s="2"/>
      <c r="M2745" s="2"/>
    </row>
    <row r="2746" spans="2:13">
      <c r="B2746" s="2"/>
      <c r="C2746" s="1">
        <v>14.1282403</v>
      </c>
      <c r="D2746" s="1">
        <v>1.932577808</v>
      </c>
      <c r="E2746" s="1"/>
      <c r="H2746" s="2">
        <v>17.6776342</v>
      </c>
      <c r="I2746" s="2">
        <v>34.1249386</v>
      </c>
      <c r="J2746" s="2">
        <v>1.63380426</v>
      </c>
      <c r="L2746" s="2"/>
      <c r="M2746" s="2"/>
    </row>
    <row r="2747" spans="2:13">
      <c r="B2747" s="2"/>
      <c r="C2747" s="1">
        <v>16.91162439</v>
      </c>
      <c r="D2747" s="1">
        <v>19.64237786</v>
      </c>
      <c r="E2747" s="1"/>
      <c r="H2747" s="2">
        <v>38.882468000000003</v>
      </c>
      <c r="I2747" s="2">
        <v>77.406865300000007</v>
      </c>
      <c r="J2747" s="2">
        <v>25.480394100000002</v>
      </c>
      <c r="L2747" s="2"/>
      <c r="M2747" s="2"/>
    </row>
    <row r="2748" spans="2:13">
      <c r="B2748" s="2"/>
      <c r="C2748" s="1">
        <v>42.016420609999997</v>
      </c>
      <c r="D2748" s="1">
        <v>2.0908776969999998</v>
      </c>
      <c r="E2748" s="1"/>
      <c r="H2748" s="2">
        <v>130.74430599999999</v>
      </c>
      <c r="I2748" s="2">
        <v>3.0316004699999999</v>
      </c>
      <c r="J2748" s="2">
        <v>199.11554899999999</v>
      </c>
      <c r="L2748" s="2"/>
      <c r="M2748" s="2"/>
    </row>
    <row r="2749" spans="2:13">
      <c r="B2749" s="2"/>
      <c r="C2749" s="1">
        <v>27.036863270000001</v>
      </c>
      <c r="D2749" s="1">
        <v>4.8941048939999998</v>
      </c>
      <c r="E2749" s="1"/>
      <c r="H2749" s="2">
        <v>2.5219774300000002</v>
      </c>
      <c r="I2749" s="2">
        <v>27.082297499999999</v>
      </c>
      <c r="J2749" s="2">
        <v>36.499882399999997</v>
      </c>
      <c r="L2749" s="2"/>
      <c r="M2749" s="2"/>
    </row>
    <row r="2750" spans="2:13">
      <c r="B2750" s="2"/>
      <c r="C2750" s="1">
        <v>3.6950782320000002</v>
      </c>
      <c r="D2750" s="1">
        <v>0.158299889</v>
      </c>
      <c r="E2750" s="1"/>
      <c r="H2750" s="2">
        <v>33.106901800000003</v>
      </c>
      <c r="I2750" s="2">
        <v>161.405518</v>
      </c>
      <c r="J2750" s="2">
        <v>37.334165400000003</v>
      </c>
      <c r="L2750" s="2"/>
      <c r="M2750" s="2"/>
    </row>
    <row r="2751" spans="2:13">
      <c r="B2751" s="2"/>
      <c r="C2751" s="1">
        <v>32.905516929999997</v>
      </c>
      <c r="D2751" s="1">
        <v>0.92341601799999995</v>
      </c>
      <c r="E2751" s="1"/>
      <c r="H2751" s="2">
        <v>228.869452</v>
      </c>
      <c r="I2751" s="2">
        <v>24.625923799999999</v>
      </c>
      <c r="J2751" s="2">
        <v>3.40665569</v>
      </c>
      <c r="L2751" s="2"/>
      <c r="M2751" s="2"/>
    </row>
    <row r="2752" spans="2:13">
      <c r="B2752" s="2"/>
      <c r="C2752" s="1">
        <v>209.19455980000001</v>
      </c>
      <c r="D2752" s="1">
        <v>0.35617474999999998</v>
      </c>
      <c r="E2752" s="1"/>
      <c r="H2752" s="2">
        <v>42.689226400000003</v>
      </c>
      <c r="I2752" s="2">
        <v>46.966487299999997</v>
      </c>
      <c r="J2752" s="2">
        <v>17.937085</v>
      </c>
      <c r="L2752" s="2"/>
      <c r="M2752" s="2"/>
    </row>
    <row r="2753" spans="2:13">
      <c r="B2753" s="2"/>
      <c r="C2753" s="1">
        <v>40.688124520000002</v>
      </c>
      <c r="D2753" s="1">
        <v>1.4049115130000001</v>
      </c>
      <c r="E2753" s="1"/>
      <c r="H2753" s="2">
        <v>49.600872099999997</v>
      </c>
      <c r="I2753" s="2">
        <v>10.836028300000001</v>
      </c>
      <c r="J2753" s="2">
        <v>8.5514010099999993</v>
      </c>
      <c r="L2753" s="2"/>
      <c r="M2753" s="2"/>
    </row>
    <row r="2754" spans="2:13">
      <c r="B2754" s="2"/>
      <c r="C2754" s="1">
        <v>113.5813917</v>
      </c>
      <c r="D2754" s="1">
        <v>2.1634318129999999</v>
      </c>
      <c r="E2754" s="1"/>
      <c r="H2754" s="2">
        <v>6.0848653500000003</v>
      </c>
      <c r="I2754" s="2">
        <v>15.686589100000001</v>
      </c>
      <c r="J2754" s="2">
        <v>5.38807787</v>
      </c>
      <c r="L2754" s="2"/>
      <c r="M2754" s="2"/>
    </row>
    <row r="2755" spans="2:13">
      <c r="B2755" s="2"/>
      <c r="C2755" s="1">
        <v>5.2346941620000003</v>
      </c>
      <c r="D2755" s="1">
        <v>1.3191657000000001E-2</v>
      </c>
      <c r="E2755" s="1"/>
      <c r="H2755" s="2">
        <v>24.791513999999999</v>
      </c>
      <c r="I2755" s="2">
        <v>11.2246951</v>
      </c>
      <c r="J2755" s="2">
        <v>26.558009599999998</v>
      </c>
      <c r="L2755" s="2"/>
      <c r="M2755" s="2"/>
    </row>
    <row r="2756" spans="2:13">
      <c r="B2756" s="2"/>
      <c r="C2756" s="1">
        <v>17.781054560000001</v>
      </c>
      <c r="D2756" s="1">
        <v>1.7083196329999999</v>
      </c>
      <c r="E2756" s="1"/>
      <c r="H2756" s="2">
        <v>11.9377564</v>
      </c>
      <c r="I2756" s="2">
        <v>9.2658147700000004</v>
      </c>
      <c r="J2756" s="2">
        <v>1.1123773699999999</v>
      </c>
      <c r="L2756" s="2"/>
      <c r="M2756" s="2"/>
    </row>
    <row r="2757" spans="2:13">
      <c r="B2757" s="2"/>
      <c r="C2757" s="1">
        <v>4.6369609179999998</v>
      </c>
      <c r="D2757" s="1">
        <v>3.3902559509999999</v>
      </c>
      <c r="E2757" s="1"/>
      <c r="H2757" s="2">
        <v>6.51312567</v>
      </c>
      <c r="I2757" s="2">
        <v>31.8551249</v>
      </c>
      <c r="J2757" s="2">
        <v>9.5594929999999998</v>
      </c>
      <c r="L2757" s="2"/>
      <c r="M2757" s="2"/>
    </row>
    <row r="2758" spans="2:13">
      <c r="B2758" s="2"/>
      <c r="C2758" s="1">
        <v>10.511652290000001</v>
      </c>
      <c r="D2758" s="1">
        <v>0.34957892099999999</v>
      </c>
      <c r="E2758" s="1"/>
      <c r="H2758" s="2">
        <v>31.578250400000002</v>
      </c>
      <c r="I2758" s="2">
        <v>0.57522675999999995</v>
      </c>
      <c r="J2758" s="2">
        <v>37.577497899999997</v>
      </c>
      <c r="L2758" s="2"/>
      <c r="M2758" s="2"/>
    </row>
    <row r="2759" spans="2:13">
      <c r="B2759" s="2"/>
      <c r="C2759" s="1">
        <v>29.150061610000002</v>
      </c>
      <c r="D2759" s="1">
        <v>0.20447069000000001</v>
      </c>
      <c r="E2759" s="1"/>
      <c r="H2759" s="2">
        <v>1.15392363</v>
      </c>
      <c r="I2759" s="2">
        <v>11.7532818</v>
      </c>
      <c r="J2759" s="2">
        <v>4.1018915399999996</v>
      </c>
      <c r="L2759" s="2"/>
      <c r="M2759" s="2"/>
    </row>
    <row r="2760" spans="2:13">
      <c r="B2760" s="2"/>
      <c r="C2760" s="1">
        <v>0.87546788200000003</v>
      </c>
      <c r="D2760" s="1">
        <v>0.32319560600000002</v>
      </c>
      <c r="E2760" s="1"/>
      <c r="H2760" s="2">
        <v>15.054539800000001</v>
      </c>
      <c r="I2760" s="2">
        <v>38.633472699999999</v>
      </c>
      <c r="J2760" s="2">
        <v>2.67665804</v>
      </c>
      <c r="L2760" s="2"/>
      <c r="M2760" s="2"/>
    </row>
    <row r="2761" spans="2:13">
      <c r="B2761" s="2"/>
      <c r="C2761" s="1">
        <v>20.280666310000001</v>
      </c>
      <c r="D2761" s="1">
        <v>0.310003949</v>
      </c>
      <c r="E2761" s="1"/>
      <c r="H2761" s="2">
        <v>50.046976600000001</v>
      </c>
      <c r="I2761" s="2">
        <v>6.4829610100000004</v>
      </c>
      <c r="J2761" s="2">
        <v>6.9871203399999997</v>
      </c>
      <c r="L2761" s="2"/>
      <c r="M2761" s="2"/>
    </row>
    <row r="2762" spans="2:13">
      <c r="B2762" s="2"/>
      <c r="C2762" s="1">
        <v>36.534180360000001</v>
      </c>
      <c r="D2762" s="1">
        <v>1.510444772</v>
      </c>
      <c r="E2762" s="1"/>
      <c r="H2762" s="2">
        <v>7.3042176400000001</v>
      </c>
      <c r="I2762" s="2">
        <v>4.0265872900000002</v>
      </c>
      <c r="J2762" s="2">
        <v>8.7252099800000007</v>
      </c>
      <c r="L2762" s="2"/>
      <c r="M2762" s="2"/>
    </row>
    <row r="2763" spans="2:13">
      <c r="B2763" s="2"/>
      <c r="C2763" s="1">
        <v>7.3841187540000002</v>
      </c>
      <c r="D2763" s="1">
        <v>2.4998190760000001</v>
      </c>
      <c r="E2763" s="1"/>
      <c r="H2763" s="2">
        <v>4.2647589999999997</v>
      </c>
      <c r="I2763" s="2">
        <v>6.8716277300000002</v>
      </c>
      <c r="J2763" s="2">
        <v>16.442328</v>
      </c>
      <c r="L2763" s="2"/>
      <c r="M2763" s="2"/>
    </row>
    <row r="2764" spans="2:13">
      <c r="B2764" s="2"/>
      <c r="C2764" s="1">
        <v>9.4127891560000005</v>
      </c>
      <c r="D2764" s="1">
        <v>6.8662576739999999</v>
      </c>
      <c r="E2764" s="1"/>
      <c r="H2764" s="2">
        <v>9.6893896900000005</v>
      </c>
      <c r="I2764" s="2">
        <v>16.4794692</v>
      </c>
      <c r="J2764" s="2">
        <v>77.171179899999998</v>
      </c>
      <c r="L2764" s="2"/>
      <c r="M2764" s="2"/>
    </row>
    <row r="2765" spans="2:13">
      <c r="B2765" s="2"/>
      <c r="C2765" s="1">
        <v>11.803722130000001</v>
      </c>
      <c r="D2765" s="1">
        <v>1.6555530030000001</v>
      </c>
      <c r="E2765" s="1"/>
      <c r="H2765" s="2">
        <v>10.5340142</v>
      </c>
      <c r="I2765" s="2">
        <v>19.759816399999998</v>
      </c>
      <c r="J2765" s="2">
        <v>79.952123299999997</v>
      </c>
      <c r="L2765" s="2"/>
      <c r="M2765" s="2"/>
    </row>
    <row r="2766" spans="2:13">
      <c r="B2766" s="2"/>
      <c r="C2766" s="1">
        <v>5.7116732150000002</v>
      </c>
      <c r="D2766" s="1">
        <v>0.36936640700000001</v>
      </c>
      <c r="E2766" s="1"/>
      <c r="H2766" s="2">
        <v>20.955015299999999</v>
      </c>
      <c r="I2766" s="2">
        <v>57.398302200000003</v>
      </c>
      <c r="J2766" s="2">
        <v>21.5870733</v>
      </c>
      <c r="L2766" s="2"/>
      <c r="M2766" s="2"/>
    </row>
    <row r="2767" spans="2:13">
      <c r="B2767" s="2"/>
      <c r="C2767" s="1">
        <v>30.417980610000001</v>
      </c>
      <c r="D2767" s="1">
        <v>1.7742779200000001</v>
      </c>
      <c r="E2767" s="1"/>
      <c r="H2767" s="2">
        <v>77.229610699999995</v>
      </c>
      <c r="I2767" s="2">
        <v>53.216248299999997</v>
      </c>
      <c r="J2767" s="2">
        <v>6.6742641999999996</v>
      </c>
      <c r="L2767" s="2"/>
      <c r="M2767" s="2"/>
    </row>
    <row r="2768" spans="2:13">
      <c r="B2768" s="2"/>
      <c r="C2768" s="1">
        <v>58.89785646</v>
      </c>
      <c r="D2768" s="1">
        <v>0.712349499</v>
      </c>
      <c r="E2768" s="1"/>
      <c r="H2768" s="2">
        <v>107.487392</v>
      </c>
      <c r="I2768" s="2">
        <v>17.521096100000001</v>
      </c>
      <c r="J2768" s="2">
        <v>40.740821099999998</v>
      </c>
      <c r="L2768" s="2"/>
      <c r="M2768" s="2"/>
    </row>
    <row r="2769" spans="2:13">
      <c r="B2769" s="2"/>
      <c r="C2769" s="1">
        <v>107.80934139999999</v>
      </c>
      <c r="D2769" s="1">
        <v>1.2598032809999999</v>
      </c>
      <c r="E2769" s="1"/>
      <c r="H2769" s="2">
        <v>33.059317299999996</v>
      </c>
      <c r="I2769" s="2">
        <v>5.1304008000000003</v>
      </c>
      <c r="J2769" s="2">
        <v>13.800431700000001</v>
      </c>
      <c r="L2769" s="2"/>
      <c r="M2769" s="2"/>
    </row>
    <row r="2770" spans="2:13">
      <c r="B2770" s="2"/>
      <c r="C2770" s="1">
        <v>40.374163619999997</v>
      </c>
      <c r="D2770" s="1">
        <v>2.0051319240000001</v>
      </c>
      <c r="E2770" s="1"/>
      <c r="H2770" s="2">
        <v>7.2744773399999998</v>
      </c>
      <c r="I2770" s="2">
        <v>40.514619600000003</v>
      </c>
      <c r="J2770" s="2">
        <v>30.5903776</v>
      </c>
      <c r="L2770" s="2"/>
      <c r="M2770" s="2"/>
    </row>
    <row r="2771" spans="2:13">
      <c r="B2771" s="2"/>
      <c r="C2771" s="1">
        <v>11.44749727</v>
      </c>
      <c r="D2771" s="1">
        <v>3.8717514460000002</v>
      </c>
      <c r="E2771" s="1"/>
      <c r="H2771" s="2">
        <v>44.1048647</v>
      </c>
      <c r="I2771" s="2">
        <v>23.382190300000001</v>
      </c>
      <c r="J2771" s="2">
        <v>39.5936819</v>
      </c>
      <c r="L2771" s="2"/>
      <c r="M2771" s="2"/>
    </row>
    <row r="2772" spans="2:13">
      <c r="B2772" s="2"/>
      <c r="C2772" s="1">
        <v>37.705496009999997</v>
      </c>
      <c r="D2772" s="1">
        <v>0.20447069000000001</v>
      </c>
      <c r="E2772" s="1"/>
      <c r="H2772" s="2">
        <v>15.2151374</v>
      </c>
      <c r="I2772" s="2">
        <v>31.6219249</v>
      </c>
      <c r="J2772" s="2">
        <v>23.255639299999999</v>
      </c>
      <c r="L2772" s="2"/>
      <c r="M2772" s="2"/>
    </row>
    <row r="2773" spans="2:13">
      <c r="B2773" s="2"/>
      <c r="C2773" s="1">
        <v>10.50561458</v>
      </c>
      <c r="D2773" s="1">
        <v>0.712349499</v>
      </c>
      <c r="E2773" s="1"/>
      <c r="H2773" s="2">
        <v>23.0903688</v>
      </c>
      <c r="I2773" s="2">
        <v>74.048784800000007</v>
      </c>
      <c r="J2773" s="2">
        <v>7.5433090199999997</v>
      </c>
      <c r="L2773" s="2"/>
      <c r="M2773" s="2"/>
    </row>
    <row r="2774" spans="2:13">
      <c r="B2774" s="2"/>
      <c r="C2774" s="1">
        <v>18.40897635</v>
      </c>
      <c r="D2774" s="1">
        <v>0.67277452699999996</v>
      </c>
      <c r="E2774" s="1"/>
      <c r="H2774" s="2">
        <v>47.483362700000001</v>
      </c>
      <c r="I2774" s="2">
        <v>29.414297900000001</v>
      </c>
      <c r="J2774" s="2">
        <v>16.581375099999999</v>
      </c>
      <c r="L2774" s="2"/>
      <c r="M2774" s="2"/>
    </row>
    <row r="2775" spans="2:13">
      <c r="B2775" s="2"/>
      <c r="C2775" s="1">
        <v>61.216336920000003</v>
      </c>
      <c r="D2775" s="1">
        <v>0.68596618499999995</v>
      </c>
      <c r="E2775" s="1"/>
      <c r="H2775" s="2">
        <v>29.7105596</v>
      </c>
      <c r="I2775" s="2">
        <v>10.447361600000001</v>
      </c>
      <c r="J2775" s="2">
        <v>15.9556629</v>
      </c>
      <c r="L2775" s="2"/>
      <c r="M2775" s="2"/>
    </row>
    <row r="2776" spans="2:13">
      <c r="B2776" s="2"/>
      <c r="C2776" s="1">
        <v>44.20810917</v>
      </c>
      <c r="D2776" s="1">
        <v>2.6119481640000002</v>
      </c>
      <c r="E2776" s="1"/>
      <c r="H2776" s="2">
        <v>8.3867645599999996</v>
      </c>
      <c r="I2776" s="2">
        <v>12.763815299999999</v>
      </c>
      <c r="J2776" s="2">
        <v>13.765669900000001</v>
      </c>
      <c r="L2776" s="2"/>
      <c r="M2776" s="2"/>
    </row>
    <row r="2777" spans="2:13">
      <c r="B2777" s="2"/>
      <c r="C2777" s="1">
        <v>6.6535559009999998</v>
      </c>
      <c r="D2777" s="1">
        <v>24.648611840000001</v>
      </c>
      <c r="E2777" s="1"/>
      <c r="H2777" s="2">
        <v>19.3609352</v>
      </c>
      <c r="I2777" s="2">
        <v>16.324002499999999</v>
      </c>
      <c r="J2777" s="2">
        <v>26.314677100000001</v>
      </c>
      <c r="L2777" s="2"/>
      <c r="M2777" s="2"/>
    </row>
    <row r="2778" spans="2:13">
      <c r="B2778" s="2"/>
      <c r="C2778" s="1">
        <v>6.7984609300000001</v>
      </c>
      <c r="D2778" s="1">
        <v>189.38602940000001</v>
      </c>
      <c r="E2778" s="1"/>
      <c r="H2778" s="2">
        <v>20.972859499999998</v>
      </c>
      <c r="I2778" s="2">
        <v>17.909762799999999</v>
      </c>
      <c r="J2778" s="2">
        <v>111.13345099999999</v>
      </c>
      <c r="L2778" s="2"/>
      <c r="M2778" s="2"/>
    </row>
    <row r="2779" spans="2:13">
      <c r="B2779" s="2"/>
      <c r="C2779" s="1">
        <v>19.326708199999999</v>
      </c>
      <c r="D2779" s="1">
        <v>1.207036652</v>
      </c>
      <c r="E2779" s="1"/>
      <c r="H2779" s="2">
        <v>18.891038500000001</v>
      </c>
      <c r="I2779" s="2">
        <v>15.095815699999999</v>
      </c>
      <c r="J2779" s="2">
        <v>48.145082899999998</v>
      </c>
      <c r="L2779" s="2"/>
      <c r="M2779" s="2"/>
    </row>
    <row r="2780" spans="2:13">
      <c r="B2780" s="2"/>
      <c r="C2780" s="1">
        <v>10.294294750000001</v>
      </c>
      <c r="D2780" s="1">
        <v>1.576403059</v>
      </c>
      <c r="E2780" s="1"/>
      <c r="H2780" s="2">
        <v>28.729129700000001</v>
      </c>
      <c r="I2780" s="2">
        <v>71.126011000000005</v>
      </c>
      <c r="J2780" s="2">
        <v>18.354226600000001</v>
      </c>
      <c r="L2780" s="2"/>
      <c r="M2780" s="2"/>
    </row>
    <row r="2781" spans="2:13">
      <c r="B2781" s="2"/>
      <c r="C2781" s="1">
        <v>22.06179062</v>
      </c>
      <c r="D2781" s="1">
        <v>0.230854004</v>
      </c>
      <c r="E2781" s="1"/>
      <c r="H2781" s="2">
        <v>97.780157799999998</v>
      </c>
      <c r="I2781" s="2">
        <v>51.397288000000003</v>
      </c>
      <c r="J2781" s="2">
        <v>34.1013187</v>
      </c>
      <c r="L2781" s="2"/>
      <c r="M2781" s="2"/>
    </row>
    <row r="2782" spans="2:13">
      <c r="B2782" s="2"/>
      <c r="C2782" s="1">
        <v>100.7814475</v>
      </c>
      <c r="D2782" s="1">
        <v>0.73873281400000002</v>
      </c>
      <c r="E2782" s="1"/>
      <c r="H2782" s="2">
        <v>72.251084500000005</v>
      </c>
      <c r="I2782" s="2">
        <v>16.7437626</v>
      </c>
      <c r="J2782" s="2">
        <v>8.0994977099999996</v>
      </c>
      <c r="L2782" s="2"/>
      <c r="M2782" s="2"/>
    </row>
    <row r="2783" spans="2:13">
      <c r="B2783" s="2"/>
      <c r="C2783" s="1">
        <v>14.768237510000001</v>
      </c>
      <c r="D2783" s="1">
        <v>0.93001184599999998</v>
      </c>
      <c r="E2783" s="1"/>
      <c r="H2783" s="2">
        <v>18.8375059</v>
      </c>
      <c r="I2783" s="2">
        <v>29.321017900000001</v>
      </c>
      <c r="J2783" s="2">
        <v>7.5433090199999997</v>
      </c>
      <c r="L2783" s="2"/>
      <c r="M2783" s="2"/>
    </row>
    <row r="2784" spans="2:13">
      <c r="B2784" s="2"/>
      <c r="C2784" s="1">
        <v>37.771910810000001</v>
      </c>
      <c r="D2784" s="1">
        <v>0.620007898</v>
      </c>
      <c r="E2784" s="1"/>
      <c r="H2784" s="2">
        <v>37.466829799999999</v>
      </c>
      <c r="I2784" s="2">
        <v>6.6850677000000003</v>
      </c>
      <c r="J2784" s="2">
        <v>15.260427</v>
      </c>
      <c r="L2784" s="2"/>
      <c r="M2784" s="2"/>
    </row>
    <row r="2785" spans="2:13">
      <c r="B2785" s="2"/>
      <c r="C2785" s="1">
        <v>50.541666470000003</v>
      </c>
      <c r="D2785" s="1">
        <v>0.45511217999999998</v>
      </c>
      <c r="E2785" s="1"/>
      <c r="H2785" s="2">
        <v>9.3027657900000005</v>
      </c>
      <c r="I2785" s="2">
        <v>9.3435481199999995</v>
      </c>
      <c r="J2785" s="2">
        <v>5.8399811799999997</v>
      </c>
      <c r="L2785" s="2"/>
      <c r="M2785" s="2"/>
    </row>
    <row r="2786" spans="2:13">
      <c r="B2786" s="2"/>
      <c r="C2786" s="1">
        <v>3.9667751610000002</v>
      </c>
      <c r="D2786" s="1">
        <v>0.34957892099999999</v>
      </c>
      <c r="E2786" s="1"/>
      <c r="H2786" s="2">
        <v>11.7355223</v>
      </c>
      <c r="I2786" s="2">
        <v>15.422295699999999</v>
      </c>
      <c r="J2786" s="2">
        <v>12.3056746</v>
      </c>
      <c r="L2786" s="2"/>
      <c r="M2786" s="2"/>
    </row>
    <row r="2787" spans="2:13">
      <c r="B2787" s="2"/>
      <c r="C2787" s="1">
        <v>13.47012996</v>
      </c>
      <c r="D2787" s="1">
        <v>3.9904763619999999</v>
      </c>
      <c r="E2787" s="1"/>
      <c r="H2787" s="2">
        <v>19.6048057</v>
      </c>
      <c r="I2787" s="2">
        <v>6.7938943900000002</v>
      </c>
      <c r="J2787" s="2">
        <v>9.6290165900000009</v>
      </c>
      <c r="L2787" s="2"/>
      <c r="M2787" s="2"/>
    </row>
    <row r="2788" spans="2:13">
      <c r="B2788" s="2"/>
      <c r="C2788" s="1">
        <v>18.155392549999998</v>
      </c>
      <c r="D2788" s="1">
        <v>1.596190545</v>
      </c>
      <c r="E2788" s="1"/>
      <c r="H2788" s="2">
        <v>8.9280380200000007</v>
      </c>
      <c r="I2788" s="2">
        <v>13.8054421</v>
      </c>
      <c r="J2788" s="2">
        <v>73.729762399999998</v>
      </c>
      <c r="L2788" s="2"/>
      <c r="M2788" s="2"/>
    </row>
    <row r="2789" spans="2:13">
      <c r="B2789" s="2"/>
      <c r="C2789" s="1">
        <v>11.16372492</v>
      </c>
      <c r="D2789" s="1">
        <v>1.4708698</v>
      </c>
      <c r="E2789" s="1"/>
      <c r="H2789" s="2">
        <v>15.4530598</v>
      </c>
      <c r="I2789" s="2">
        <v>8.9704280599999997</v>
      </c>
      <c r="J2789" s="2">
        <v>29.5475238</v>
      </c>
      <c r="L2789" s="2"/>
      <c r="M2789" s="2"/>
    </row>
    <row r="2790" spans="2:13">
      <c r="B2790" s="2"/>
      <c r="C2790" s="1">
        <v>17.618036409999998</v>
      </c>
      <c r="D2790" s="1">
        <v>0.90362853200000004</v>
      </c>
      <c r="E2790" s="1"/>
      <c r="H2790" s="2">
        <v>13.359342699999999</v>
      </c>
      <c r="I2790" s="2">
        <v>51.537208</v>
      </c>
      <c r="J2790" s="2">
        <v>17.450420000000001</v>
      </c>
      <c r="L2790" s="2"/>
      <c r="M2790" s="2"/>
    </row>
    <row r="2791" spans="2:13">
      <c r="B2791" s="2"/>
      <c r="C2791" s="1">
        <v>4.2746983470000002</v>
      </c>
      <c r="D2791" s="1">
        <v>126.1320322</v>
      </c>
      <c r="E2791" s="1"/>
      <c r="H2791" s="2">
        <v>86.871415900000002</v>
      </c>
      <c r="I2791" s="2">
        <v>25.791924000000002</v>
      </c>
      <c r="J2791" s="2">
        <v>10.359014200000001</v>
      </c>
      <c r="L2791" s="2"/>
      <c r="M2791" s="2"/>
    </row>
    <row r="2792" spans="2:13">
      <c r="B2792" s="2"/>
      <c r="C2792" s="1">
        <v>41.690384299999998</v>
      </c>
      <c r="D2792" s="1">
        <v>1.0949075640000001</v>
      </c>
      <c r="E2792" s="1"/>
      <c r="H2792" s="2">
        <v>31.257055099999999</v>
      </c>
      <c r="I2792" s="2">
        <v>34.358138699999998</v>
      </c>
      <c r="J2792" s="2">
        <v>31.494184199999999</v>
      </c>
      <c r="L2792" s="2"/>
      <c r="M2792" s="2"/>
    </row>
    <row r="2793" spans="2:13">
      <c r="B2793" s="2"/>
      <c r="C2793" s="1">
        <v>37.820212490000003</v>
      </c>
      <c r="D2793" s="1">
        <v>1.0817159059999999</v>
      </c>
      <c r="E2793" s="1"/>
      <c r="H2793" s="2">
        <v>26.754373699999999</v>
      </c>
      <c r="I2793" s="2">
        <v>12.639442000000001</v>
      </c>
      <c r="J2793" s="2">
        <v>22.0737384</v>
      </c>
      <c r="L2793" s="2"/>
      <c r="M2793" s="2"/>
    </row>
    <row r="2794" spans="2:13">
      <c r="B2794" s="2"/>
      <c r="C2794" s="1">
        <v>24.090461019999999</v>
      </c>
      <c r="D2794" s="1">
        <v>0.73873281400000002</v>
      </c>
      <c r="E2794" s="1"/>
      <c r="H2794" s="2">
        <v>15.042643699999999</v>
      </c>
      <c r="I2794" s="2">
        <v>34.358138699999998</v>
      </c>
      <c r="J2794" s="2">
        <v>25.132776100000001</v>
      </c>
      <c r="L2794" s="2"/>
      <c r="M2794" s="2"/>
    </row>
    <row r="2795" spans="2:13">
      <c r="B2795" s="2"/>
      <c r="C2795" s="1">
        <v>17.70860205</v>
      </c>
      <c r="D2795" s="1">
        <v>1.9787486E-2</v>
      </c>
      <c r="E2795" s="1"/>
      <c r="H2795" s="2">
        <v>32.678641499999998</v>
      </c>
      <c r="I2795" s="2">
        <v>28.745791100000002</v>
      </c>
      <c r="J2795" s="2">
        <v>11.645200600000001</v>
      </c>
      <c r="L2795" s="2"/>
      <c r="M2795" s="2"/>
    </row>
    <row r="2796" spans="2:13">
      <c r="B2796" s="2"/>
      <c r="C2796" s="1">
        <v>25.231588120000001</v>
      </c>
      <c r="D2796" s="1">
        <v>0.158299889</v>
      </c>
      <c r="E2796" s="1"/>
      <c r="H2796" s="2">
        <v>26.1000871</v>
      </c>
      <c r="I2796" s="2">
        <v>38.555739299999999</v>
      </c>
      <c r="J2796" s="2">
        <v>2.4333254900000001</v>
      </c>
      <c r="L2796" s="2"/>
      <c r="M2796" s="2"/>
    </row>
    <row r="2797" spans="2:13">
      <c r="B2797" s="2"/>
      <c r="C2797" s="1">
        <v>31.577220839999999</v>
      </c>
      <c r="D2797" s="1">
        <v>1.2532074529999999</v>
      </c>
      <c r="E2797" s="1"/>
      <c r="H2797" s="2">
        <v>32.714329800000002</v>
      </c>
      <c r="I2797" s="2">
        <v>10.120881600000001</v>
      </c>
      <c r="J2797" s="2">
        <v>3.68475003</v>
      </c>
      <c r="L2797" s="2"/>
      <c r="M2797" s="2"/>
    </row>
    <row r="2798" spans="2:13">
      <c r="B2798" s="2"/>
      <c r="C2798" s="1">
        <v>35.284374489999998</v>
      </c>
      <c r="D2798" s="1">
        <v>0.38255806399999998</v>
      </c>
      <c r="E2798" s="1"/>
      <c r="H2798" s="2">
        <v>13.644849600000001</v>
      </c>
      <c r="I2798" s="2">
        <v>2.9383204599999999</v>
      </c>
      <c r="J2798" s="2">
        <v>29.165144099999999</v>
      </c>
      <c r="L2798" s="2"/>
      <c r="M2798" s="2"/>
    </row>
    <row r="2799" spans="2:13">
      <c r="B2799" s="2"/>
      <c r="C2799" s="1">
        <v>12.516171849999999</v>
      </c>
      <c r="D2799" s="1">
        <v>4.5643134590000001</v>
      </c>
      <c r="E2799" s="1"/>
      <c r="H2799" s="2">
        <v>2.33163951</v>
      </c>
      <c r="I2799" s="2">
        <v>4.5707207099999998</v>
      </c>
      <c r="J2799" s="2">
        <v>9.8375873400000007</v>
      </c>
      <c r="L2799" s="2"/>
      <c r="M2799" s="2"/>
    </row>
    <row r="2800" spans="2:13">
      <c r="B2800" s="2"/>
      <c r="C2800" s="1">
        <v>0.88150559100000003</v>
      </c>
      <c r="D2800" s="1">
        <v>0.78490361500000005</v>
      </c>
      <c r="E2800" s="1"/>
      <c r="H2800" s="2">
        <v>4.5859542400000004</v>
      </c>
      <c r="I2800" s="2">
        <v>26.102857400000001</v>
      </c>
      <c r="J2800" s="2">
        <v>80.473550200000005</v>
      </c>
      <c r="L2800" s="2"/>
      <c r="M2800" s="2"/>
    </row>
    <row r="2801" spans="2:13">
      <c r="B2801" s="2"/>
      <c r="C2801" s="1">
        <v>6.7078952870000004</v>
      </c>
      <c r="D2801" s="1">
        <v>0.68596618499999995</v>
      </c>
      <c r="E2801" s="1"/>
      <c r="H2801" s="2">
        <v>30.204248499999999</v>
      </c>
      <c r="I2801" s="2">
        <v>16.821495899999999</v>
      </c>
      <c r="J2801" s="2">
        <v>13.730908100000001</v>
      </c>
      <c r="L2801" s="2"/>
      <c r="M2801" s="2"/>
    </row>
    <row r="2802" spans="2:13">
      <c r="B2802" s="2"/>
      <c r="C2802" s="1">
        <v>13.458054539999999</v>
      </c>
      <c r="D2802" s="1">
        <v>0.30340812</v>
      </c>
      <c r="E2802" s="1"/>
      <c r="H2802" s="2">
        <v>11.8366393</v>
      </c>
      <c r="I2802" s="2">
        <v>116.242445</v>
      </c>
      <c r="J2802" s="2">
        <v>9.8375873400000007</v>
      </c>
      <c r="L2802" s="2"/>
      <c r="M2802" s="2"/>
    </row>
    <row r="2803" spans="2:13">
      <c r="B2803" s="2"/>
      <c r="C2803" s="1">
        <v>14.369748680000001</v>
      </c>
      <c r="D2803" s="1">
        <v>0.26383314800000002</v>
      </c>
      <c r="E2803" s="1"/>
      <c r="H2803" s="2">
        <v>92.415007799999998</v>
      </c>
      <c r="I2803" s="2">
        <v>6.7938943900000002</v>
      </c>
      <c r="J2803" s="2">
        <v>7.36950006</v>
      </c>
      <c r="L2803" s="2"/>
      <c r="M2803" s="2"/>
    </row>
    <row r="2804" spans="2:13">
      <c r="B2804" s="2"/>
      <c r="C2804" s="1">
        <v>66.131032469999994</v>
      </c>
      <c r="D2804" s="1">
        <v>0.12532074500000001</v>
      </c>
      <c r="E2804" s="1"/>
      <c r="H2804" s="2">
        <v>15.2805661</v>
      </c>
      <c r="I2804" s="2">
        <v>9.7633081799999992</v>
      </c>
      <c r="J2804" s="2">
        <v>4.2757005100000001</v>
      </c>
      <c r="L2804" s="2"/>
      <c r="M2804" s="2"/>
    </row>
    <row r="2805" spans="2:13">
      <c r="B2805" s="2"/>
      <c r="C2805" s="1">
        <v>30.88892195</v>
      </c>
      <c r="D2805" s="1">
        <v>0.75852030000000004</v>
      </c>
      <c r="E2805" s="1"/>
      <c r="H2805" s="2">
        <v>12.931082399999999</v>
      </c>
      <c r="I2805" s="2">
        <v>9.84104153</v>
      </c>
      <c r="J2805" s="2">
        <v>5.2490306999999996</v>
      </c>
      <c r="L2805" s="2"/>
      <c r="M2805" s="2"/>
    </row>
    <row r="2806" spans="2:13">
      <c r="B2806" s="2"/>
      <c r="C2806" s="1">
        <v>23.43838839</v>
      </c>
      <c r="D2806" s="1">
        <v>0.87724521700000002</v>
      </c>
      <c r="E2806" s="1"/>
      <c r="H2806" s="2">
        <v>8.8685574200000001</v>
      </c>
      <c r="I2806" s="2">
        <v>3.9333072800000002</v>
      </c>
      <c r="J2806" s="2">
        <v>22.0042148</v>
      </c>
      <c r="L2806" s="2"/>
      <c r="M2806" s="2"/>
    </row>
    <row r="2807" spans="2:13">
      <c r="B2807" s="2"/>
      <c r="C2807" s="1">
        <v>6.5629902580000001</v>
      </c>
      <c r="D2807" s="1">
        <v>5.1711296989999997</v>
      </c>
      <c r="E2807" s="1"/>
      <c r="H2807" s="2">
        <v>6.89974957</v>
      </c>
      <c r="I2807" s="2">
        <v>6.2653076399999996</v>
      </c>
      <c r="J2807" s="2">
        <v>19.431842100000001</v>
      </c>
      <c r="L2807" s="2"/>
      <c r="M2807" s="2"/>
    </row>
    <row r="2808" spans="2:13">
      <c r="B2808" s="2"/>
      <c r="C2808" s="1">
        <v>6.0377095289999998</v>
      </c>
      <c r="D2808" s="1">
        <v>2.8493979970000001</v>
      </c>
      <c r="E2808" s="1"/>
      <c r="H2808" s="2">
        <v>6.3227877499999998</v>
      </c>
      <c r="I2808" s="2">
        <v>15.313469</v>
      </c>
      <c r="J2808" s="2">
        <v>76.927847299999996</v>
      </c>
      <c r="L2808" s="2"/>
      <c r="M2808" s="2"/>
    </row>
    <row r="2809" spans="2:13">
      <c r="B2809" s="2"/>
      <c r="C2809" s="1">
        <v>3.7252667800000001</v>
      </c>
      <c r="D2809" s="1">
        <v>1.226824138</v>
      </c>
      <c r="E2809" s="1"/>
      <c r="H2809" s="2">
        <v>23.459148500000001</v>
      </c>
      <c r="I2809" s="2">
        <v>14.2252022</v>
      </c>
      <c r="J2809" s="2">
        <v>28.226575700000001</v>
      </c>
      <c r="L2809" s="2"/>
      <c r="M2809" s="2"/>
    </row>
    <row r="2810" spans="2:13">
      <c r="B2810" s="2"/>
      <c r="C2810" s="1">
        <v>9.4852416700000006</v>
      </c>
      <c r="D2810" s="1">
        <v>2.6185439929999998</v>
      </c>
      <c r="E2810" s="1"/>
      <c r="H2810" s="2">
        <v>18.546050999999999</v>
      </c>
      <c r="I2810" s="2">
        <v>60.336622699999999</v>
      </c>
      <c r="J2810" s="2">
        <v>12.757577899999999</v>
      </c>
      <c r="L2810" s="2"/>
      <c r="M2810" s="2"/>
    </row>
    <row r="2811" spans="2:13">
      <c r="B2811" s="2"/>
      <c r="C2811" s="1">
        <v>24.018008510000001</v>
      </c>
      <c r="D2811" s="1">
        <v>2.5723731920000001</v>
      </c>
      <c r="E2811" s="1"/>
      <c r="H2811" s="2">
        <v>88.394119200000006</v>
      </c>
      <c r="I2811" s="2">
        <v>27.595337600000001</v>
      </c>
      <c r="J2811" s="2">
        <v>52.455545200000003</v>
      </c>
      <c r="L2811" s="2"/>
      <c r="M2811" s="2"/>
    </row>
    <row r="2812" spans="2:13">
      <c r="B2812" s="2"/>
      <c r="C2812" s="1">
        <v>104.9957687</v>
      </c>
      <c r="D2812" s="1">
        <v>4.3862260839999996</v>
      </c>
      <c r="E2812" s="1"/>
      <c r="H2812" s="2">
        <v>37.431141400000001</v>
      </c>
      <c r="I2812" s="2">
        <v>16.666029300000002</v>
      </c>
      <c r="J2812" s="2">
        <v>31.389898800000001</v>
      </c>
      <c r="L2812" s="2"/>
      <c r="M2812" s="2"/>
    </row>
    <row r="2813" spans="2:13">
      <c r="B2813" s="2"/>
      <c r="C2813" s="1">
        <v>29.645153789999998</v>
      </c>
      <c r="D2813" s="1">
        <v>0.850861902</v>
      </c>
      <c r="E2813" s="1"/>
      <c r="H2813" s="2">
        <v>19.140857</v>
      </c>
      <c r="I2813" s="2">
        <v>49.080834299999999</v>
      </c>
      <c r="J2813" s="2">
        <v>117.251527</v>
      </c>
      <c r="L2813" s="2"/>
      <c r="M2813" s="2"/>
    </row>
    <row r="2814" spans="2:13">
      <c r="B2814" s="2"/>
      <c r="C2814" s="1">
        <v>30.37571664</v>
      </c>
      <c r="D2814" s="1">
        <v>6.5826370399999998</v>
      </c>
      <c r="E2814" s="1"/>
      <c r="H2814" s="2">
        <v>55.215840700000001</v>
      </c>
      <c r="I2814" s="2">
        <v>34.637978699999998</v>
      </c>
      <c r="J2814" s="2">
        <v>14.8085237</v>
      </c>
      <c r="L2814" s="2"/>
      <c r="M2814" s="2"/>
    </row>
    <row r="2815" spans="2:13">
      <c r="B2815" s="2"/>
      <c r="C2815" s="1">
        <v>33.581740400000001</v>
      </c>
      <c r="D2815" s="1">
        <v>294.89290519999997</v>
      </c>
      <c r="E2815" s="1"/>
      <c r="H2815" s="2">
        <v>39.923378499999998</v>
      </c>
      <c r="I2815" s="2">
        <v>83.361239600000005</v>
      </c>
      <c r="J2815" s="2">
        <v>63.787889700000001</v>
      </c>
      <c r="L2815" s="2"/>
      <c r="M2815" s="2"/>
    </row>
    <row r="2816" spans="2:13">
      <c r="B2816" s="2"/>
      <c r="C2816" s="1">
        <v>24.971966609999999</v>
      </c>
      <c r="D2816" s="1">
        <v>2.170027642</v>
      </c>
      <c r="E2816" s="1"/>
      <c r="H2816" s="2">
        <v>104.13268600000001</v>
      </c>
      <c r="I2816" s="2">
        <v>20.350589800000002</v>
      </c>
      <c r="J2816" s="2">
        <v>46.511278699999998</v>
      </c>
      <c r="L2816" s="2"/>
      <c r="M2816" s="2"/>
    </row>
    <row r="2817" spans="2:13">
      <c r="B2817" s="2"/>
      <c r="C2817" s="1">
        <v>90.861490700000004</v>
      </c>
      <c r="D2817" s="1">
        <v>1.292782425</v>
      </c>
      <c r="E2817" s="1"/>
      <c r="H2817" s="2">
        <v>18.207011600000001</v>
      </c>
      <c r="I2817" s="2">
        <v>41.6495265</v>
      </c>
      <c r="J2817" s="2">
        <v>34.761792700000001</v>
      </c>
      <c r="L2817" s="2"/>
      <c r="M2817" s="2"/>
    </row>
    <row r="2818" spans="2:13">
      <c r="B2818" s="2"/>
      <c r="C2818" s="1">
        <v>17.829356239999999</v>
      </c>
      <c r="D2818" s="1">
        <v>1.068524249</v>
      </c>
      <c r="E2818" s="1"/>
      <c r="H2818" s="2">
        <v>64.833853700000006</v>
      </c>
      <c r="I2818" s="2">
        <v>24.439363799999999</v>
      </c>
      <c r="J2818" s="2">
        <v>16.616136900000001</v>
      </c>
      <c r="L2818" s="2"/>
      <c r="M2818" s="2"/>
    </row>
    <row r="2819" spans="2:13">
      <c r="B2819" s="2"/>
      <c r="C2819" s="1">
        <v>150.87028570000001</v>
      </c>
      <c r="D2819" s="1">
        <v>4.702825861</v>
      </c>
      <c r="E2819" s="1"/>
      <c r="H2819" s="2">
        <v>42.885512400000003</v>
      </c>
      <c r="I2819" s="2">
        <v>36.736778999999999</v>
      </c>
      <c r="J2819" s="2">
        <v>15.051856300000001</v>
      </c>
      <c r="L2819" s="2"/>
      <c r="M2819" s="2"/>
    </row>
    <row r="2820" spans="2:13">
      <c r="B2820" s="2"/>
      <c r="C2820" s="1">
        <v>13.735789179999999</v>
      </c>
      <c r="D2820" s="1">
        <v>0.17808737499999999</v>
      </c>
      <c r="E2820" s="1"/>
      <c r="H2820" s="2">
        <v>35.616983099999999</v>
      </c>
      <c r="I2820" s="2">
        <v>12.2041352</v>
      </c>
      <c r="J2820" s="2">
        <v>110.26440700000001</v>
      </c>
      <c r="L2820" s="2"/>
      <c r="M2820" s="2"/>
    </row>
    <row r="2821" spans="2:13">
      <c r="B2821" s="2"/>
      <c r="C2821" s="1">
        <v>55.462399740000002</v>
      </c>
      <c r="D2821" s="1">
        <v>2.420669132</v>
      </c>
      <c r="E2821" s="1"/>
      <c r="H2821" s="2">
        <v>18.183219300000001</v>
      </c>
      <c r="I2821" s="2">
        <v>13.4789621</v>
      </c>
      <c r="J2821" s="2">
        <v>3.23284672</v>
      </c>
      <c r="L2821" s="2"/>
      <c r="M2821" s="2"/>
    </row>
    <row r="2822" spans="2:13">
      <c r="B2822" s="2"/>
      <c r="C2822" s="1">
        <v>12.54032269</v>
      </c>
      <c r="D2822" s="1">
        <v>2.2491775860000001</v>
      </c>
      <c r="E2822" s="1"/>
      <c r="H2822" s="2">
        <v>19.592909500000001</v>
      </c>
      <c r="I2822" s="2">
        <v>63.648063200000003</v>
      </c>
      <c r="J2822" s="2">
        <v>24.507063899999999</v>
      </c>
      <c r="L2822" s="2"/>
      <c r="M2822" s="2"/>
    </row>
    <row r="2823" spans="2:13">
      <c r="B2823" s="2"/>
      <c r="C2823" s="1">
        <v>36.811914999999999</v>
      </c>
      <c r="D2823" s="1">
        <v>1.3389532260000001</v>
      </c>
      <c r="E2823" s="1"/>
      <c r="H2823" s="2">
        <v>103.84123099999999</v>
      </c>
      <c r="I2823" s="2">
        <v>6.0010142599999998</v>
      </c>
      <c r="J2823" s="2">
        <v>47.866988599999999</v>
      </c>
      <c r="L2823" s="2"/>
      <c r="M2823" s="2"/>
    </row>
    <row r="2824" spans="2:13">
      <c r="B2824" s="2"/>
      <c r="C2824" s="1">
        <v>90.909792379999999</v>
      </c>
      <c r="D2824" s="1">
        <v>2.1172610120000002</v>
      </c>
      <c r="E2824" s="1"/>
      <c r="H2824" s="2">
        <v>5.4067865099999999</v>
      </c>
      <c r="I2824" s="2">
        <v>31.870671600000001</v>
      </c>
      <c r="J2824" s="2">
        <v>16.094709999999999</v>
      </c>
      <c r="L2824" s="2"/>
      <c r="M2824" s="2"/>
    </row>
    <row r="2825" spans="2:13">
      <c r="B2825" s="2"/>
      <c r="C2825" s="1">
        <v>10.08901262</v>
      </c>
      <c r="D2825" s="1">
        <v>0.32319560600000002</v>
      </c>
      <c r="E2825" s="1"/>
      <c r="H2825" s="2">
        <v>31.494977500000001</v>
      </c>
      <c r="I2825" s="2">
        <v>65.3426501</v>
      </c>
      <c r="J2825" s="2">
        <v>27.496578</v>
      </c>
      <c r="L2825" s="2"/>
      <c r="M2825" s="2"/>
    </row>
    <row r="2826" spans="2:13">
      <c r="B2826" s="2"/>
      <c r="C2826" s="1">
        <v>33.768909399999998</v>
      </c>
      <c r="D2826" s="1">
        <v>4.1817553939999996</v>
      </c>
      <c r="E2826" s="1"/>
      <c r="H2826" s="2">
        <v>82.214084900000003</v>
      </c>
      <c r="I2826" s="2">
        <v>12.639442000000001</v>
      </c>
      <c r="J2826" s="2">
        <v>5.94426656</v>
      </c>
      <c r="L2826" s="2"/>
      <c r="M2826" s="2"/>
    </row>
    <row r="2827" spans="2:13">
      <c r="B2827" s="2"/>
      <c r="C2827" s="1">
        <v>16.25351405</v>
      </c>
      <c r="D2827" s="1">
        <v>303.34216179999999</v>
      </c>
      <c r="E2827" s="1"/>
      <c r="H2827" s="2">
        <v>20.449430199999998</v>
      </c>
      <c r="I2827" s="2">
        <v>50.013634400000001</v>
      </c>
      <c r="J2827" s="2">
        <v>15.7123303</v>
      </c>
      <c r="L2827" s="2"/>
      <c r="M2827" s="2"/>
    </row>
    <row r="2828" spans="2:13">
      <c r="B2828" s="2"/>
      <c r="C2828" s="1">
        <v>15.08823611</v>
      </c>
      <c r="D2828" s="1">
        <v>1.457678142</v>
      </c>
      <c r="E2828" s="1"/>
      <c r="H2828" s="2">
        <v>40.155352899999997</v>
      </c>
      <c r="I2828" s="2">
        <v>4.1665073100000001</v>
      </c>
      <c r="J2828" s="2">
        <v>32.710847000000001</v>
      </c>
      <c r="L2828" s="2"/>
      <c r="M2828" s="2"/>
    </row>
    <row r="2829" spans="2:13">
      <c r="B2829" s="2"/>
      <c r="C2829" s="1">
        <v>46.617155269999998</v>
      </c>
      <c r="D2829" s="1">
        <v>2.7438647380000001</v>
      </c>
      <c r="E2829" s="1"/>
      <c r="H2829" s="2">
        <v>7.7860104999999997</v>
      </c>
      <c r="I2829" s="2">
        <v>27.984004299999999</v>
      </c>
      <c r="J2829" s="2">
        <v>25.5151559</v>
      </c>
      <c r="L2829" s="2"/>
      <c r="M2829" s="2"/>
    </row>
    <row r="2830" spans="2:13">
      <c r="B2830" s="2"/>
      <c r="C2830" s="1">
        <v>9.050526584</v>
      </c>
      <c r="D2830" s="1">
        <v>1.7281071189999999</v>
      </c>
      <c r="E2830" s="1"/>
      <c r="H2830" s="2">
        <v>21.121561</v>
      </c>
      <c r="I2830" s="2">
        <v>41.291953100000001</v>
      </c>
      <c r="J2830" s="2">
        <v>59.546950899999999</v>
      </c>
      <c r="L2830" s="2"/>
      <c r="M2830" s="2"/>
    </row>
    <row r="2831" spans="2:13">
      <c r="B2831" s="2"/>
      <c r="C2831" s="1">
        <v>33.40664683</v>
      </c>
      <c r="D2831" s="1">
        <v>0.70575367099999997</v>
      </c>
      <c r="E2831" s="1"/>
      <c r="H2831" s="2">
        <v>33.011732799999997</v>
      </c>
      <c r="I2831" s="2">
        <v>32.663551699999999</v>
      </c>
      <c r="J2831" s="2">
        <v>39.767490899999999</v>
      </c>
      <c r="L2831" s="2"/>
      <c r="M2831" s="2"/>
    </row>
    <row r="2832" spans="2:13">
      <c r="B2832" s="2"/>
      <c r="C2832" s="1">
        <v>45.198293540000002</v>
      </c>
      <c r="D2832" s="1">
        <v>56.170077190000001</v>
      </c>
      <c r="E2832" s="1"/>
      <c r="H2832" s="2">
        <v>38.4482596</v>
      </c>
      <c r="I2832" s="2">
        <v>38.089339199999998</v>
      </c>
      <c r="J2832" s="2">
        <v>8.9685425199999997</v>
      </c>
      <c r="L2832" s="2"/>
      <c r="M2832" s="2"/>
    </row>
    <row r="2833" spans="2:13">
      <c r="B2833" s="2"/>
      <c r="C2833" s="1">
        <v>48.851107800000001</v>
      </c>
      <c r="D2833" s="1">
        <v>1.174057508</v>
      </c>
      <c r="E2833" s="1"/>
      <c r="H2833" s="2">
        <v>60.081353800000002</v>
      </c>
      <c r="I2833" s="2">
        <v>37.8405925</v>
      </c>
      <c r="J2833" s="2">
        <v>5.2837924899999997</v>
      </c>
      <c r="L2833" s="2"/>
      <c r="M2833" s="2"/>
    </row>
    <row r="2834" spans="2:13">
      <c r="B2834" s="2"/>
      <c r="C2834" s="1">
        <v>51.187701390000001</v>
      </c>
      <c r="D2834" s="1">
        <v>0.83767024499999998</v>
      </c>
      <c r="E2834" s="1"/>
      <c r="H2834" s="2">
        <v>50.861860800000002</v>
      </c>
      <c r="I2834" s="2">
        <v>12.0642152</v>
      </c>
      <c r="J2834" s="2">
        <v>19.2580332</v>
      </c>
      <c r="L2834" s="2"/>
      <c r="M2834" s="2"/>
    </row>
    <row r="2835" spans="2:13">
      <c r="B2835" s="2"/>
      <c r="C2835" s="1">
        <v>41.473026760000003</v>
      </c>
      <c r="D2835" s="1">
        <v>0.79809527199999997</v>
      </c>
      <c r="E2835" s="1"/>
      <c r="H2835" s="2">
        <v>9.9927407499999994</v>
      </c>
      <c r="I2835" s="2">
        <v>10.074241600000001</v>
      </c>
      <c r="J2835" s="2">
        <v>24.228969500000002</v>
      </c>
      <c r="L2835" s="2"/>
      <c r="M2835" s="2"/>
    </row>
    <row r="2836" spans="2:13">
      <c r="B2836" s="2"/>
      <c r="C2836" s="1">
        <v>23.414237549999999</v>
      </c>
      <c r="D2836" s="1">
        <v>1.299378253</v>
      </c>
      <c r="E2836" s="1"/>
      <c r="H2836" s="2">
        <v>9.4038828100000007</v>
      </c>
      <c r="I2836" s="2">
        <v>16.184082499999999</v>
      </c>
      <c r="J2836" s="2">
        <v>15.5385214</v>
      </c>
      <c r="L2836" s="2"/>
      <c r="M2836" s="2"/>
    </row>
    <row r="2837" spans="2:13">
      <c r="B2837" s="2"/>
      <c r="C2837" s="1">
        <v>10.409011230000001</v>
      </c>
      <c r="D2837" s="1">
        <v>0.43532469400000001</v>
      </c>
      <c r="E2837" s="1"/>
      <c r="H2837" s="2">
        <v>23.066576600000001</v>
      </c>
      <c r="I2837" s="2">
        <v>32.290431699999999</v>
      </c>
      <c r="J2837" s="2">
        <v>9.2118750699999996</v>
      </c>
      <c r="L2837" s="2"/>
      <c r="M2837" s="2"/>
    </row>
    <row r="2838" spans="2:13">
      <c r="B2838" s="2"/>
      <c r="C2838" s="1">
        <v>38.351530930000003</v>
      </c>
      <c r="D2838" s="1">
        <v>3.1396144600000002</v>
      </c>
      <c r="E2838" s="1"/>
      <c r="H2838" s="2">
        <v>29.871157199999999</v>
      </c>
      <c r="I2838" s="2">
        <v>18.220696199999999</v>
      </c>
      <c r="J2838" s="2">
        <v>5.1795071200000002</v>
      </c>
      <c r="L2838" s="2"/>
      <c r="M2838" s="2"/>
    </row>
    <row r="2839" spans="2:13">
      <c r="B2839" s="2"/>
      <c r="C2839" s="1">
        <v>12.65503917</v>
      </c>
      <c r="D2839" s="1">
        <v>0.37596223600000001</v>
      </c>
      <c r="E2839" s="1"/>
      <c r="H2839" s="2">
        <v>14.1444866</v>
      </c>
      <c r="I2839" s="2">
        <v>5.8455475699999999</v>
      </c>
      <c r="J2839" s="2">
        <v>29.9646653</v>
      </c>
      <c r="L2839" s="2"/>
      <c r="M2839" s="2"/>
    </row>
    <row r="2840" spans="2:13">
      <c r="B2840" s="2"/>
      <c r="C2840" s="1">
        <v>21.83235766</v>
      </c>
      <c r="D2840" s="1">
        <v>0.34957892099999999</v>
      </c>
      <c r="E2840" s="1"/>
      <c r="H2840" s="2">
        <v>11.747418400000001</v>
      </c>
      <c r="I2840" s="2">
        <v>2.7206670900000001</v>
      </c>
      <c r="J2840" s="2">
        <v>3.68475003</v>
      </c>
      <c r="L2840" s="2"/>
      <c r="M2840" s="2"/>
    </row>
    <row r="2841" spans="2:13">
      <c r="B2841" s="2"/>
      <c r="C2841" s="1">
        <v>11.49579894</v>
      </c>
      <c r="D2841" s="1">
        <v>6.1473123459999996</v>
      </c>
      <c r="E2841" s="1"/>
      <c r="H2841" s="2">
        <v>8.2440111199999997</v>
      </c>
      <c r="I2841" s="2">
        <v>32.725738399999997</v>
      </c>
      <c r="J2841" s="2">
        <v>8.7599717699999999</v>
      </c>
      <c r="L2841" s="2"/>
      <c r="M2841" s="2"/>
    </row>
    <row r="2842" spans="2:13">
      <c r="B2842" s="2"/>
      <c r="C2842" s="1">
        <v>9.2195824510000008</v>
      </c>
      <c r="D2842" s="1">
        <v>2.770248053</v>
      </c>
      <c r="E2842" s="1"/>
      <c r="H2842" s="2">
        <v>32.315809799999997</v>
      </c>
      <c r="I2842" s="2">
        <v>6.99600109</v>
      </c>
      <c r="J2842" s="2">
        <v>72.374052500000005</v>
      </c>
      <c r="L2842" s="2"/>
      <c r="M2842" s="2"/>
    </row>
    <row r="2843" spans="2:13">
      <c r="B2843" s="2"/>
      <c r="C2843" s="1">
        <v>36.268521139999997</v>
      </c>
      <c r="D2843" s="1">
        <v>1.5698072300000001</v>
      </c>
      <c r="E2843" s="1"/>
      <c r="H2843" s="2">
        <v>7.2625812200000004</v>
      </c>
      <c r="I2843" s="2">
        <v>7.6645078599999996</v>
      </c>
      <c r="J2843" s="2">
        <v>24.4027785</v>
      </c>
      <c r="L2843" s="2"/>
      <c r="M2843" s="2"/>
    </row>
    <row r="2844" spans="2:13">
      <c r="B2844" s="2"/>
      <c r="C2844" s="1">
        <v>8.7305279789999997</v>
      </c>
      <c r="D2844" s="1">
        <v>3.4430225800000001</v>
      </c>
      <c r="E2844" s="1"/>
      <c r="H2844" s="2">
        <v>10.7421963</v>
      </c>
      <c r="I2844" s="2">
        <v>67.8767572</v>
      </c>
      <c r="J2844" s="2">
        <v>22.108500200000002</v>
      </c>
      <c r="L2844" s="2"/>
      <c r="M2844" s="2"/>
    </row>
    <row r="2845" spans="2:13">
      <c r="B2845" s="2"/>
      <c r="C2845" s="1">
        <v>14.285220750000001</v>
      </c>
      <c r="D2845" s="1">
        <v>0.99597013300000004</v>
      </c>
      <c r="E2845" s="1"/>
      <c r="H2845" s="2">
        <v>87.942066699999998</v>
      </c>
      <c r="I2845" s="2">
        <v>32.912298399999997</v>
      </c>
      <c r="J2845" s="2">
        <v>103.520619</v>
      </c>
      <c r="L2845" s="2"/>
      <c r="M2845" s="2"/>
    </row>
    <row r="2846" spans="2:13">
      <c r="B2846" s="2"/>
      <c r="C2846" s="1">
        <v>76.105328619999995</v>
      </c>
      <c r="D2846" s="1">
        <v>2.6383314790000001</v>
      </c>
      <c r="E2846" s="1"/>
      <c r="H2846" s="2">
        <v>34.665293499999997</v>
      </c>
      <c r="I2846" s="2">
        <v>17.5988294</v>
      </c>
      <c r="J2846" s="2">
        <v>13.383290199999999</v>
      </c>
      <c r="L2846" s="2"/>
      <c r="M2846" s="2"/>
    </row>
    <row r="2847" spans="2:13">
      <c r="B2847" s="2"/>
      <c r="C2847" s="1">
        <v>60.564264289999997</v>
      </c>
      <c r="D2847" s="1">
        <v>13.20484905</v>
      </c>
      <c r="E2847" s="1"/>
      <c r="H2847" s="2">
        <v>26.998244199999998</v>
      </c>
      <c r="I2847" s="2">
        <v>106.199296</v>
      </c>
      <c r="J2847" s="2">
        <v>91.527800299999996</v>
      </c>
      <c r="L2847" s="2"/>
      <c r="M2847" s="2"/>
    </row>
    <row r="2848" spans="2:13">
      <c r="B2848" s="2"/>
      <c r="C2848" s="1">
        <v>38.882849370000002</v>
      </c>
      <c r="D2848" s="1">
        <v>1.246611624</v>
      </c>
      <c r="E2848" s="1"/>
      <c r="H2848" s="2">
        <v>98.612886200000005</v>
      </c>
      <c r="I2848" s="2">
        <v>18.360616199999999</v>
      </c>
      <c r="J2848" s="2">
        <v>171.966589</v>
      </c>
      <c r="L2848" s="2"/>
      <c r="M2848" s="2"/>
    </row>
    <row r="2849" spans="2:13">
      <c r="B2849" s="2"/>
      <c r="C2849" s="1">
        <v>43.042831229999997</v>
      </c>
      <c r="D2849" s="1">
        <v>181.70848480000001</v>
      </c>
      <c r="E2849" s="1"/>
      <c r="H2849" s="2">
        <v>17.213685600000002</v>
      </c>
      <c r="I2849" s="2">
        <v>84.045293000000001</v>
      </c>
      <c r="J2849" s="2">
        <v>15.573283099999999</v>
      </c>
      <c r="L2849" s="2"/>
      <c r="M2849" s="2"/>
    </row>
    <row r="2850" spans="2:13">
      <c r="B2850" s="2"/>
      <c r="C2850" s="1">
        <v>23.84895264</v>
      </c>
      <c r="D2850" s="1">
        <v>3.1462102889999999</v>
      </c>
      <c r="E2850" s="1"/>
      <c r="H2850" s="2">
        <v>74.600568100000004</v>
      </c>
      <c r="I2850" s="2">
        <v>142.70287500000001</v>
      </c>
      <c r="J2850" s="2">
        <v>147.042383</v>
      </c>
      <c r="L2850" s="2"/>
      <c r="M2850" s="2"/>
    </row>
    <row r="2851" spans="2:13">
      <c r="B2851" s="2"/>
      <c r="C2851" s="1">
        <v>33.853437329999998</v>
      </c>
      <c r="D2851" s="1">
        <v>0.25064149099999999</v>
      </c>
      <c r="E2851" s="1"/>
      <c r="H2851" s="2">
        <v>115.386415</v>
      </c>
      <c r="I2851" s="2">
        <v>14.0386422</v>
      </c>
      <c r="J2851" s="2">
        <v>30.625139399999998</v>
      </c>
      <c r="L2851" s="2"/>
      <c r="M2851" s="2"/>
    </row>
    <row r="2852" spans="2:13">
      <c r="B2852" s="2"/>
      <c r="C2852" s="1">
        <v>246.62232109999999</v>
      </c>
      <c r="D2852" s="1">
        <v>1.8995986650000001</v>
      </c>
      <c r="E2852" s="1"/>
      <c r="H2852" s="2">
        <v>18.849402000000001</v>
      </c>
      <c r="I2852" s="2">
        <v>169.16330600000001</v>
      </c>
      <c r="J2852" s="2">
        <v>4.1366533299999997</v>
      </c>
      <c r="L2852" s="2"/>
      <c r="M2852" s="2"/>
    </row>
    <row r="2853" spans="2:13">
      <c r="B2853" s="2"/>
      <c r="C2853" s="1">
        <v>10.06486179</v>
      </c>
      <c r="D2853" s="1">
        <v>8.2843608440000001</v>
      </c>
      <c r="E2853" s="1"/>
      <c r="H2853" s="2">
        <v>113.774491</v>
      </c>
      <c r="I2853" s="2">
        <v>45.971500499999998</v>
      </c>
      <c r="J2853" s="2">
        <v>22.5604035</v>
      </c>
      <c r="L2853" s="2"/>
      <c r="M2853" s="2"/>
    </row>
    <row r="2854" spans="2:13">
      <c r="B2854" s="2"/>
      <c r="C2854" s="1">
        <v>102.2184223</v>
      </c>
      <c r="D2854" s="1">
        <v>2.8625896549999998</v>
      </c>
      <c r="E2854" s="1"/>
      <c r="H2854" s="2">
        <v>59.807743000000002</v>
      </c>
      <c r="I2854" s="2">
        <v>10.804935</v>
      </c>
      <c r="J2854" s="2">
        <v>99.210156499999997</v>
      </c>
      <c r="L2854" s="2"/>
      <c r="M2854" s="2"/>
    </row>
    <row r="2855" spans="2:13">
      <c r="B2855" s="2"/>
      <c r="C2855" s="1">
        <v>48.92356032</v>
      </c>
      <c r="D2855" s="1">
        <v>1.648957174</v>
      </c>
      <c r="E2855" s="1"/>
      <c r="H2855" s="2">
        <v>7.042503</v>
      </c>
      <c r="I2855" s="2">
        <v>30.9845115</v>
      </c>
      <c r="J2855" s="2">
        <v>55.584106599999998</v>
      </c>
      <c r="L2855" s="2"/>
      <c r="M2855" s="2"/>
    </row>
    <row r="2856" spans="2:13">
      <c r="B2856" s="2"/>
      <c r="C2856" s="1">
        <v>4.0090391270000003</v>
      </c>
      <c r="D2856" s="1">
        <v>0.45511217999999998</v>
      </c>
      <c r="E2856" s="1"/>
      <c r="H2856" s="2">
        <v>32.940356100000002</v>
      </c>
      <c r="I2856" s="2">
        <v>51.3661946</v>
      </c>
      <c r="J2856" s="2">
        <v>23.429448300000001</v>
      </c>
      <c r="L2856" s="2"/>
      <c r="M2856" s="2"/>
    </row>
    <row r="2857" spans="2:13">
      <c r="B2857" s="2"/>
      <c r="C2857" s="1">
        <v>43.5922628</v>
      </c>
      <c r="D2857" s="1">
        <v>87.374942759999996</v>
      </c>
      <c r="E2857" s="1"/>
      <c r="H2857" s="2">
        <v>89.684848200000005</v>
      </c>
      <c r="I2857" s="2">
        <v>40.250326200000003</v>
      </c>
      <c r="J2857" s="2">
        <v>5.5618868399999997</v>
      </c>
      <c r="L2857" s="2"/>
      <c r="M2857" s="2"/>
    </row>
    <row r="2858" spans="2:13">
      <c r="B2858" s="2"/>
      <c r="C2858" s="1">
        <v>131.3926348</v>
      </c>
      <c r="D2858" s="1">
        <v>0.17808737499999999</v>
      </c>
      <c r="E2858" s="1"/>
      <c r="H2858" s="2">
        <v>55.959348200000001</v>
      </c>
      <c r="I2858" s="2">
        <v>17.987496100000001</v>
      </c>
      <c r="J2858" s="2">
        <v>3.7542736099999998</v>
      </c>
      <c r="L2858" s="2"/>
      <c r="M2858" s="2"/>
    </row>
    <row r="2859" spans="2:13">
      <c r="B2859" s="2"/>
      <c r="C2859" s="1">
        <v>27.556106289999999</v>
      </c>
      <c r="D2859" s="1">
        <v>0.73873281400000002</v>
      </c>
      <c r="E2859" s="1"/>
      <c r="H2859" s="2">
        <v>29.8295207</v>
      </c>
      <c r="I2859" s="2">
        <v>5.8921875799999999</v>
      </c>
      <c r="J2859" s="2">
        <v>5.4228396700000001</v>
      </c>
      <c r="L2859" s="2"/>
      <c r="M2859" s="2"/>
    </row>
    <row r="2860" spans="2:13">
      <c r="B2860" s="2"/>
      <c r="C2860" s="1">
        <v>37.512289299999999</v>
      </c>
      <c r="D2860" s="1">
        <v>0.27702480499999999</v>
      </c>
      <c r="E2860" s="1"/>
      <c r="H2860" s="2">
        <v>8.3272839600000008</v>
      </c>
      <c r="I2860" s="2">
        <v>3.54464055</v>
      </c>
      <c r="J2860" s="2">
        <v>8.8990189399999995</v>
      </c>
      <c r="L2860" s="2"/>
      <c r="M2860" s="2"/>
    </row>
    <row r="2861" spans="2:13">
      <c r="B2861" s="2"/>
      <c r="C2861" s="1">
        <v>14.248994489999999</v>
      </c>
      <c r="D2861" s="1">
        <v>0.21766234700000001</v>
      </c>
      <c r="E2861" s="1"/>
      <c r="H2861" s="2">
        <v>4.5621619999999998</v>
      </c>
      <c r="I2861" s="2">
        <v>4.9282940999999996</v>
      </c>
      <c r="J2861" s="2">
        <v>3.7195118200000001</v>
      </c>
      <c r="L2861" s="2"/>
      <c r="M2861" s="2"/>
    </row>
    <row r="2862" spans="2:13">
      <c r="B2862" s="2"/>
      <c r="C2862" s="1">
        <v>5.4762025430000003</v>
      </c>
      <c r="D2862" s="1">
        <v>0.46170800899999997</v>
      </c>
      <c r="E2862" s="1"/>
      <c r="H2862" s="2">
        <v>5.3413578499999996</v>
      </c>
      <c r="I2862" s="2">
        <v>9.9654148800000009</v>
      </c>
      <c r="J2862" s="2">
        <v>3.7890354099999999</v>
      </c>
      <c r="L2862" s="2"/>
      <c r="M2862" s="2"/>
    </row>
    <row r="2863" spans="2:13">
      <c r="B2863" s="2"/>
      <c r="C2863" s="1">
        <v>3.3147025320000001</v>
      </c>
      <c r="D2863" s="1">
        <v>1.1806533370000001</v>
      </c>
      <c r="E2863" s="1"/>
      <c r="H2863" s="2">
        <v>10.718404100000001</v>
      </c>
      <c r="I2863" s="2">
        <v>2.6895737500000001</v>
      </c>
      <c r="J2863" s="2">
        <v>8.3775920500000005</v>
      </c>
      <c r="L2863" s="2"/>
      <c r="M2863" s="2"/>
    </row>
    <row r="2864" spans="2:13">
      <c r="B2864" s="2"/>
      <c r="C2864" s="1">
        <v>18.197656519999999</v>
      </c>
      <c r="D2864" s="1">
        <v>1.437890656</v>
      </c>
      <c r="E2864" s="1"/>
      <c r="H2864" s="2">
        <v>4.9904223099999996</v>
      </c>
      <c r="I2864" s="2">
        <v>4.4929873599999999</v>
      </c>
      <c r="J2864" s="2">
        <v>21.899929400000001</v>
      </c>
      <c r="L2864" s="2"/>
      <c r="M2864" s="2"/>
    </row>
    <row r="2865" spans="2:13">
      <c r="B2865" s="2"/>
      <c r="C2865" s="1">
        <v>4.2263966699999997</v>
      </c>
      <c r="D2865" s="1">
        <v>2.7768438820000001</v>
      </c>
      <c r="E2865" s="1"/>
      <c r="H2865" s="2">
        <v>5.2045524700000003</v>
      </c>
      <c r="I2865" s="2">
        <v>13.121388700000001</v>
      </c>
      <c r="J2865" s="2">
        <v>37.229880000000001</v>
      </c>
      <c r="L2865" s="2"/>
      <c r="M2865" s="2"/>
    </row>
    <row r="2866" spans="2:13">
      <c r="B2866" s="2"/>
      <c r="C2866" s="1">
        <v>3.2422500169999999</v>
      </c>
      <c r="D2866" s="1">
        <v>0.51447463800000004</v>
      </c>
      <c r="E2866" s="1"/>
      <c r="H2866" s="2">
        <v>10.409104900000001</v>
      </c>
      <c r="I2866" s="2">
        <v>22.9157902</v>
      </c>
      <c r="J2866" s="2">
        <v>52.1079273</v>
      </c>
      <c r="L2866" s="2"/>
      <c r="M2866" s="2"/>
    </row>
    <row r="2867" spans="2:13">
      <c r="B2867" s="2"/>
      <c r="C2867" s="1">
        <v>8.6580754649999996</v>
      </c>
      <c r="D2867" s="1">
        <v>0.35617474999999998</v>
      </c>
      <c r="E2867" s="1"/>
      <c r="H2867" s="2">
        <v>27.569258000000001</v>
      </c>
      <c r="I2867" s="2">
        <v>50.153554499999998</v>
      </c>
      <c r="J2867" s="2">
        <v>5.1795071200000002</v>
      </c>
      <c r="L2867" s="2"/>
      <c r="M2867" s="2"/>
    </row>
    <row r="2868" spans="2:13">
      <c r="B2868" s="2"/>
      <c r="C2868" s="1">
        <v>16.024081089999999</v>
      </c>
      <c r="D2868" s="1">
        <v>1.312569911</v>
      </c>
      <c r="E2868" s="1"/>
      <c r="H2868" s="2">
        <v>30.638456900000001</v>
      </c>
      <c r="I2868" s="2">
        <v>70.3331309</v>
      </c>
      <c r="J2868" s="2">
        <v>11.610438800000001</v>
      </c>
      <c r="L2868" s="2"/>
      <c r="M2868" s="2"/>
    </row>
    <row r="2869" spans="2:13">
      <c r="B2869" s="2"/>
      <c r="C2869" s="1">
        <v>43.767356380000003</v>
      </c>
      <c r="D2869" s="1">
        <v>0.83767024499999998</v>
      </c>
      <c r="E2869" s="1"/>
      <c r="H2869" s="2">
        <v>50.665574800000002</v>
      </c>
      <c r="I2869" s="2">
        <v>7.6178678499999997</v>
      </c>
      <c r="J2869" s="2">
        <v>16.3728044</v>
      </c>
      <c r="L2869" s="2"/>
      <c r="M2869" s="2"/>
    </row>
    <row r="2870" spans="2:13">
      <c r="B2870" s="2"/>
      <c r="C2870" s="1">
        <v>25.605926109999999</v>
      </c>
      <c r="D2870" s="1">
        <v>0.63979538400000002</v>
      </c>
      <c r="E2870" s="1"/>
      <c r="H2870" s="2">
        <v>7.9882445400000002</v>
      </c>
      <c r="I2870" s="2">
        <v>8.3485613000000001</v>
      </c>
      <c r="J2870" s="2">
        <v>26.210391699999999</v>
      </c>
      <c r="L2870" s="2"/>
      <c r="M2870" s="2"/>
    </row>
    <row r="2871" spans="2:13">
      <c r="B2871" s="2"/>
      <c r="C2871" s="1">
        <v>12.793906489999999</v>
      </c>
      <c r="D2871" s="1">
        <v>3.5815349830000001</v>
      </c>
      <c r="E2871" s="1"/>
      <c r="H2871" s="2">
        <v>12.9608227</v>
      </c>
      <c r="I2871" s="2">
        <v>21.096829899999999</v>
      </c>
      <c r="J2871" s="2">
        <v>4.3452240900000003</v>
      </c>
      <c r="L2871" s="2"/>
      <c r="M2871" s="2"/>
    </row>
    <row r="2872" spans="2:13">
      <c r="B2872" s="2"/>
      <c r="C2872" s="1">
        <v>7.9939274170000001</v>
      </c>
      <c r="D2872" s="1">
        <v>0.97618264700000001</v>
      </c>
      <c r="E2872" s="1"/>
      <c r="H2872" s="2">
        <v>23.566213600000001</v>
      </c>
      <c r="I2872" s="2">
        <v>27.890724299999999</v>
      </c>
      <c r="J2872" s="2">
        <v>35.7351229</v>
      </c>
      <c r="L2872" s="2"/>
      <c r="M2872" s="2"/>
    </row>
    <row r="2873" spans="2:13">
      <c r="B2873" s="2"/>
      <c r="C2873" s="1">
        <v>44.914521190000002</v>
      </c>
      <c r="D2873" s="1">
        <v>2.209602614</v>
      </c>
      <c r="E2873" s="1"/>
      <c r="H2873" s="2">
        <v>25.808632200000002</v>
      </c>
      <c r="I2873" s="2">
        <v>4.0421339600000001</v>
      </c>
      <c r="J2873" s="2">
        <v>16.650898699999999</v>
      </c>
      <c r="L2873" s="2"/>
      <c r="M2873" s="2"/>
    </row>
    <row r="2874" spans="2:13">
      <c r="B2874" s="2"/>
      <c r="C2874" s="1">
        <v>33.829286490000001</v>
      </c>
      <c r="D2874" s="1">
        <v>1.002565962</v>
      </c>
      <c r="E2874" s="1"/>
      <c r="H2874" s="2">
        <v>6.6201907499999999</v>
      </c>
      <c r="I2874" s="2">
        <v>40.0171262</v>
      </c>
      <c r="J2874" s="2">
        <v>24.81992</v>
      </c>
      <c r="L2874" s="2"/>
      <c r="M2874" s="2"/>
    </row>
    <row r="2875" spans="2:13">
      <c r="B2875" s="2"/>
      <c r="C2875" s="1">
        <v>15.48672494</v>
      </c>
      <c r="D2875" s="1">
        <v>0.481495495</v>
      </c>
      <c r="E2875" s="1"/>
      <c r="H2875" s="2">
        <v>44.907852800000001</v>
      </c>
      <c r="I2875" s="2">
        <v>10.9759484</v>
      </c>
      <c r="J2875" s="2">
        <v>11.228059099999999</v>
      </c>
      <c r="L2875" s="2"/>
      <c r="M2875" s="2"/>
    </row>
    <row r="2876" spans="2:13">
      <c r="B2876" s="2"/>
      <c r="C2876" s="1">
        <v>74.034394250000005</v>
      </c>
      <c r="D2876" s="1">
        <v>1.6753404890000001</v>
      </c>
      <c r="E2876" s="1"/>
      <c r="H2876" s="2">
        <v>20.2769364</v>
      </c>
      <c r="I2876" s="2">
        <v>25.7763773</v>
      </c>
      <c r="J2876" s="2">
        <v>9.5594929999999998</v>
      </c>
      <c r="L2876" s="2"/>
      <c r="M2876" s="2"/>
    </row>
    <row r="2877" spans="2:13">
      <c r="B2877" s="2"/>
      <c r="C2877" s="1">
        <v>13.427865990000001</v>
      </c>
      <c r="D2877" s="1">
        <v>1.0619284200000001</v>
      </c>
      <c r="E2877" s="1"/>
      <c r="H2877" s="2">
        <v>38.019999300000002</v>
      </c>
      <c r="I2877" s="2">
        <v>16.6504826</v>
      </c>
      <c r="J2877" s="2">
        <v>25.723726599999999</v>
      </c>
      <c r="L2877" s="2"/>
      <c r="M2877" s="2"/>
    </row>
    <row r="2878" spans="2:13">
      <c r="B2878" s="2"/>
      <c r="C2878" s="1">
        <v>38.556813050000002</v>
      </c>
      <c r="D2878" s="1">
        <v>1.352144883</v>
      </c>
      <c r="E2878" s="1"/>
      <c r="H2878" s="2">
        <v>14.3288765</v>
      </c>
      <c r="I2878" s="2">
        <v>17.7387494</v>
      </c>
      <c r="J2878" s="2">
        <v>23.116592199999999</v>
      </c>
      <c r="L2878" s="2"/>
      <c r="M2878" s="2"/>
    </row>
    <row r="2879" spans="2:13">
      <c r="B2879" s="2"/>
      <c r="C2879" s="1">
        <v>24.603666329999999</v>
      </c>
      <c r="D2879" s="1">
        <v>1.9787486E-2</v>
      </c>
      <c r="E2879" s="1"/>
      <c r="H2879" s="2">
        <v>12.621783300000001</v>
      </c>
      <c r="I2879" s="2">
        <v>21.065736600000001</v>
      </c>
      <c r="J2879" s="2">
        <v>35.1789342</v>
      </c>
      <c r="L2879" s="2"/>
      <c r="M2879" s="2"/>
    </row>
    <row r="2880" spans="2:13">
      <c r="B2880" s="2"/>
      <c r="C2880" s="1">
        <v>15.87313835</v>
      </c>
      <c r="D2880" s="1">
        <v>0.56724126799999997</v>
      </c>
      <c r="E2880" s="1"/>
      <c r="H2880" s="2">
        <v>38.228181399999997</v>
      </c>
      <c r="I2880" s="2">
        <v>29.756324599999999</v>
      </c>
      <c r="J2880" s="2">
        <v>0.83428303000000004</v>
      </c>
      <c r="L2880" s="2"/>
      <c r="M2880" s="2"/>
    </row>
    <row r="2881" spans="2:13">
      <c r="B2881" s="2"/>
      <c r="C2881" s="1">
        <v>39.390016969999998</v>
      </c>
      <c r="D2881" s="1">
        <v>1.21363248</v>
      </c>
      <c r="E2881" s="1"/>
      <c r="H2881" s="2">
        <v>24.696345000000001</v>
      </c>
      <c r="I2881" s="2">
        <v>37.187632399999998</v>
      </c>
      <c r="J2881" s="2">
        <v>6.2571226900000001</v>
      </c>
      <c r="L2881" s="2"/>
      <c r="M2881" s="2"/>
    </row>
    <row r="2882" spans="2:13">
      <c r="B2882" s="2"/>
      <c r="C2882" s="1">
        <v>10.523727709999999</v>
      </c>
      <c r="D2882" s="1">
        <v>0.43532469400000001</v>
      </c>
      <c r="E2882" s="1"/>
      <c r="H2882" s="2">
        <v>41.850549899999997</v>
      </c>
      <c r="I2882" s="2">
        <v>0.96389347999999997</v>
      </c>
      <c r="J2882" s="2">
        <v>22.6994507</v>
      </c>
      <c r="L2882" s="2"/>
      <c r="M2882" s="2"/>
    </row>
    <row r="2883" spans="2:13">
      <c r="B2883" s="2"/>
      <c r="C2883" s="1">
        <v>39.740204120000001</v>
      </c>
      <c r="D2883" s="1">
        <v>1.332357397</v>
      </c>
      <c r="E2883" s="1"/>
      <c r="H2883" s="2">
        <v>1.1598716899999999</v>
      </c>
      <c r="I2883" s="2">
        <v>9.87213487</v>
      </c>
      <c r="J2883" s="2">
        <v>3.26760852</v>
      </c>
      <c r="L2883" s="2"/>
      <c r="M2883" s="2"/>
    </row>
    <row r="2884" spans="2:13">
      <c r="B2884" s="2"/>
      <c r="C2884" s="1">
        <v>2.2158393969999999</v>
      </c>
      <c r="D2884" s="1">
        <v>0.31659977700000003</v>
      </c>
      <c r="E2884" s="1"/>
      <c r="H2884" s="2">
        <v>8.5949466599999997</v>
      </c>
      <c r="I2884" s="2">
        <v>20.117389800000002</v>
      </c>
      <c r="J2884" s="2">
        <v>28.435146499999998</v>
      </c>
      <c r="L2884" s="2"/>
      <c r="M2884" s="2"/>
    </row>
    <row r="2885" spans="2:13">
      <c r="B2885" s="2"/>
      <c r="C2885" s="1">
        <v>6.7018575770000002</v>
      </c>
      <c r="D2885" s="1">
        <v>1.41810317</v>
      </c>
      <c r="E2885" s="1"/>
      <c r="H2885" s="2">
        <v>26.706789300000001</v>
      </c>
      <c r="I2885" s="2">
        <v>5.0682141200000004</v>
      </c>
      <c r="J2885" s="2">
        <v>6.8828349600000003</v>
      </c>
      <c r="L2885" s="2"/>
      <c r="M2885" s="2"/>
    </row>
    <row r="2886" spans="2:13">
      <c r="B2886" s="2"/>
      <c r="C2886" s="1">
        <v>31.444391230000001</v>
      </c>
      <c r="D2886" s="1">
        <v>4.7753799770000001</v>
      </c>
      <c r="E2886" s="1"/>
      <c r="H2886" s="2">
        <v>6.7748403100000001</v>
      </c>
      <c r="I2886" s="2">
        <v>54.568808500000003</v>
      </c>
      <c r="J2886" s="2">
        <v>39.871776300000001</v>
      </c>
      <c r="L2886" s="2"/>
      <c r="M2886" s="2"/>
    </row>
    <row r="2887" spans="2:13">
      <c r="B2887" s="2"/>
      <c r="C2887" s="1">
        <v>9.974296142</v>
      </c>
      <c r="D2887" s="1">
        <v>0.66617869799999996</v>
      </c>
      <c r="E2887" s="1"/>
      <c r="H2887" s="2">
        <v>39.501066299999998</v>
      </c>
      <c r="I2887" s="2">
        <v>4.5551740399999998</v>
      </c>
      <c r="J2887" s="2">
        <v>47.380323500000003</v>
      </c>
      <c r="L2887" s="2"/>
      <c r="M2887" s="2"/>
    </row>
    <row r="2888" spans="2:13">
      <c r="B2888" s="2"/>
      <c r="C2888" s="1">
        <v>45.469990459999998</v>
      </c>
      <c r="D2888" s="1">
        <v>0.30340812</v>
      </c>
      <c r="E2888" s="1"/>
      <c r="H2888" s="2">
        <v>6.5547620899999997</v>
      </c>
      <c r="I2888" s="2">
        <v>33.953925300000002</v>
      </c>
      <c r="J2888" s="2">
        <v>14.356620400000001</v>
      </c>
      <c r="L2888" s="2"/>
      <c r="M2888" s="2"/>
    </row>
    <row r="2889" spans="2:13">
      <c r="B2889" s="2"/>
      <c r="C2889" s="1">
        <v>4.3350754419999999</v>
      </c>
      <c r="D2889" s="1">
        <v>0.44851635099999998</v>
      </c>
      <c r="E2889" s="1"/>
      <c r="H2889" s="2">
        <v>41.005925400000002</v>
      </c>
      <c r="I2889" s="2">
        <v>48.241314199999998</v>
      </c>
      <c r="J2889" s="2">
        <v>9.8028255499999997</v>
      </c>
      <c r="L2889" s="2"/>
      <c r="M2889" s="2"/>
    </row>
    <row r="2890" spans="2:13">
      <c r="B2890" s="2"/>
      <c r="C2890" s="1">
        <v>50.8133634</v>
      </c>
      <c r="D2890" s="1">
        <v>0.51447463800000004</v>
      </c>
      <c r="E2890" s="1"/>
      <c r="H2890" s="2">
        <v>54.870853199999999</v>
      </c>
      <c r="I2890" s="2">
        <v>19.386696300000001</v>
      </c>
      <c r="J2890" s="2">
        <v>12.4794836</v>
      </c>
      <c r="L2890" s="2"/>
      <c r="M2890" s="2"/>
    </row>
    <row r="2891" spans="2:13">
      <c r="B2891" s="2"/>
      <c r="C2891" s="1">
        <v>19.115388370000002</v>
      </c>
      <c r="D2891" s="1">
        <v>1.141078365</v>
      </c>
      <c r="E2891" s="1"/>
      <c r="H2891" s="2">
        <v>17.975037199999999</v>
      </c>
      <c r="I2891" s="2">
        <v>12.561708599999999</v>
      </c>
      <c r="J2891" s="2">
        <v>6.6047406200000003</v>
      </c>
      <c r="L2891" s="2"/>
      <c r="M2891" s="2"/>
    </row>
    <row r="2892" spans="2:13">
      <c r="B2892" s="2"/>
      <c r="C2892" s="1">
        <v>22.846692860000001</v>
      </c>
      <c r="D2892" s="1">
        <v>0.67937035599999995</v>
      </c>
      <c r="E2892" s="1"/>
      <c r="H2892" s="2">
        <v>12.9132382</v>
      </c>
      <c r="I2892" s="2">
        <v>11.038135</v>
      </c>
      <c r="J2892" s="2">
        <v>21.0308846</v>
      </c>
      <c r="L2892" s="2"/>
      <c r="M2892" s="2"/>
    </row>
    <row r="2893" spans="2:13">
      <c r="B2893" s="2"/>
      <c r="C2893" s="1">
        <v>4.4316787939999998</v>
      </c>
      <c r="D2893" s="1">
        <v>0.42872886500000001</v>
      </c>
      <c r="E2893" s="1"/>
      <c r="H2893" s="2">
        <v>12.3838609</v>
      </c>
      <c r="I2893" s="2">
        <v>5.1770408000000003</v>
      </c>
      <c r="J2893" s="2">
        <v>17.172325600000001</v>
      </c>
      <c r="L2893" s="2"/>
      <c r="M2893" s="2"/>
    </row>
    <row r="2894" spans="2:13">
      <c r="B2894" s="2"/>
      <c r="C2894" s="1">
        <v>17.93803501</v>
      </c>
      <c r="D2894" s="1">
        <v>1.1608658510000001</v>
      </c>
      <c r="E2894" s="1"/>
      <c r="H2894" s="2">
        <v>7.0900874800000002</v>
      </c>
      <c r="I2894" s="2">
        <v>13.0902954</v>
      </c>
      <c r="J2894" s="2">
        <v>14.043764299999999</v>
      </c>
      <c r="L2894" s="2"/>
      <c r="M2894" s="2"/>
    </row>
    <row r="2895" spans="2:13">
      <c r="B2895" s="2"/>
      <c r="C2895" s="1">
        <v>7.3056285299999999</v>
      </c>
      <c r="D2895" s="1">
        <v>0.26383314800000002</v>
      </c>
      <c r="E2895" s="1"/>
      <c r="H2895" s="2">
        <v>29.871157199999999</v>
      </c>
      <c r="I2895" s="2">
        <v>16.495015899999999</v>
      </c>
      <c r="J2895" s="2">
        <v>18.110893999999998</v>
      </c>
      <c r="L2895" s="2"/>
      <c r="M2895" s="2"/>
    </row>
    <row r="2896" spans="2:13">
      <c r="B2896" s="2"/>
      <c r="C2896" s="1">
        <v>12.196173249999999</v>
      </c>
      <c r="D2896" s="1">
        <v>1.72151129</v>
      </c>
      <c r="E2896" s="1"/>
      <c r="H2896" s="2">
        <v>20.758729299999999</v>
      </c>
      <c r="I2896" s="2">
        <v>16.044162499999999</v>
      </c>
      <c r="J2896" s="2">
        <v>9.8723491400000007</v>
      </c>
      <c r="L2896" s="2"/>
      <c r="M2896" s="2"/>
    </row>
    <row r="2897" spans="2:13">
      <c r="B2897" s="2"/>
      <c r="C2897" s="1">
        <v>8.4527933409999996</v>
      </c>
      <c r="D2897" s="1">
        <v>1.92598198</v>
      </c>
      <c r="E2897" s="1"/>
      <c r="H2897" s="2">
        <v>17.0055035</v>
      </c>
      <c r="I2897" s="2">
        <v>15.126908999999999</v>
      </c>
      <c r="J2897" s="2">
        <v>30.277521499999999</v>
      </c>
      <c r="L2897" s="2"/>
      <c r="M2897" s="2"/>
    </row>
    <row r="2898" spans="2:13">
      <c r="B2898" s="2"/>
      <c r="C2898" s="1">
        <v>14.967481920000001</v>
      </c>
      <c r="D2898" s="1">
        <v>0.145108231</v>
      </c>
      <c r="E2898" s="1"/>
      <c r="H2898" s="2">
        <v>20.651664199999999</v>
      </c>
      <c r="I2898" s="2">
        <v>8.2552812800000002</v>
      </c>
      <c r="J2898" s="2">
        <v>58.608382499999998</v>
      </c>
      <c r="L2898" s="2"/>
      <c r="M2898" s="2"/>
    </row>
    <row r="2899" spans="2:13">
      <c r="B2899" s="2"/>
      <c r="C2899" s="1">
        <v>24.488949850000001</v>
      </c>
      <c r="D2899" s="1">
        <v>0.613412069</v>
      </c>
      <c r="E2899" s="1"/>
      <c r="H2899" s="2">
        <v>9.55853237</v>
      </c>
      <c r="I2899" s="2">
        <v>20.988003299999999</v>
      </c>
      <c r="J2899" s="2">
        <v>4.9361745700000004</v>
      </c>
      <c r="L2899" s="2"/>
      <c r="M2899" s="2"/>
    </row>
    <row r="2900" spans="2:13">
      <c r="B2900" s="2"/>
      <c r="C2900" s="1">
        <v>11.85202381</v>
      </c>
      <c r="D2900" s="1">
        <v>0.145108231</v>
      </c>
      <c r="E2900" s="1"/>
      <c r="H2900" s="2">
        <v>37.4489856</v>
      </c>
      <c r="I2900" s="2">
        <v>62.342143</v>
      </c>
      <c r="J2900" s="2">
        <v>16.477089800000002</v>
      </c>
      <c r="L2900" s="2"/>
      <c r="M2900" s="2"/>
    </row>
    <row r="2901" spans="2:13">
      <c r="B2901" s="2"/>
      <c r="C2901" s="1">
        <v>51.26619161</v>
      </c>
      <c r="D2901" s="1">
        <v>1.292782425</v>
      </c>
      <c r="E2901" s="1"/>
      <c r="H2901" s="2">
        <v>72.197551899999993</v>
      </c>
      <c r="I2901" s="2">
        <v>4.5707207099999998</v>
      </c>
      <c r="J2901" s="2">
        <v>2.0509457699999998</v>
      </c>
      <c r="L2901" s="2"/>
      <c r="M2901" s="2"/>
    </row>
    <row r="2902" spans="2:13">
      <c r="B2902" s="2"/>
      <c r="C2902" s="1">
        <v>53.385427659999998</v>
      </c>
      <c r="D2902" s="1">
        <v>4.5643134590000001</v>
      </c>
      <c r="E2902" s="1"/>
      <c r="H2902" s="2">
        <v>5.3175656099999999</v>
      </c>
      <c r="I2902" s="2">
        <v>17.6454694</v>
      </c>
      <c r="J2902" s="2">
        <v>28.018004900000001</v>
      </c>
      <c r="L2902" s="2"/>
      <c r="M2902" s="2"/>
    </row>
    <row r="2903" spans="2:13">
      <c r="B2903" s="2"/>
      <c r="C2903" s="1">
        <v>2.7109315789999999</v>
      </c>
      <c r="D2903" s="1">
        <v>1.787469577</v>
      </c>
      <c r="E2903" s="1"/>
      <c r="H2903" s="2">
        <v>22.2041079</v>
      </c>
      <c r="I2903" s="2">
        <v>2.4408270500000002</v>
      </c>
      <c r="J2903" s="2">
        <v>78.353080800000001</v>
      </c>
      <c r="L2903" s="2"/>
      <c r="M2903" s="2"/>
    </row>
    <row r="2904" spans="2:13">
      <c r="B2904" s="2"/>
      <c r="C2904" s="1">
        <v>19.115388370000002</v>
      </c>
      <c r="D2904" s="1">
        <v>275.48138139999998</v>
      </c>
      <c r="E2904" s="1"/>
      <c r="H2904" s="2">
        <v>2.7480037099999999</v>
      </c>
      <c r="I2904" s="2">
        <v>38.291445899999999</v>
      </c>
      <c r="J2904" s="2">
        <v>10.324252400000001</v>
      </c>
      <c r="L2904" s="2"/>
      <c r="M2904" s="2"/>
    </row>
    <row r="2905" spans="2:13">
      <c r="B2905" s="2"/>
      <c r="C2905" s="1">
        <v>1.2437681629999999</v>
      </c>
      <c r="D2905" s="1">
        <v>3.7266432140000001</v>
      </c>
      <c r="E2905" s="1"/>
      <c r="H2905" s="2">
        <v>34.1121239</v>
      </c>
      <c r="I2905" s="2">
        <v>46.733287300000001</v>
      </c>
      <c r="J2905" s="2">
        <v>17.937085</v>
      </c>
      <c r="L2905" s="2"/>
      <c r="M2905" s="2"/>
    </row>
    <row r="2906" spans="2:13">
      <c r="B2906" s="2"/>
      <c r="C2906" s="1">
        <v>26.197621649999999</v>
      </c>
      <c r="D2906" s="1">
        <v>7.9149944E-2</v>
      </c>
      <c r="E2906" s="1"/>
      <c r="H2906" s="2">
        <v>71.793083800000005</v>
      </c>
      <c r="I2906" s="2">
        <v>9.6389348300000002</v>
      </c>
      <c r="J2906" s="2">
        <v>44.356047500000003</v>
      </c>
      <c r="L2906" s="2"/>
      <c r="M2906" s="2"/>
    </row>
    <row r="2907" spans="2:13">
      <c r="B2907" s="2"/>
      <c r="C2907" s="1">
        <v>104.5067142</v>
      </c>
      <c r="D2907" s="1">
        <v>1.1146950499999999</v>
      </c>
      <c r="E2907" s="1"/>
      <c r="H2907" s="2">
        <v>12.0805098</v>
      </c>
      <c r="I2907" s="2">
        <v>30.238271399999999</v>
      </c>
      <c r="J2907" s="2">
        <v>0.93856839999999997</v>
      </c>
      <c r="L2907" s="2"/>
      <c r="M2907" s="2"/>
    </row>
    <row r="2908" spans="2:13">
      <c r="B2908" s="2"/>
      <c r="C2908" s="1">
        <v>5.8445028240000001</v>
      </c>
      <c r="D2908" s="1">
        <v>1.0157576189999999</v>
      </c>
      <c r="E2908" s="1"/>
      <c r="H2908" s="2">
        <v>20.086598500000001</v>
      </c>
      <c r="I2908" s="2">
        <v>31.777391600000001</v>
      </c>
      <c r="J2908" s="2">
        <v>20.4051723</v>
      </c>
      <c r="L2908" s="2"/>
      <c r="M2908" s="2"/>
    </row>
    <row r="2909" spans="2:13">
      <c r="B2909" s="2"/>
      <c r="C2909" s="1">
        <v>13.98333527</v>
      </c>
      <c r="D2909" s="1">
        <v>0.31659977700000003</v>
      </c>
      <c r="E2909" s="1"/>
      <c r="H2909" s="2">
        <v>44.830528000000001</v>
      </c>
      <c r="I2909" s="2">
        <v>1.2281868600000001</v>
      </c>
      <c r="J2909" s="2">
        <v>20.4746959</v>
      </c>
      <c r="L2909" s="2"/>
      <c r="M2909" s="2"/>
    </row>
    <row r="2910" spans="2:13">
      <c r="B2910" s="2"/>
      <c r="C2910" s="1">
        <v>26.84365657</v>
      </c>
      <c r="D2910" s="1">
        <v>1.101503393</v>
      </c>
      <c r="E2910" s="1"/>
      <c r="H2910" s="2">
        <v>1.94501561</v>
      </c>
      <c r="I2910" s="2">
        <v>15.515575699999999</v>
      </c>
      <c r="J2910" s="2">
        <v>8.1342595000000006</v>
      </c>
      <c r="L2910" s="2"/>
      <c r="M2910" s="2"/>
    </row>
    <row r="2911" spans="2:13">
      <c r="B2911" s="2"/>
      <c r="C2911" s="1">
        <v>1.1290516820000001</v>
      </c>
      <c r="D2911" s="1">
        <v>163.32591020000001</v>
      </c>
      <c r="E2911" s="1"/>
      <c r="H2911" s="2">
        <v>26.891179099999999</v>
      </c>
      <c r="I2911" s="2">
        <v>42.224753200000002</v>
      </c>
      <c r="J2911" s="2">
        <v>20.683266700000001</v>
      </c>
      <c r="L2911" s="2"/>
      <c r="M2911" s="2"/>
    </row>
    <row r="2912" spans="2:13">
      <c r="B2912" s="2"/>
      <c r="C2912" s="1">
        <v>21.361416309999999</v>
      </c>
      <c r="D2912" s="1">
        <v>6.7475327580000002</v>
      </c>
      <c r="E2912" s="1"/>
      <c r="H2912" s="2">
        <v>22.340913199999999</v>
      </c>
      <c r="I2912" s="2">
        <v>8.2397346099999993</v>
      </c>
      <c r="J2912" s="2">
        <v>13.1399577</v>
      </c>
      <c r="L2912" s="2"/>
      <c r="M2912" s="2"/>
    </row>
    <row r="2913" spans="2:13">
      <c r="B2913" s="2"/>
      <c r="C2913" s="1">
        <v>11.5924023</v>
      </c>
      <c r="D2913" s="1">
        <v>9.7618264729999993</v>
      </c>
      <c r="E2913" s="1"/>
      <c r="H2913" s="2">
        <v>9.5347401299999994</v>
      </c>
      <c r="I2913" s="2">
        <v>20.0085631</v>
      </c>
      <c r="J2913" s="2">
        <v>63.475033500000002</v>
      </c>
      <c r="L2913" s="2"/>
      <c r="M2913" s="2"/>
    </row>
    <row r="2914" spans="2:13">
      <c r="B2914" s="2"/>
      <c r="C2914" s="1">
        <v>11.49579894</v>
      </c>
      <c r="D2914" s="1">
        <v>0.63319955500000003</v>
      </c>
      <c r="E2914" s="1"/>
      <c r="H2914" s="2">
        <v>21.549821300000001</v>
      </c>
      <c r="I2914" s="2">
        <v>10.7272017</v>
      </c>
      <c r="J2914" s="2">
        <v>49.848410800000003</v>
      </c>
      <c r="L2914" s="2"/>
      <c r="M2914" s="2"/>
    </row>
    <row r="2915" spans="2:13">
      <c r="B2915" s="2"/>
      <c r="C2915" s="1">
        <v>37.608892660000002</v>
      </c>
      <c r="D2915" s="1">
        <v>1.1806533370000001</v>
      </c>
      <c r="E2915" s="1"/>
      <c r="H2915" s="2">
        <v>16.2322557</v>
      </c>
      <c r="I2915" s="2">
        <v>30.455924700000001</v>
      </c>
      <c r="J2915" s="2">
        <v>8.5514010099999993</v>
      </c>
      <c r="L2915" s="2"/>
      <c r="M2915" s="2"/>
    </row>
    <row r="2916" spans="2:13">
      <c r="B2916" s="2"/>
      <c r="C2916" s="1">
        <v>27.942519699999998</v>
      </c>
      <c r="D2916" s="1">
        <v>10.23013031</v>
      </c>
      <c r="E2916" s="1"/>
      <c r="H2916" s="2">
        <v>74.606516200000002</v>
      </c>
      <c r="I2916" s="2">
        <v>45.753847100000002</v>
      </c>
      <c r="J2916" s="2">
        <v>2.7461816300000002</v>
      </c>
      <c r="L2916" s="2"/>
      <c r="M2916" s="2"/>
    </row>
    <row r="2917" spans="2:13">
      <c r="B2917" s="2"/>
      <c r="C2917" s="1">
        <v>137.03185550000001</v>
      </c>
      <c r="D2917" s="1">
        <v>4.9270840370000002</v>
      </c>
      <c r="E2917" s="1"/>
      <c r="H2917" s="2">
        <v>54.5972425</v>
      </c>
      <c r="I2917" s="2">
        <v>12.530615299999999</v>
      </c>
      <c r="J2917" s="2">
        <v>91.805894600000002</v>
      </c>
      <c r="L2917" s="2"/>
      <c r="M2917" s="2"/>
    </row>
    <row r="2918" spans="2:13">
      <c r="B2918" s="2"/>
      <c r="C2918" s="1">
        <v>38.04964545</v>
      </c>
      <c r="D2918" s="1">
        <v>5.1381505550000002</v>
      </c>
      <c r="E2918" s="1"/>
      <c r="H2918" s="2">
        <v>14.989111100000001</v>
      </c>
      <c r="I2918" s="2">
        <v>3.0160537999999999</v>
      </c>
      <c r="J2918" s="2">
        <v>87.391146899999995</v>
      </c>
      <c r="L2918" s="2"/>
      <c r="M2918" s="2"/>
    </row>
    <row r="2919" spans="2:13">
      <c r="B2919" s="2"/>
      <c r="C2919" s="1">
        <v>20.618778039999999</v>
      </c>
      <c r="D2919" s="1">
        <v>0.237449833</v>
      </c>
      <c r="E2919" s="1"/>
      <c r="H2919" s="2">
        <v>7.5480881000000002</v>
      </c>
      <c r="I2919" s="2">
        <v>147.662263</v>
      </c>
      <c r="J2919" s="2">
        <v>39.697967300000002</v>
      </c>
      <c r="L2919" s="2"/>
      <c r="M2919" s="2"/>
    </row>
    <row r="2920" spans="2:13">
      <c r="B2920" s="2"/>
      <c r="C2920" s="1">
        <v>11.60447772</v>
      </c>
      <c r="D2920" s="1">
        <v>0.41553720799999999</v>
      </c>
      <c r="E2920" s="1"/>
      <c r="H2920" s="2">
        <v>114.785661</v>
      </c>
      <c r="I2920" s="2">
        <v>65.622490200000001</v>
      </c>
      <c r="J2920" s="2">
        <v>9.5594929999999998</v>
      </c>
      <c r="L2920" s="2"/>
      <c r="M2920" s="2"/>
    </row>
    <row r="2921" spans="2:13">
      <c r="B2921" s="2"/>
      <c r="C2921" s="1">
        <v>177.35771740000001</v>
      </c>
      <c r="D2921" s="1">
        <v>2.460244104</v>
      </c>
      <c r="E2921" s="1"/>
      <c r="H2921" s="2">
        <v>119.42514799999999</v>
      </c>
      <c r="I2921" s="2">
        <v>26.336057400000001</v>
      </c>
      <c r="J2921" s="2">
        <v>18.875653499999999</v>
      </c>
      <c r="L2921" s="2"/>
      <c r="M2921" s="2"/>
    </row>
    <row r="2922" spans="2:13">
      <c r="B2922" s="2"/>
      <c r="C2922" s="1">
        <v>48.096394109999999</v>
      </c>
      <c r="D2922" s="1">
        <v>0.34298309199999999</v>
      </c>
      <c r="E2922" s="1"/>
      <c r="H2922" s="2">
        <v>46.049880299999998</v>
      </c>
      <c r="I2922" s="2">
        <v>9.5145614799999993</v>
      </c>
      <c r="J2922" s="2">
        <v>109.01298199999999</v>
      </c>
      <c r="L2922" s="2"/>
      <c r="M2922" s="2"/>
    </row>
    <row r="2923" spans="2:13">
      <c r="B2923" s="2"/>
      <c r="C2923" s="1">
        <v>51.531850830000003</v>
      </c>
      <c r="D2923" s="1">
        <v>266.02955889999998</v>
      </c>
      <c r="E2923" s="1"/>
      <c r="H2923" s="2">
        <v>12.0150811</v>
      </c>
      <c r="I2923" s="2">
        <v>31.3420849</v>
      </c>
      <c r="J2923" s="2">
        <v>6.6047406200000003</v>
      </c>
      <c r="L2923" s="2"/>
      <c r="M2923" s="2"/>
    </row>
    <row r="2924" spans="2:13">
      <c r="B2924" s="2"/>
      <c r="C2924" s="1">
        <v>3.175835212</v>
      </c>
      <c r="D2924" s="1">
        <v>0.44192052300000001</v>
      </c>
      <c r="E2924" s="1"/>
      <c r="H2924" s="2">
        <v>24.3632536</v>
      </c>
      <c r="I2924" s="2">
        <v>62.6997164</v>
      </c>
      <c r="J2924" s="2">
        <v>58.052193899999999</v>
      </c>
      <c r="L2924" s="2"/>
      <c r="M2924" s="2"/>
    </row>
    <row r="2925" spans="2:13">
      <c r="B2925" s="2"/>
      <c r="C2925" s="1">
        <v>14.997670469999999</v>
      </c>
      <c r="D2925" s="1">
        <v>3.469405895</v>
      </c>
      <c r="E2925" s="1"/>
      <c r="H2925" s="2">
        <v>88.828327599999994</v>
      </c>
      <c r="I2925" s="2">
        <v>9.0481613999999997</v>
      </c>
      <c r="J2925" s="2">
        <v>22.038976600000002</v>
      </c>
      <c r="L2925" s="2"/>
      <c r="M2925" s="2"/>
    </row>
    <row r="2926" spans="2:13">
      <c r="B2926" s="2"/>
      <c r="C2926" s="1">
        <v>52.304677650000002</v>
      </c>
      <c r="D2926" s="1">
        <v>7.2554116000000002E-2</v>
      </c>
      <c r="E2926" s="1"/>
      <c r="H2926" s="2">
        <v>12.6039391</v>
      </c>
      <c r="I2926" s="2">
        <v>27.548697600000001</v>
      </c>
      <c r="J2926" s="2">
        <v>3.4761790000000001E-2</v>
      </c>
      <c r="L2926" s="2"/>
      <c r="M2926" s="2"/>
    </row>
    <row r="2927" spans="2:13">
      <c r="B2927" s="2"/>
      <c r="C2927" s="1">
        <v>5.258845</v>
      </c>
      <c r="D2927" s="1">
        <v>2.3547108450000001</v>
      </c>
      <c r="E2927" s="1"/>
      <c r="H2927" s="2">
        <v>40.928600699999997</v>
      </c>
      <c r="I2927" s="2">
        <v>38.291445899999999</v>
      </c>
      <c r="J2927" s="2">
        <v>44.217000400000003</v>
      </c>
      <c r="L2927" s="2"/>
      <c r="M2927" s="2"/>
    </row>
    <row r="2928" spans="2:13">
      <c r="B2928" s="2"/>
      <c r="C2928" s="1">
        <v>76.008725260000006</v>
      </c>
      <c r="D2928" s="1">
        <v>254.25600460000001</v>
      </c>
      <c r="E2928" s="1"/>
      <c r="H2928" s="2">
        <v>25.422008300000002</v>
      </c>
      <c r="I2928" s="2">
        <v>59.108435800000002</v>
      </c>
      <c r="J2928" s="2">
        <v>1.18190095</v>
      </c>
      <c r="L2928" s="2"/>
      <c r="M2928" s="2"/>
    </row>
    <row r="2929" spans="2:13">
      <c r="B2929" s="2"/>
      <c r="C2929" s="1">
        <v>8.5554344029999996</v>
      </c>
      <c r="D2929" s="1">
        <v>0.84426607300000001</v>
      </c>
      <c r="E2929" s="1"/>
      <c r="H2929" s="2">
        <v>5.3532540000000003E-2</v>
      </c>
      <c r="I2929" s="2">
        <v>3.0626938099999998</v>
      </c>
      <c r="J2929" s="2">
        <v>8.2037830799999991</v>
      </c>
      <c r="L2929" s="2"/>
      <c r="M2929" s="2"/>
    </row>
    <row r="2930" spans="2:13">
      <c r="B2930" s="2"/>
      <c r="C2930" s="1">
        <v>2.4150838000000001E-2</v>
      </c>
      <c r="D2930" s="1">
        <v>0.66617869799999996</v>
      </c>
      <c r="E2930" s="1"/>
      <c r="H2930" s="2">
        <v>47.072946600000002</v>
      </c>
      <c r="I2930" s="2">
        <v>8.7216813500000008</v>
      </c>
      <c r="J2930" s="2">
        <v>19.466603899999999</v>
      </c>
      <c r="L2930" s="2"/>
      <c r="M2930" s="2"/>
    </row>
    <row r="2931" spans="2:13">
      <c r="B2931" s="2"/>
      <c r="C2931" s="1">
        <v>23.51687862</v>
      </c>
      <c r="D2931" s="1">
        <v>0.25064149099999999</v>
      </c>
      <c r="E2931" s="1"/>
      <c r="H2931" s="2">
        <v>3.1405756600000001</v>
      </c>
      <c r="I2931" s="2">
        <v>20.739256600000001</v>
      </c>
      <c r="J2931" s="2">
        <v>23.325162899999999</v>
      </c>
      <c r="L2931" s="2"/>
      <c r="M2931" s="2"/>
    </row>
    <row r="2932" spans="2:13">
      <c r="B2932" s="2"/>
      <c r="C2932" s="1">
        <v>3.1879106309999998</v>
      </c>
      <c r="D2932" s="1">
        <v>7.2686032249999997</v>
      </c>
      <c r="E2932" s="1"/>
      <c r="H2932" s="2">
        <v>13.638901499999999</v>
      </c>
      <c r="I2932" s="2">
        <v>8.6594946799999999</v>
      </c>
      <c r="J2932" s="2">
        <v>10.1852053</v>
      </c>
      <c r="L2932" s="2"/>
      <c r="M2932" s="2"/>
    </row>
    <row r="2933" spans="2:13">
      <c r="B2933" s="2"/>
      <c r="C2933" s="1">
        <v>58.034463989999999</v>
      </c>
      <c r="D2933" s="1">
        <v>0.84426607300000001</v>
      </c>
      <c r="E2933" s="1"/>
      <c r="H2933" s="2">
        <v>27.265906900000001</v>
      </c>
      <c r="I2933" s="2">
        <v>8.3641079600000001</v>
      </c>
      <c r="J2933" s="2">
        <v>9.9766345100000002</v>
      </c>
      <c r="L2933" s="2"/>
      <c r="M2933" s="2"/>
    </row>
    <row r="2934" spans="2:13">
      <c r="B2934" s="2"/>
      <c r="C2934" s="1">
        <v>14.617294770000001</v>
      </c>
      <c r="D2934" s="1">
        <v>0.19127903199999999</v>
      </c>
      <c r="E2934" s="1"/>
      <c r="H2934" s="2">
        <v>20.205559699999998</v>
      </c>
      <c r="I2934" s="2">
        <v>11.6600018</v>
      </c>
      <c r="J2934" s="2">
        <v>138.525744</v>
      </c>
      <c r="L2934" s="2"/>
      <c r="M2934" s="2"/>
    </row>
    <row r="2935" spans="2:13">
      <c r="B2935" s="2"/>
      <c r="C2935" s="1">
        <v>8.8995838460000005</v>
      </c>
      <c r="D2935" s="1">
        <v>0.39574972200000003</v>
      </c>
      <c r="E2935" s="1"/>
      <c r="H2935" s="2">
        <v>11.6819898</v>
      </c>
      <c r="I2935" s="2">
        <v>248.46686500000001</v>
      </c>
      <c r="J2935" s="2">
        <v>32.571799800000001</v>
      </c>
      <c r="L2935" s="2"/>
      <c r="M2935" s="2"/>
    </row>
    <row r="2936" spans="2:13">
      <c r="B2936" s="2"/>
      <c r="C2936" s="1">
        <v>14.351635549999999</v>
      </c>
      <c r="D2936" s="1">
        <v>267.49383280000001</v>
      </c>
      <c r="E2936" s="1"/>
      <c r="H2936" s="2">
        <v>10.956326499999999</v>
      </c>
      <c r="I2936" s="2">
        <v>30.191631399999999</v>
      </c>
      <c r="J2936" s="2">
        <v>4.4147476799999996</v>
      </c>
      <c r="L2936" s="2"/>
      <c r="M2936" s="2"/>
    </row>
    <row r="2937" spans="2:13">
      <c r="B2937" s="2"/>
      <c r="C2937" s="1">
        <v>6.7501592539999997</v>
      </c>
      <c r="D2937" s="1">
        <v>0.83107441599999998</v>
      </c>
      <c r="E2937" s="1"/>
      <c r="H2937" s="2">
        <v>153.45399900000001</v>
      </c>
      <c r="I2937" s="2">
        <v>4.0576806300000001</v>
      </c>
      <c r="J2937" s="2">
        <v>9.0728279000000001</v>
      </c>
      <c r="L2937" s="2"/>
      <c r="M2937" s="2"/>
    </row>
    <row r="2938" spans="2:13">
      <c r="B2938" s="2"/>
      <c r="C2938" s="1">
        <v>181.92222580000001</v>
      </c>
      <c r="D2938" s="1">
        <v>2.1106651830000001</v>
      </c>
      <c r="E2938" s="1"/>
      <c r="H2938" s="2">
        <v>32.559680299999997</v>
      </c>
      <c r="I2938" s="2">
        <v>5.3791475000000002</v>
      </c>
      <c r="J2938" s="2">
        <v>52.872686700000003</v>
      </c>
      <c r="L2938" s="2"/>
      <c r="M2938" s="2"/>
    </row>
    <row r="2939" spans="2:13">
      <c r="B2939" s="2"/>
      <c r="C2939" s="1">
        <v>15.73427103</v>
      </c>
      <c r="D2939" s="1">
        <v>1.3587407119999999</v>
      </c>
      <c r="E2939" s="1"/>
      <c r="H2939" s="2">
        <v>5.5019554700000004</v>
      </c>
      <c r="I2939" s="2">
        <v>58.253368999999999</v>
      </c>
      <c r="J2939" s="2">
        <v>14.6347147</v>
      </c>
      <c r="L2939" s="2"/>
      <c r="M2939" s="2"/>
    </row>
    <row r="2940" spans="2:13">
      <c r="B2940" s="2"/>
      <c r="C2940" s="1">
        <v>3.8641340990000002</v>
      </c>
      <c r="D2940" s="1">
        <v>0.79809527199999997</v>
      </c>
      <c r="E2940" s="1"/>
      <c r="H2940" s="2">
        <v>8.5533102400000001</v>
      </c>
      <c r="I2940" s="2">
        <v>20.428323200000001</v>
      </c>
      <c r="J2940" s="2">
        <v>19.3275568</v>
      </c>
      <c r="L2940" s="2"/>
      <c r="M2940" s="2"/>
    </row>
    <row r="2941" spans="2:13">
      <c r="B2941" s="2"/>
      <c r="C2941" s="1">
        <v>15.510875779999999</v>
      </c>
      <c r="D2941" s="1">
        <v>1.1806533370000001</v>
      </c>
      <c r="E2941" s="1"/>
      <c r="H2941" s="2">
        <v>70.413133900000005</v>
      </c>
      <c r="I2941" s="2">
        <v>35.415312200000002</v>
      </c>
      <c r="J2941" s="2">
        <v>39.941299800000003</v>
      </c>
      <c r="L2941" s="2"/>
      <c r="M2941" s="2"/>
    </row>
    <row r="2942" spans="2:13">
      <c r="B2942" s="2"/>
      <c r="C2942" s="1">
        <v>53.306937429999998</v>
      </c>
      <c r="D2942" s="1">
        <v>0.145108231</v>
      </c>
      <c r="E2942" s="1"/>
      <c r="H2942" s="2">
        <v>23.5900058</v>
      </c>
      <c r="I2942" s="2">
        <v>46.375713900000001</v>
      </c>
      <c r="J2942" s="2">
        <v>13.974240699999999</v>
      </c>
      <c r="L2942" s="2"/>
      <c r="M2942" s="2"/>
    </row>
    <row r="2943" spans="2:13">
      <c r="B2943" s="2"/>
      <c r="C2943" s="1">
        <v>29.57270127</v>
      </c>
      <c r="D2943" s="1">
        <v>548.03421479999997</v>
      </c>
      <c r="E2943" s="1"/>
      <c r="H2943" s="2">
        <v>31.066717199999999</v>
      </c>
      <c r="I2943" s="2">
        <v>14.6294156</v>
      </c>
      <c r="J2943" s="2">
        <v>15.8861393</v>
      </c>
      <c r="L2943" s="2"/>
      <c r="M2943" s="2"/>
    </row>
    <row r="2944" spans="2:13">
      <c r="B2944" s="2"/>
      <c r="C2944" s="1">
        <v>63.281233579999999</v>
      </c>
      <c r="D2944" s="1">
        <v>0.84426607300000001</v>
      </c>
      <c r="E2944" s="1"/>
      <c r="H2944" s="2">
        <v>40.191041200000001</v>
      </c>
      <c r="I2944" s="2">
        <v>24.657017199999999</v>
      </c>
      <c r="J2944" s="2">
        <v>5.2837924899999997</v>
      </c>
      <c r="L2944" s="2"/>
      <c r="M2944" s="2"/>
    </row>
    <row r="2945" spans="2:13">
      <c r="B2945" s="2"/>
      <c r="C2945" s="1">
        <v>42.60207844</v>
      </c>
      <c r="D2945" s="1">
        <v>209.0415989</v>
      </c>
      <c r="E2945" s="1"/>
      <c r="H2945" s="2">
        <v>15.1378126</v>
      </c>
      <c r="I2945" s="2">
        <v>3.4669072000000001</v>
      </c>
      <c r="J2945" s="2">
        <v>123.091508</v>
      </c>
      <c r="L2945" s="2"/>
      <c r="M2945" s="2"/>
    </row>
    <row r="2946" spans="2:13">
      <c r="B2946" s="2"/>
      <c r="C2946" s="1">
        <v>23.776500129999999</v>
      </c>
      <c r="D2946" s="1">
        <v>7.6181821459999997</v>
      </c>
      <c r="E2946" s="1"/>
      <c r="H2946" s="2">
        <v>25.112709200000001</v>
      </c>
      <c r="I2946" s="2">
        <v>80.967052600000002</v>
      </c>
      <c r="J2946" s="2">
        <v>11.401868</v>
      </c>
      <c r="L2946" s="2"/>
      <c r="M2946" s="2"/>
    </row>
    <row r="2947" spans="2:13">
      <c r="B2947" s="2"/>
      <c r="C2947" s="1">
        <v>13.784090859999999</v>
      </c>
      <c r="D2947" s="1">
        <v>2.2953483870000002</v>
      </c>
      <c r="E2947" s="1"/>
      <c r="H2947" s="2">
        <v>5.7755662299999999</v>
      </c>
      <c r="I2947" s="2">
        <v>19.635442999999999</v>
      </c>
      <c r="J2947" s="2">
        <v>15.8513775</v>
      </c>
      <c r="L2947" s="2"/>
      <c r="M2947" s="2"/>
    </row>
    <row r="2948" spans="2:13">
      <c r="B2948" s="2"/>
      <c r="C2948" s="1">
        <v>4.3290377319999997</v>
      </c>
      <c r="D2948" s="1">
        <v>0.88384104500000005</v>
      </c>
      <c r="E2948" s="1"/>
      <c r="H2948" s="2">
        <v>111.198981</v>
      </c>
      <c r="I2948" s="2">
        <v>19.122402999999998</v>
      </c>
      <c r="J2948" s="2">
        <v>70.948819</v>
      </c>
      <c r="L2948" s="2"/>
      <c r="M2948" s="2"/>
    </row>
    <row r="2949" spans="2:13">
      <c r="B2949" s="2"/>
      <c r="C2949" s="1">
        <v>113.73837210000001</v>
      </c>
      <c r="D2949" s="1">
        <v>3.330893492</v>
      </c>
      <c r="E2949" s="1"/>
      <c r="H2949" s="2">
        <v>14.031473500000001</v>
      </c>
      <c r="I2949" s="2">
        <v>87.574386899999993</v>
      </c>
      <c r="J2949" s="2">
        <v>23.255639299999999</v>
      </c>
      <c r="L2949" s="2"/>
      <c r="M2949" s="2"/>
    </row>
    <row r="2950" spans="2:13">
      <c r="B2950" s="2"/>
      <c r="C2950" s="1">
        <v>21.494245920000001</v>
      </c>
      <c r="D2950" s="1">
        <v>2.4338607890000001</v>
      </c>
      <c r="E2950" s="1"/>
      <c r="H2950" s="2">
        <v>20.8479502</v>
      </c>
      <c r="I2950" s="2">
        <v>36.8456057</v>
      </c>
      <c r="J2950" s="2">
        <v>13.904717099999999</v>
      </c>
      <c r="L2950" s="2"/>
      <c r="M2950" s="2"/>
    </row>
    <row r="2951" spans="2:13">
      <c r="B2951" s="2"/>
      <c r="C2951" s="1">
        <v>28.70930881</v>
      </c>
      <c r="D2951" s="1">
        <v>2.704289766</v>
      </c>
      <c r="E2951" s="1"/>
      <c r="H2951" s="2">
        <v>87.656559799999997</v>
      </c>
      <c r="I2951" s="2">
        <v>21.252296600000001</v>
      </c>
      <c r="J2951" s="2">
        <v>31.320375200000001</v>
      </c>
      <c r="L2951" s="2"/>
      <c r="M2951" s="2"/>
    </row>
    <row r="2952" spans="2:13">
      <c r="B2952" s="2"/>
      <c r="C2952" s="1">
        <v>55.100137160000003</v>
      </c>
      <c r="D2952" s="1">
        <v>0.19127903199999999</v>
      </c>
      <c r="E2952" s="1"/>
      <c r="H2952" s="2">
        <v>26.772217900000001</v>
      </c>
      <c r="I2952" s="2">
        <v>27.688617600000001</v>
      </c>
      <c r="J2952" s="2">
        <v>35.839408300000002</v>
      </c>
      <c r="L2952" s="2"/>
      <c r="M2952" s="2"/>
    </row>
    <row r="2953" spans="2:13">
      <c r="B2953" s="2"/>
      <c r="C2953" s="1">
        <v>65.623864870000006</v>
      </c>
      <c r="D2953" s="1">
        <v>1.7478946049999999</v>
      </c>
      <c r="E2953" s="1"/>
      <c r="H2953" s="2">
        <v>19.319298799999999</v>
      </c>
      <c r="I2953" s="2">
        <v>62.730809700000002</v>
      </c>
      <c r="J2953" s="2">
        <v>30.3818068</v>
      </c>
      <c r="L2953" s="2"/>
      <c r="M2953" s="2"/>
    </row>
    <row r="2954" spans="2:13">
      <c r="B2954" s="2"/>
      <c r="C2954" s="1">
        <v>8.84524446</v>
      </c>
      <c r="D2954" s="1">
        <v>1.4642739709999999</v>
      </c>
      <c r="E2954" s="1"/>
      <c r="H2954" s="2">
        <v>42.005199500000003</v>
      </c>
      <c r="I2954" s="2">
        <v>27.548697600000001</v>
      </c>
      <c r="J2954" s="2">
        <v>2.9199905899999998</v>
      </c>
      <c r="L2954" s="2"/>
      <c r="M2954" s="2"/>
    </row>
    <row r="2955" spans="2:13">
      <c r="B2955" s="2"/>
      <c r="C2955" s="1">
        <v>41.394536530000003</v>
      </c>
      <c r="D2955" s="1">
        <v>0.77171195800000003</v>
      </c>
      <c r="E2955" s="1"/>
      <c r="H2955" s="2">
        <v>56.500621700000004</v>
      </c>
      <c r="I2955" s="2">
        <v>3.3269871800000002</v>
      </c>
      <c r="J2955" s="2">
        <v>36.256549800000002</v>
      </c>
      <c r="L2955" s="2"/>
      <c r="M2955" s="2"/>
    </row>
    <row r="2956" spans="2:13">
      <c r="B2956" s="2"/>
      <c r="C2956" s="1">
        <v>58.215595280000002</v>
      </c>
      <c r="D2956" s="1">
        <v>0.60022041100000001</v>
      </c>
      <c r="E2956" s="1"/>
      <c r="H2956" s="2">
        <v>36.860127599999998</v>
      </c>
      <c r="I2956" s="2">
        <v>29.181097900000001</v>
      </c>
      <c r="J2956" s="2">
        <v>21.1004082</v>
      </c>
      <c r="L2956" s="2"/>
      <c r="M2956" s="2"/>
    </row>
    <row r="2957" spans="2:13">
      <c r="B2957" s="2"/>
      <c r="C2957" s="1">
        <v>49.442803329999997</v>
      </c>
      <c r="D2957" s="1">
        <v>0.46170800899999997</v>
      </c>
      <c r="E2957" s="1"/>
      <c r="H2957" s="2">
        <v>4.6632790200000001</v>
      </c>
      <c r="I2957" s="2">
        <v>16.2462692</v>
      </c>
      <c r="J2957" s="2">
        <v>10.428537800000001</v>
      </c>
      <c r="L2957" s="2"/>
      <c r="M2957" s="2"/>
    </row>
    <row r="2958" spans="2:13">
      <c r="B2958" s="2"/>
      <c r="C2958" s="1">
        <v>4.3471508610000003</v>
      </c>
      <c r="D2958" s="1">
        <v>5.0590006110000001</v>
      </c>
      <c r="E2958" s="1"/>
      <c r="H2958" s="2">
        <v>38.953844699999998</v>
      </c>
      <c r="I2958" s="2">
        <v>10.354081600000001</v>
      </c>
      <c r="J2958" s="2">
        <v>7.7518797800000003</v>
      </c>
      <c r="L2958" s="2"/>
      <c r="M2958" s="2"/>
    </row>
    <row r="2959" spans="2:13">
      <c r="B2959" s="2"/>
      <c r="C2959" s="1">
        <v>43.411131509999997</v>
      </c>
      <c r="D2959" s="1">
        <v>1.2861865960000001</v>
      </c>
      <c r="E2959" s="1"/>
      <c r="H2959" s="2">
        <v>27.462192900000002</v>
      </c>
      <c r="I2959" s="2">
        <v>9.3590947900000003</v>
      </c>
      <c r="J2959" s="2">
        <v>6.7437877899999998</v>
      </c>
      <c r="L2959" s="2"/>
      <c r="M2959" s="2"/>
    </row>
    <row r="2960" spans="2:13">
      <c r="B2960" s="2"/>
      <c r="C2960" s="1">
        <v>42.553776759999998</v>
      </c>
      <c r="D2960" s="1">
        <v>89.854974350000006</v>
      </c>
      <c r="E2960" s="1"/>
      <c r="H2960" s="2">
        <v>16.2322557</v>
      </c>
      <c r="I2960" s="2">
        <v>8.3796546299999992</v>
      </c>
      <c r="J2960" s="2">
        <v>95.108264899999995</v>
      </c>
      <c r="L2960" s="2"/>
      <c r="M2960" s="2"/>
    </row>
    <row r="2961" spans="2:13">
      <c r="B2961" s="2"/>
      <c r="C2961" s="1">
        <v>26.191583940000001</v>
      </c>
      <c r="D2961" s="1">
        <v>1.7808737480000001</v>
      </c>
      <c r="E2961" s="1"/>
      <c r="H2961" s="2">
        <v>8.5116738200000004</v>
      </c>
      <c r="I2961" s="2">
        <v>97.695268499999997</v>
      </c>
      <c r="J2961" s="2">
        <v>22.247547300000001</v>
      </c>
      <c r="L2961" s="2"/>
      <c r="M2961" s="2"/>
    </row>
    <row r="2962" spans="2:13">
      <c r="B2962" s="2"/>
      <c r="C2962" s="1">
        <v>14.206730520000001</v>
      </c>
      <c r="D2962" s="1">
        <v>1.7281071189999999</v>
      </c>
      <c r="E2962" s="1"/>
      <c r="H2962" s="2">
        <v>9.6596493900000002</v>
      </c>
      <c r="I2962" s="2">
        <v>32.554725099999999</v>
      </c>
      <c r="J2962" s="2">
        <v>8.2733066700000002</v>
      </c>
      <c r="L2962" s="2"/>
      <c r="M2962" s="2"/>
    </row>
    <row r="2963" spans="2:13">
      <c r="B2963" s="2"/>
      <c r="C2963" s="1">
        <v>6.6475181919999997</v>
      </c>
      <c r="D2963" s="1">
        <v>0.93660767499999997</v>
      </c>
      <c r="E2963" s="1"/>
      <c r="H2963" s="2">
        <v>90.630589799999996</v>
      </c>
      <c r="I2963" s="2">
        <v>6.5296010100000004</v>
      </c>
      <c r="J2963" s="2">
        <v>76.754038300000005</v>
      </c>
      <c r="L2963" s="2"/>
      <c r="M2963" s="2"/>
    </row>
    <row r="2964" spans="2:13">
      <c r="B2964" s="2"/>
      <c r="C2964" s="1">
        <v>97.998063369999997</v>
      </c>
      <c r="D2964" s="1">
        <v>3.8783472739999998</v>
      </c>
      <c r="E2964" s="1"/>
      <c r="H2964" s="2">
        <v>19.926000899999998</v>
      </c>
      <c r="I2964" s="2">
        <v>88.755933799999994</v>
      </c>
      <c r="J2964" s="2">
        <v>19.7446983</v>
      </c>
      <c r="L2964" s="2"/>
      <c r="M2964" s="2"/>
    </row>
    <row r="2965" spans="2:13">
      <c r="B2965" s="2"/>
      <c r="C2965" s="1">
        <v>22.098016879999999</v>
      </c>
      <c r="D2965" s="1">
        <v>0.77171195800000003</v>
      </c>
      <c r="E2965" s="1"/>
      <c r="H2965" s="2">
        <v>8.0417770799999992</v>
      </c>
      <c r="I2965" s="2">
        <v>20.677069899999999</v>
      </c>
      <c r="J2965" s="2">
        <v>25.063252599999998</v>
      </c>
      <c r="L2965" s="2"/>
      <c r="M2965" s="2"/>
    </row>
    <row r="2966" spans="2:13">
      <c r="B2966" s="2"/>
      <c r="C2966" s="1">
        <v>9.3161858039999998</v>
      </c>
      <c r="D2966" s="1">
        <v>0.52766629600000003</v>
      </c>
      <c r="E2966" s="1"/>
      <c r="H2966" s="2">
        <v>64.393697200000005</v>
      </c>
      <c r="I2966" s="2">
        <v>28.248297699999998</v>
      </c>
      <c r="J2966" s="2">
        <v>19.883745399999999</v>
      </c>
      <c r="L2966" s="2"/>
      <c r="M2966" s="2"/>
    </row>
    <row r="2967" spans="2:13">
      <c r="B2967" s="2"/>
      <c r="C2967" s="1">
        <v>37.113800480000002</v>
      </c>
      <c r="D2967" s="1">
        <v>49.996381530000001</v>
      </c>
      <c r="E2967" s="1"/>
      <c r="H2967" s="2">
        <v>31.346276</v>
      </c>
      <c r="I2967" s="2">
        <v>18.516082900000001</v>
      </c>
      <c r="J2967" s="2">
        <v>26.523247900000001</v>
      </c>
      <c r="L2967" s="2"/>
      <c r="M2967" s="2"/>
    </row>
    <row r="2968" spans="2:13">
      <c r="B2968" s="2"/>
      <c r="C2968" s="1">
        <v>60.220114840000001</v>
      </c>
      <c r="D2968" s="1">
        <v>4.8809132359999996</v>
      </c>
      <c r="E2968" s="1"/>
      <c r="H2968" s="2">
        <v>32.048147100000001</v>
      </c>
      <c r="I2968" s="2">
        <v>23.0090702</v>
      </c>
      <c r="J2968" s="2">
        <v>14.7390001</v>
      </c>
      <c r="L2968" s="2"/>
      <c r="M2968" s="2"/>
    </row>
    <row r="2969" spans="2:13">
      <c r="B2969" s="2"/>
      <c r="C2969" s="1">
        <v>11.07315928</v>
      </c>
      <c r="D2969" s="1">
        <v>0.88384104500000005</v>
      </c>
      <c r="E2969" s="1"/>
      <c r="H2969" s="2">
        <v>21.317846899999999</v>
      </c>
      <c r="I2969" s="2">
        <v>10.012054900000001</v>
      </c>
      <c r="J2969" s="2">
        <v>15.2256652</v>
      </c>
      <c r="L2969" s="2"/>
      <c r="M2969" s="2"/>
    </row>
    <row r="2970" spans="2:13">
      <c r="B2970" s="2"/>
      <c r="C2970" s="1">
        <v>14.61125706</v>
      </c>
      <c r="D2970" s="1">
        <v>3.225360233</v>
      </c>
      <c r="E2970" s="1"/>
      <c r="H2970" s="2">
        <v>26.070346799999999</v>
      </c>
      <c r="I2970" s="2">
        <v>5.7678142299999999</v>
      </c>
      <c r="J2970" s="2">
        <v>39.246063999999997</v>
      </c>
      <c r="L2970" s="2"/>
      <c r="M2970" s="2"/>
    </row>
    <row r="2971" spans="2:13">
      <c r="B2971" s="2"/>
      <c r="C2971" s="1">
        <v>22.75612722</v>
      </c>
      <c r="D2971" s="1">
        <v>0.34298309199999999</v>
      </c>
      <c r="E2971" s="1"/>
      <c r="H2971" s="2">
        <v>18.4151937</v>
      </c>
      <c r="I2971" s="2">
        <v>37.731765899999999</v>
      </c>
      <c r="J2971" s="2">
        <v>15.5385214</v>
      </c>
      <c r="L2971" s="2"/>
      <c r="M2971" s="2"/>
    </row>
    <row r="2972" spans="2:13">
      <c r="B2972" s="2"/>
      <c r="C2972" s="1">
        <v>7.9335503210000002</v>
      </c>
      <c r="D2972" s="1">
        <v>1.8732153499999999</v>
      </c>
      <c r="E2972" s="1"/>
      <c r="H2972" s="2">
        <v>18.4151937</v>
      </c>
      <c r="I2972" s="2">
        <v>11.8932018</v>
      </c>
      <c r="J2972" s="2">
        <v>99.731583299999997</v>
      </c>
      <c r="L2972" s="2"/>
      <c r="M2972" s="2"/>
    </row>
    <row r="2973" spans="2:13">
      <c r="B2973" s="2"/>
      <c r="C2973" s="1">
        <v>8.9297723940000004</v>
      </c>
      <c r="D2973" s="1">
        <v>1.9787486089999999</v>
      </c>
      <c r="E2973" s="1"/>
      <c r="H2973" s="2">
        <v>48.244714399999999</v>
      </c>
      <c r="I2973" s="2">
        <v>98.177215200000006</v>
      </c>
      <c r="J2973" s="2">
        <v>3.54570286</v>
      </c>
      <c r="L2973" s="2"/>
      <c r="M2973" s="2"/>
    </row>
    <row r="2974" spans="2:13">
      <c r="B2974" s="2"/>
      <c r="C2974" s="1">
        <v>46.327345219999998</v>
      </c>
      <c r="D2974" s="1">
        <v>0.613412069</v>
      </c>
      <c r="E2974" s="1"/>
      <c r="H2974" s="2">
        <v>20.229351999999999</v>
      </c>
      <c r="I2974" s="2">
        <v>1.5080268999999999</v>
      </c>
      <c r="J2974" s="2">
        <v>29.338953100000001</v>
      </c>
      <c r="L2974" s="2"/>
      <c r="M2974" s="2"/>
    </row>
    <row r="2975" spans="2:13">
      <c r="B2975" s="2"/>
      <c r="C2975" s="1">
        <v>24.814986170000001</v>
      </c>
      <c r="D2975" s="1">
        <v>1.6555530030000001</v>
      </c>
      <c r="E2975" s="1"/>
      <c r="H2975" s="2">
        <v>91.808305599999997</v>
      </c>
      <c r="I2975" s="2">
        <v>25.061230599999998</v>
      </c>
      <c r="J2975" s="2">
        <v>52.351259900000002</v>
      </c>
      <c r="L2975" s="2"/>
      <c r="M2975" s="2"/>
    </row>
    <row r="2976" spans="2:13">
      <c r="B2976" s="2"/>
      <c r="C2976" s="1">
        <v>75.869857940000003</v>
      </c>
      <c r="D2976" s="1">
        <v>30.657411790000001</v>
      </c>
      <c r="E2976" s="1"/>
      <c r="H2976" s="2">
        <v>3.8067583800000002</v>
      </c>
      <c r="I2976" s="2">
        <v>38.213712600000001</v>
      </c>
      <c r="J2976" s="2">
        <v>16.198995400000001</v>
      </c>
      <c r="L2976" s="2"/>
      <c r="M2976" s="2"/>
    </row>
    <row r="2977" spans="2:13">
      <c r="B2977" s="2"/>
      <c r="C2977" s="1">
        <v>6.0860112050000001</v>
      </c>
      <c r="D2977" s="1">
        <v>2.6449273080000002</v>
      </c>
      <c r="E2977" s="1"/>
      <c r="H2977" s="2">
        <v>33.208018799999998</v>
      </c>
      <c r="I2977" s="2">
        <v>13.9298155</v>
      </c>
      <c r="J2977" s="2">
        <v>26.349438899999999</v>
      </c>
      <c r="L2977" s="2"/>
      <c r="M2977" s="2"/>
    </row>
    <row r="2978" spans="2:13">
      <c r="B2978" s="2"/>
      <c r="C2978" s="1">
        <v>14.04975007</v>
      </c>
      <c r="D2978" s="1">
        <v>3.8519639589999999</v>
      </c>
      <c r="E2978" s="1"/>
      <c r="H2978" s="2">
        <v>40.327846600000001</v>
      </c>
      <c r="I2978" s="2">
        <v>20.443869800000002</v>
      </c>
      <c r="J2978" s="2">
        <v>98.827776700000001</v>
      </c>
      <c r="L2978" s="2"/>
      <c r="M2978" s="2"/>
    </row>
    <row r="2979" spans="2:13">
      <c r="B2979" s="2"/>
      <c r="C2979" s="1">
        <v>32.772687320000003</v>
      </c>
      <c r="D2979" s="1">
        <v>6.3517830359999996</v>
      </c>
      <c r="E2979" s="1"/>
      <c r="H2979" s="2">
        <v>22.6740046</v>
      </c>
      <c r="I2979" s="2">
        <v>111.593991</v>
      </c>
      <c r="J2979" s="2">
        <v>53.255066499999998</v>
      </c>
      <c r="L2979" s="2"/>
      <c r="M2979" s="2"/>
    </row>
    <row r="2980" spans="2:13">
      <c r="B2980" s="2"/>
      <c r="C2980" s="1">
        <v>24.181026660000001</v>
      </c>
      <c r="D2980" s="1">
        <v>1.2861865960000001</v>
      </c>
      <c r="E2980" s="1"/>
      <c r="H2980" s="2">
        <v>32.494251599999998</v>
      </c>
      <c r="I2980" s="2">
        <v>64.860703400000006</v>
      </c>
      <c r="J2980" s="2">
        <v>36.569406000000001</v>
      </c>
      <c r="L2980" s="2"/>
      <c r="M2980" s="2"/>
    </row>
    <row r="2981" spans="2:13">
      <c r="B2981" s="2"/>
      <c r="C2981" s="1">
        <v>11.121460949999999</v>
      </c>
      <c r="D2981" s="1">
        <v>0.25064149099999999</v>
      </c>
      <c r="E2981" s="1"/>
      <c r="H2981" s="2">
        <v>113.86371200000001</v>
      </c>
      <c r="I2981" s="2">
        <v>48.832087600000001</v>
      </c>
      <c r="J2981" s="2">
        <v>78.040224699999996</v>
      </c>
      <c r="L2981" s="2"/>
      <c r="M2981" s="2"/>
    </row>
    <row r="2982" spans="2:13">
      <c r="B2982" s="2"/>
      <c r="C2982" s="1">
        <v>139.26580799999999</v>
      </c>
      <c r="D2982" s="1">
        <v>0.230854004</v>
      </c>
      <c r="E2982" s="1"/>
      <c r="H2982" s="2">
        <v>52.467837000000003</v>
      </c>
      <c r="I2982" s="2">
        <v>90.4660674</v>
      </c>
      <c r="J2982" s="2">
        <v>16.963754900000001</v>
      </c>
      <c r="L2982" s="2"/>
      <c r="M2982" s="2"/>
    </row>
    <row r="2983" spans="2:13">
      <c r="B2983" s="2"/>
      <c r="C2983" s="1">
        <v>45.524329850000001</v>
      </c>
      <c r="D2983" s="1">
        <v>6.7673202440000004</v>
      </c>
      <c r="E2983" s="1"/>
      <c r="H2983" s="2">
        <v>47.0015699</v>
      </c>
      <c r="I2983" s="2">
        <v>24.532643799999999</v>
      </c>
      <c r="J2983" s="2">
        <v>8.3775920500000005</v>
      </c>
      <c r="L2983" s="2"/>
      <c r="M2983" s="2"/>
    </row>
    <row r="2984" spans="2:13">
      <c r="B2984" s="2"/>
      <c r="C2984" s="1">
        <v>77.596642869999997</v>
      </c>
      <c r="D2984" s="1">
        <v>0.43532469400000001</v>
      </c>
      <c r="E2984" s="1"/>
      <c r="H2984" s="2">
        <v>100.129642</v>
      </c>
      <c r="I2984" s="2">
        <v>6.7783477200000002</v>
      </c>
      <c r="J2984" s="2">
        <v>5.0752217399999999</v>
      </c>
      <c r="L2984" s="2"/>
      <c r="M2984" s="2"/>
    </row>
    <row r="2985" spans="2:13">
      <c r="B2985" s="2"/>
      <c r="C2985" s="1">
        <v>133.69903980000001</v>
      </c>
      <c r="D2985" s="1">
        <v>0.21106651800000001</v>
      </c>
      <c r="E2985" s="1"/>
      <c r="H2985" s="2">
        <v>17.1779972</v>
      </c>
      <c r="I2985" s="2">
        <v>6.0321075999999998</v>
      </c>
      <c r="J2985" s="2">
        <v>79.534981799999997</v>
      </c>
      <c r="L2985" s="2"/>
      <c r="M2985" s="2"/>
    </row>
    <row r="2986" spans="2:13">
      <c r="B2986" s="2"/>
      <c r="C2986" s="1">
        <v>13.26484784</v>
      </c>
      <c r="D2986" s="1">
        <v>0.25723731900000002</v>
      </c>
      <c r="E2986" s="1"/>
      <c r="H2986" s="2">
        <v>7.0781913599999999</v>
      </c>
      <c r="I2986" s="2">
        <v>116.662205</v>
      </c>
      <c r="J2986" s="2">
        <v>6.6742641999999996</v>
      </c>
      <c r="L2986" s="2"/>
      <c r="M2986" s="2"/>
    </row>
    <row r="2987" spans="2:13">
      <c r="B2987" s="2"/>
      <c r="C2987" s="1">
        <v>5.3795991909999996</v>
      </c>
      <c r="D2987" s="1">
        <v>155.87262380000001</v>
      </c>
      <c r="E2987" s="1"/>
      <c r="H2987" s="2">
        <v>5.3651500900000002</v>
      </c>
      <c r="I2987" s="2">
        <v>7.9754412400000003</v>
      </c>
      <c r="J2987" s="2">
        <v>4.7276038099999997</v>
      </c>
      <c r="L2987" s="2"/>
      <c r="M2987" s="2"/>
    </row>
    <row r="2988" spans="2:13">
      <c r="B2988" s="2"/>
      <c r="C2988" s="1">
        <v>5.4218631569999998</v>
      </c>
      <c r="D2988" s="1">
        <v>2.8691854829999999</v>
      </c>
      <c r="E2988" s="1"/>
      <c r="H2988" s="2">
        <v>93.259632300000007</v>
      </c>
      <c r="I2988" s="2">
        <v>3.8400272599999998</v>
      </c>
      <c r="J2988" s="2">
        <v>15.017094500000001</v>
      </c>
      <c r="L2988" s="2"/>
      <c r="M2988" s="2"/>
    </row>
    <row r="2989" spans="2:13">
      <c r="B2989" s="2"/>
      <c r="C2989" s="1">
        <v>32.736461069999997</v>
      </c>
      <c r="D2989" s="1">
        <v>0.52766629600000003</v>
      </c>
      <c r="E2989" s="1"/>
      <c r="H2989" s="2">
        <v>16.5712951</v>
      </c>
      <c r="I2989" s="2">
        <v>19.433336300000001</v>
      </c>
      <c r="J2989" s="2">
        <v>10.637108599999999</v>
      </c>
      <c r="L2989" s="2"/>
      <c r="M2989" s="2"/>
    </row>
    <row r="2990" spans="2:13">
      <c r="B2990" s="2"/>
      <c r="C2990" s="1">
        <v>13.56673331</v>
      </c>
      <c r="D2990" s="1">
        <v>0.34298309199999999</v>
      </c>
      <c r="E2990" s="1"/>
      <c r="H2990" s="2">
        <v>5.0380067899999998</v>
      </c>
      <c r="I2990" s="2">
        <v>14.753788999999999</v>
      </c>
      <c r="J2990" s="2">
        <v>50.508884799999997</v>
      </c>
      <c r="L2990" s="2"/>
      <c r="M2990" s="2"/>
    </row>
    <row r="2991" spans="2:13">
      <c r="B2991" s="2"/>
      <c r="C2991" s="1">
        <v>9.6905237940000006</v>
      </c>
      <c r="D2991" s="1">
        <v>0.237449833</v>
      </c>
      <c r="E2991" s="1"/>
      <c r="H2991" s="2">
        <v>22.929771200000001</v>
      </c>
      <c r="I2991" s="2">
        <v>69.244864100000001</v>
      </c>
      <c r="J2991" s="2">
        <v>8.4818774300000008</v>
      </c>
      <c r="L2991" s="2"/>
      <c r="M2991" s="2"/>
    </row>
    <row r="2992" spans="2:13">
      <c r="B2992" s="2"/>
      <c r="C2992" s="1">
        <v>12.43768163</v>
      </c>
      <c r="D2992" s="1">
        <v>4.003668019</v>
      </c>
      <c r="E2992" s="1"/>
      <c r="H2992" s="2">
        <v>15.7445147</v>
      </c>
      <c r="I2992" s="2">
        <v>10.478455</v>
      </c>
      <c r="J2992" s="2">
        <v>6.4656934499999998</v>
      </c>
      <c r="L2992" s="2"/>
      <c r="M2992" s="2"/>
    </row>
    <row r="2993" spans="2:13">
      <c r="B2993" s="2"/>
      <c r="C2993" s="1">
        <v>18.48746658</v>
      </c>
      <c r="D2993" s="1">
        <v>1.7149154609999999</v>
      </c>
      <c r="E2993" s="1"/>
      <c r="H2993" s="2">
        <v>50.748847699999999</v>
      </c>
      <c r="I2993" s="2">
        <v>4.29088067</v>
      </c>
      <c r="J2993" s="2">
        <v>3.3718938899999999</v>
      </c>
      <c r="L2993" s="2"/>
      <c r="M2993" s="2"/>
    </row>
    <row r="2994" spans="2:13">
      <c r="B2994" s="2"/>
      <c r="C2994" s="1">
        <v>66.921972420000003</v>
      </c>
      <c r="D2994" s="1">
        <v>1.141078365</v>
      </c>
      <c r="E2994" s="1"/>
      <c r="H2994" s="2">
        <v>12.062665600000001</v>
      </c>
      <c r="I2994" s="2">
        <v>5.0060274400000004</v>
      </c>
      <c r="J2994" s="2">
        <v>46.1984225</v>
      </c>
      <c r="L2994" s="2"/>
      <c r="M2994" s="2"/>
    </row>
    <row r="2995" spans="2:13">
      <c r="B2995" s="2"/>
      <c r="C2995" s="1">
        <v>13.98333527</v>
      </c>
      <c r="D2995" s="1">
        <v>271.60962990000002</v>
      </c>
      <c r="E2995" s="1"/>
      <c r="H2995" s="2">
        <v>7.3993865999999997</v>
      </c>
      <c r="I2995" s="2">
        <v>25.7141907</v>
      </c>
      <c r="J2995" s="2">
        <v>26.453724300000001</v>
      </c>
      <c r="L2995" s="2"/>
      <c r="M2995" s="2"/>
    </row>
    <row r="2996" spans="2:13">
      <c r="B2996" s="2"/>
      <c r="C2996" s="1">
        <v>5.1139399709999998</v>
      </c>
      <c r="D2996" s="1">
        <v>6.2528456050000001</v>
      </c>
      <c r="E2996" s="1"/>
      <c r="H2996" s="2">
        <v>5.2164485899999997</v>
      </c>
      <c r="I2996" s="2">
        <v>30.8601381</v>
      </c>
      <c r="J2996" s="2">
        <v>39.419873000000003</v>
      </c>
      <c r="L2996" s="2"/>
      <c r="M2996" s="2"/>
    </row>
    <row r="2997" spans="2:13">
      <c r="B2997" s="2"/>
      <c r="C2997" s="1">
        <v>9.3524120610000008</v>
      </c>
      <c r="D2997" s="1">
        <v>1.226824138</v>
      </c>
      <c r="E2997" s="1"/>
      <c r="H2997" s="2">
        <v>54.299839499999997</v>
      </c>
      <c r="I2997" s="2">
        <v>23.972963700000001</v>
      </c>
      <c r="J2997" s="2">
        <v>129.105298</v>
      </c>
      <c r="L2997" s="2"/>
      <c r="M2997" s="2"/>
    </row>
    <row r="2998" spans="2:13">
      <c r="B2998" s="2"/>
      <c r="C2998" s="1">
        <v>55.49258828</v>
      </c>
      <c r="D2998" s="1">
        <v>2.6119481640000002</v>
      </c>
      <c r="E2998" s="1"/>
      <c r="H2998" s="2">
        <v>35.474229700000002</v>
      </c>
      <c r="I2998" s="2">
        <v>228.458302</v>
      </c>
      <c r="J2998" s="2">
        <v>125.80292799999999</v>
      </c>
      <c r="L2998" s="2"/>
      <c r="M2998" s="2"/>
    </row>
    <row r="2999" spans="2:13">
      <c r="B2999" s="2"/>
      <c r="C2999" s="1">
        <v>20.129723569999999</v>
      </c>
      <c r="D2999" s="1">
        <v>1.5500197440000001</v>
      </c>
      <c r="E2999" s="1"/>
      <c r="H2999" s="2">
        <v>31.173782299999999</v>
      </c>
      <c r="I2999" s="2">
        <v>169.629706</v>
      </c>
      <c r="J2999" s="2">
        <v>15.8861393</v>
      </c>
      <c r="L2999" s="2"/>
      <c r="M2999" s="2"/>
    </row>
    <row r="3000" spans="2:13">
      <c r="B3000" s="2"/>
      <c r="C3000" s="1">
        <v>46.83451282</v>
      </c>
      <c r="D3000" s="1">
        <v>0.77171195800000003</v>
      </c>
      <c r="E3000" s="1"/>
      <c r="H3000" s="2">
        <v>148.707447</v>
      </c>
      <c r="I3000" s="2">
        <v>9.5456548100000003</v>
      </c>
      <c r="J3000" s="2">
        <v>28.8175262</v>
      </c>
      <c r="L3000" s="2"/>
      <c r="M3000" s="2"/>
    </row>
    <row r="3001" spans="2:13">
      <c r="B3001" s="2"/>
      <c r="C3001" s="1">
        <v>115.2357241</v>
      </c>
      <c r="D3001" s="1">
        <v>2.809823025</v>
      </c>
      <c r="E3001" s="1"/>
      <c r="H3001" s="2">
        <v>132.32054199999999</v>
      </c>
      <c r="I3001" s="2">
        <v>22.122910099999999</v>
      </c>
      <c r="J3001" s="2">
        <v>25.3761087</v>
      </c>
      <c r="L3001" s="2"/>
      <c r="M3001" s="2"/>
    </row>
    <row r="3002" spans="2:13">
      <c r="B3002" s="2"/>
      <c r="C3002" s="1">
        <v>115.1934601</v>
      </c>
      <c r="D3002" s="1">
        <v>0.35617474999999998</v>
      </c>
      <c r="E3002" s="1"/>
      <c r="H3002" s="2">
        <v>21.389223699999999</v>
      </c>
      <c r="I3002" s="2">
        <v>25.6364573</v>
      </c>
      <c r="J3002" s="2">
        <v>13.800431700000001</v>
      </c>
      <c r="L3002" s="2"/>
      <c r="M3002" s="2"/>
    </row>
    <row r="3003" spans="2:13">
      <c r="B3003" s="2"/>
      <c r="C3003" s="1">
        <v>19.139539209999999</v>
      </c>
      <c r="D3003" s="1">
        <v>1.141078365</v>
      </c>
      <c r="E3003" s="1"/>
      <c r="H3003" s="2">
        <v>34.278669600000001</v>
      </c>
      <c r="I3003" s="2">
        <v>23.615390300000001</v>
      </c>
      <c r="J3003" s="2">
        <v>29.060858700000001</v>
      </c>
      <c r="L3003" s="2"/>
      <c r="M3003" s="2"/>
    </row>
    <row r="3004" spans="2:13">
      <c r="B3004" s="2"/>
      <c r="C3004" s="1">
        <v>25.298002929999999</v>
      </c>
      <c r="D3004" s="1">
        <v>1.2532074529999999</v>
      </c>
      <c r="E3004" s="1"/>
      <c r="H3004" s="2">
        <v>28.842142800000001</v>
      </c>
      <c r="I3004" s="2">
        <v>33.6740852</v>
      </c>
      <c r="J3004" s="2">
        <v>13.383290199999999</v>
      </c>
      <c r="L3004" s="2"/>
      <c r="M3004" s="2"/>
    </row>
    <row r="3005" spans="2:13">
      <c r="B3005" s="2"/>
      <c r="C3005" s="1">
        <v>21.482170499999999</v>
      </c>
      <c r="D3005" s="1">
        <v>2.4074774749999999</v>
      </c>
      <c r="E3005" s="1"/>
      <c r="H3005" s="2">
        <v>20.556495300000002</v>
      </c>
      <c r="I3005" s="2">
        <v>17.381176</v>
      </c>
      <c r="J3005" s="2">
        <v>21.413264300000002</v>
      </c>
      <c r="L3005" s="2"/>
      <c r="M3005" s="2"/>
    </row>
    <row r="3006" spans="2:13">
      <c r="B3006" s="2"/>
      <c r="C3006" s="1">
        <v>21.46405738</v>
      </c>
      <c r="D3006" s="1">
        <v>0.73873281400000002</v>
      </c>
      <c r="E3006" s="1"/>
      <c r="H3006" s="2">
        <v>47.037258199999997</v>
      </c>
      <c r="I3006" s="2">
        <v>32.088324999999998</v>
      </c>
      <c r="J3006" s="2">
        <v>18.0066086</v>
      </c>
      <c r="L3006" s="2"/>
      <c r="M3006" s="2"/>
    </row>
    <row r="3007" spans="2:13">
      <c r="B3007" s="2"/>
      <c r="C3007" s="1">
        <v>25.503285049999999</v>
      </c>
      <c r="D3007" s="1">
        <v>2.598756507</v>
      </c>
      <c r="E3007" s="1"/>
      <c r="H3007" s="2">
        <v>15.613657399999999</v>
      </c>
      <c r="I3007" s="2">
        <v>19.619896399999998</v>
      </c>
      <c r="J3007" s="2">
        <v>36.360835199999997</v>
      </c>
      <c r="L3007" s="2"/>
      <c r="M3007" s="2"/>
    </row>
    <row r="3008" spans="2:13">
      <c r="B3008" s="2"/>
      <c r="C3008" s="1">
        <v>10.34259642</v>
      </c>
      <c r="D3008" s="1">
        <v>0.613412069</v>
      </c>
      <c r="E3008" s="1"/>
      <c r="H3008" s="2">
        <v>32.619160899999997</v>
      </c>
      <c r="I3008" s="2">
        <v>43.173099999999998</v>
      </c>
      <c r="J3008" s="2">
        <v>11.8190095</v>
      </c>
      <c r="L3008" s="2"/>
      <c r="M3008" s="2"/>
    </row>
    <row r="3009" spans="2:13">
      <c r="B3009" s="2"/>
      <c r="C3009" s="1">
        <v>10.390898099999999</v>
      </c>
      <c r="D3009" s="1">
        <v>0.118724917</v>
      </c>
      <c r="E3009" s="1"/>
      <c r="H3009" s="2">
        <v>22.965459500000001</v>
      </c>
      <c r="I3009" s="2">
        <v>19.0602163</v>
      </c>
      <c r="J3009" s="2">
        <v>19.570889300000001</v>
      </c>
      <c r="L3009" s="2"/>
      <c r="M3009" s="2"/>
    </row>
    <row r="3010" spans="2:13">
      <c r="B3010" s="2"/>
      <c r="C3010" s="1">
        <v>42.753021179999998</v>
      </c>
      <c r="D3010" s="1">
        <v>3.1396144600000002</v>
      </c>
      <c r="E3010" s="1"/>
      <c r="H3010" s="2">
        <v>33.695759700000004</v>
      </c>
      <c r="I3010" s="2">
        <v>26.2272307</v>
      </c>
      <c r="J3010" s="2">
        <v>15.2256652</v>
      </c>
      <c r="L3010" s="2"/>
      <c r="M3010" s="2"/>
    </row>
    <row r="3011" spans="2:13">
      <c r="B3011" s="2"/>
      <c r="C3011" s="1">
        <v>68.026873269999996</v>
      </c>
      <c r="D3011" s="1">
        <v>0.44851635099999998</v>
      </c>
      <c r="E3011" s="1"/>
      <c r="H3011" s="2">
        <v>15.762358900000001</v>
      </c>
      <c r="I3011" s="2">
        <v>12.2041352</v>
      </c>
      <c r="J3011" s="2">
        <v>7.6475944</v>
      </c>
      <c r="L3011" s="2"/>
      <c r="M3011" s="2"/>
    </row>
    <row r="3012" spans="2:13">
      <c r="B3012" s="2"/>
      <c r="C3012" s="1">
        <v>16.35615511</v>
      </c>
      <c r="D3012" s="1">
        <v>119.25258289999999</v>
      </c>
      <c r="E3012" s="1"/>
      <c r="H3012" s="2">
        <v>29.3001434</v>
      </c>
      <c r="I3012" s="2">
        <v>4.7572807399999997</v>
      </c>
      <c r="J3012" s="2">
        <v>38.307495600000003</v>
      </c>
      <c r="L3012" s="2"/>
      <c r="M3012" s="2"/>
    </row>
    <row r="3013" spans="2:13">
      <c r="B3013" s="2"/>
      <c r="C3013" s="1">
        <v>48.579410869999997</v>
      </c>
      <c r="D3013" s="1">
        <v>0.20447069000000001</v>
      </c>
      <c r="E3013" s="1"/>
      <c r="H3013" s="2">
        <v>16.910334500000001</v>
      </c>
      <c r="I3013" s="2">
        <v>40.483526300000001</v>
      </c>
      <c r="J3013" s="2">
        <v>5.66617221</v>
      </c>
      <c r="L3013" s="2"/>
      <c r="M3013" s="2"/>
    </row>
    <row r="3014" spans="2:13">
      <c r="B3014" s="2"/>
      <c r="C3014" s="1">
        <v>8.0663799310000002</v>
      </c>
      <c r="D3014" s="1">
        <v>125.3867035</v>
      </c>
      <c r="E3014" s="1"/>
      <c r="H3014" s="2">
        <v>5.8588390700000001</v>
      </c>
      <c r="I3014" s="2">
        <v>4.7261873999999997</v>
      </c>
      <c r="J3014" s="2">
        <v>63.961698599999998</v>
      </c>
      <c r="L3014" s="2"/>
      <c r="M3014" s="2"/>
    </row>
    <row r="3015" spans="2:13">
      <c r="B3015" s="2"/>
      <c r="C3015" s="1">
        <v>3.791681584</v>
      </c>
      <c r="D3015" s="1">
        <v>0.93001184599999998</v>
      </c>
      <c r="E3015" s="1"/>
      <c r="H3015" s="2">
        <v>40.857223900000001</v>
      </c>
      <c r="I3015" s="2">
        <v>63.1505698</v>
      </c>
      <c r="J3015" s="2">
        <v>3.4414174800000001</v>
      </c>
      <c r="L3015" s="2"/>
      <c r="M3015" s="2"/>
    </row>
    <row r="3016" spans="2:13">
      <c r="B3016" s="2"/>
      <c r="C3016" s="1">
        <v>35.169658009999999</v>
      </c>
      <c r="D3016" s="1">
        <v>2.3679025020000002</v>
      </c>
      <c r="E3016" s="1"/>
      <c r="H3016" s="2">
        <v>6.8759573300000003</v>
      </c>
      <c r="I3016" s="2">
        <v>4.3064273399999999</v>
      </c>
      <c r="J3016" s="2">
        <v>8.1690212899999999</v>
      </c>
      <c r="L3016" s="2"/>
      <c r="M3016" s="2"/>
    </row>
    <row r="3017" spans="2:13">
      <c r="B3017" s="2"/>
      <c r="C3017" s="1">
        <v>9.4973170889999992</v>
      </c>
      <c r="D3017" s="1">
        <v>6.0681624019999996</v>
      </c>
      <c r="E3017" s="1"/>
      <c r="H3017" s="2">
        <v>78.228884699999995</v>
      </c>
      <c r="I3017" s="2">
        <v>10.836028300000001</v>
      </c>
      <c r="J3017" s="2">
        <v>8.8990189399999995</v>
      </c>
      <c r="L3017" s="2"/>
      <c r="M3017" s="2"/>
    </row>
    <row r="3018" spans="2:13">
      <c r="B3018" s="2"/>
      <c r="C3018" s="1">
        <v>61.023130209999998</v>
      </c>
      <c r="D3018" s="1">
        <v>1.3191657400000001</v>
      </c>
      <c r="E3018" s="1"/>
      <c r="H3018" s="2">
        <v>5.2164485899999997</v>
      </c>
      <c r="I3018" s="2">
        <v>13.9142688</v>
      </c>
      <c r="J3018" s="2">
        <v>35.804646499999997</v>
      </c>
      <c r="L3018" s="2"/>
      <c r="M3018" s="2"/>
    </row>
    <row r="3019" spans="2:13">
      <c r="B3019" s="2"/>
      <c r="C3019" s="1">
        <v>2.7230069979999998</v>
      </c>
      <c r="D3019" s="1">
        <v>0.58702875399999999</v>
      </c>
      <c r="E3019" s="1"/>
      <c r="H3019" s="2">
        <v>11.134768299999999</v>
      </c>
      <c r="I3019" s="2">
        <v>23.615390300000001</v>
      </c>
      <c r="J3019" s="2">
        <v>40.671297500000001</v>
      </c>
      <c r="L3019" s="2"/>
      <c r="M3019" s="2"/>
    </row>
    <row r="3020" spans="2:13">
      <c r="B3020" s="2"/>
      <c r="C3020" s="1">
        <v>18.80142747</v>
      </c>
      <c r="D3020" s="1">
        <v>8.5745772999999997E-2</v>
      </c>
      <c r="E3020" s="1"/>
      <c r="H3020" s="2">
        <v>13.609161200000001</v>
      </c>
      <c r="I3020" s="2">
        <v>40.0171262</v>
      </c>
      <c r="J3020" s="2">
        <v>26.627533199999998</v>
      </c>
      <c r="L3020" s="2"/>
      <c r="M3020" s="2"/>
    </row>
    <row r="3021" spans="2:13">
      <c r="B3021" s="2"/>
      <c r="C3021" s="1">
        <v>16.730493110000001</v>
      </c>
      <c r="D3021" s="1">
        <v>0.97618264700000001</v>
      </c>
      <c r="E3021" s="1"/>
      <c r="H3021" s="2">
        <v>48.964429699999997</v>
      </c>
      <c r="I3021" s="2">
        <v>18.189602799999999</v>
      </c>
      <c r="J3021" s="2">
        <v>11.193297299999999</v>
      </c>
      <c r="L3021" s="2"/>
      <c r="M3021" s="2"/>
    </row>
    <row r="3022" spans="2:13">
      <c r="B3022" s="2"/>
      <c r="C3022" s="1">
        <v>21.584811569999999</v>
      </c>
      <c r="D3022" s="1">
        <v>2.3876899890000001</v>
      </c>
      <c r="E3022" s="1"/>
      <c r="H3022" s="2">
        <v>74.570827800000004</v>
      </c>
      <c r="I3022" s="2">
        <v>11.9087485</v>
      </c>
      <c r="J3022" s="2">
        <v>1.4599952899999999</v>
      </c>
      <c r="L3022" s="2"/>
      <c r="M3022" s="2"/>
    </row>
    <row r="3023" spans="2:13">
      <c r="B3023" s="2"/>
      <c r="C3023" s="1">
        <v>89.460742089999997</v>
      </c>
      <c r="D3023" s="1">
        <v>11.93185411</v>
      </c>
      <c r="E3023" s="1"/>
      <c r="H3023" s="2">
        <v>26.106035200000001</v>
      </c>
      <c r="I3023" s="2">
        <v>2.2231736799999999</v>
      </c>
      <c r="J3023" s="2">
        <v>11.2975826</v>
      </c>
      <c r="L3023" s="2"/>
      <c r="M3023" s="2"/>
    </row>
    <row r="3024" spans="2:13">
      <c r="B3024" s="2"/>
      <c r="C3024" s="1">
        <v>20.83009788</v>
      </c>
      <c r="D3024" s="1">
        <v>0.857457731</v>
      </c>
      <c r="E3024" s="1"/>
      <c r="H3024" s="2">
        <v>13.139264499999999</v>
      </c>
      <c r="I3024" s="2">
        <v>13.463415400000001</v>
      </c>
      <c r="J3024" s="2">
        <v>23.950875199999999</v>
      </c>
      <c r="L3024" s="2"/>
      <c r="M3024" s="2"/>
    </row>
    <row r="3025" spans="2:13">
      <c r="B3025" s="2"/>
      <c r="C3025" s="1">
        <v>16.959926070000002</v>
      </c>
      <c r="D3025" s="1">
        <v>2.519606563</v>
      </c>
      <c r="E3025" s="1"/>
      <c r="H3025" s="2">
        <v>2.2483666699999998</v>
      </c>
      <c r="I3025" s="2">
        <v>18.034136100000001</v>
      </c>
      <c r="J3025" s="2">
        <v>148.98904400000001</v>
      </c>
      <c r="L3025" s="2"/>
      <c r="M3025" s="2"/>
    </row>
    <row r="3026" spans="2:13">
      <c r="B3026" s="2"/>
      <c r="C3026" s="1">
        <v>1.980368726</v>
      </c>
      <c r="D3026" s="1">
        <v>1.226824138</v>
      </c>
      <c r="E3026" s="1"/>
      <c r="H3026" s="2">
        <v>16.1013983</v>
      </c>
      <c r="I3026" s="2">
        <v>178.569041</v>
      </c>
      <c r="J3026" s="2">
        <v>11.4713916</v>
      </c>
      <c r="L3026" s="2"/>
      <c r="M3026" s="2"/>
    </row>
    <row r="3027" spans="2:13">
      <c r="B3027" s="2"/>
      <c r="C3027" s="1">
        <v>18.710861829999999</v>
      </c>
      <c r="D3027" s="1">
        <v>3.8123889869999998</v>
      </c>
      <c r="E3027" s="1"/>
      <c r="H3027" s="2">
        <v>22.216004000000002</v>
      </c>
      <c r="I3027" s="2">
        <v>15.235735699999999</v>
      </c>
      <c r="J3027" s="2">
        <v>33.371321000000002</v>
      </c>
      <c r="L3027" s="2"/>
      <c r="M3027" s="2"/>
    </row>
    <row r="3028" spans="2:13">
      <c r="B3028" s="2"/>
      <c r="C3028" s="1">
        <v>48.108469530000001</v>
      </c>
      <c r="D3028" s="1">
        <v>0.67277452699999996</v>
      </c>
      <c r="E3028" s="1"/>
      <c r="H3028" s="2">
        <v>195.88151099999999</v>
      </c>
      <c r="I3028" s="2">
        <v>33.5808052</v>
      </c>
      <c r="J3028" s="2">
        <v>15.8861393</v>
      </c>
      <c r="L3028" s="2"/>
      <c r="M3028" s="2"/>
    </row>
    <row r="3029" spans="2:13">
      <c r="B3029" s="2"/>
      <c r="C3029" s="1">
        <v>167.46794919999999</v>
      </c>
      <c r="D3029" s="1">
        <v>1.048736763</v>
      </c>
      <c r="E3029" s="1"/>
      <c r="H3029" s="2">
        <v>14.1504347</v>
      </c>
      <c r="I3029" s="2">
        <v>15.639949100000001</v>
      </c>
      <c r="J3029" s="2">
        <v>55.2712504</v>
      </c>
      <c r="L3029" s="2"/>
      <c r="M3029" s="2"/>
    </row>
    <row r="3030" spans="2:13">
      <c r="B3030" s="2"/>
      <c r="C3030" s="1">
        <v>12.316927440000001</v>
      </c>
      <c r="D3030" s="1">
        <v>3.4496184090000002</v>
      </c>
      <c r="E3030" s="1"/>
      <c r="H3030" s="2">
        <v>42.885512400000003</v>
      </c>
      <c r="I3030" s="2">
        <v>43.997073499999999</v>
      </c>
      <c r="J3030" s="2">
        <v>21.239455400000001</v>
      </c>
      <c r="L3030" s="2"/>
      <c r="M3030" s="2"/>
    </row>
    <row r="3031" spans="2:13">
      <c r="B3031" s="2"/>
      <c r="C3031" s="1">
        <v>25.962150980000001</v>
      </c>
      <c r="D3031" s="1">
        <v>1.477465628</v>
      </c>
      <c r="E3031" s="1"/>
      <c r="H3031" s="2">
        <v>18.522258699999998</v>
      </c>
      <c r="I3031" s="2">
        <v>15.484482399999999</v>
      </c>
      <c r="J3031" s="2">
        <v>19.466603899999999</v>
      </c>
      <c r="L3031" s="2"/>
      <c r="M3031" s="2"/>
    </row>
    <row r="3032" spans="2:13">
      <c r="B3032" s="2"/>
      <c r="C3032" s="1">
        <v>18.36671239</v>
      </c>
      <c r="D3032" s="1">
        <v>3.4298309229999999</v>
      </c>
      <c r="E3032" s="1"/>
      <c r="H3032" s="2">
        <v>55.007658599999999</v>
      </c>
      <c r="I3032" s="2">
        <v>33.378698499999999</v>
      </c>
      <c r="J3032" s="2">
        <v>66.916450999999995</v>
      </c>
      <c r="L3032" s="2"/>
      <c r="M3032" s="2"/>
    </row>
    <row r="3033" spans="2:13">
      <c r="B3033" s="2"/>
      <c r="C3033" s="1">
        <v>66.004240569999993</v>
      </c>
      <c r="D3033" s="1">
        <v>1.068524249</v>
      </c>
      <c r="E3033" s="1"/>
      <c r="H3033" s="2">
        <v>23.2331222</v>
      </c>
      <c r="I3033" s="2">
        <v>53.402808299999997</v>
      </c>
      <c r="J3033" s="2">
        <v>11.4366298</v>
      </c>
      <c r="L3033" s="2"/>
      <c r="M3033" s="2"/>
    </row>
    <row r="3034" spans="2:13">
      <c r="B3034" s="2"/>
      <c r="C3034" s="1">
        <v>13.295036380000001</v>
      </c>
      <c r="D3034" s="1">
        <v>7.6907362609999996</v>
      </c>
      <c r="E3034" s="1"/>
      <c r="H3034" s="2">
        <v>25.778891900000001</v>
      </c>
      <c r="I3034" s="2">
        <v>15.406749100000001</v>
      </c>
      <c r="J3034" s="2">
        <v>57.774099499999998</v>
      </c>
      <c r="L3034" s="2"/>
      <c r="M3034" s="2"/>
    </row>
    <row r="3035" spans="2:13">
      <c r="B3035" s="2"/>
      <c r="C3035" s="1">
        <v>11.64674168</v>
      </c>
      <c r="D3035" s="1">
        <v>6.3319955500000003</v>
      </c>
      <c r="E3035" s="1"/>
      <c r="H3035" s="2">
        <v>67.445052000000004</v>
      </c>
      <c r="I3035" s="2">
        <v>58.315555699999997</v>
      </c>
      <c r="J3035" s="2">
        <v>20.022792599999999</v>
      </c>
      <c r="L3035" s="2"/>
      <c r="M3035" s="2"/>
    </row>
    <row r="3036" spans="2:13">
      <c r="B3036" s="2"/>
      <c r="C3036" s="1">
        <v>81.27360797</v>
      </c>
      <c r="D3036" s="1">
        <v>54.930061389999999</v>
      </c>
      <c r="E3036" s="1"/>
      <c r="H3036" s="2">
        <v>23.3401873</v>
      </c>
      <c r="I3036" s="2">
        <v>18.267336199999999</v>
      </c>
      <c r="J3036" s="2">
        <v>83.011161000000001</v>
      </c>
      <c r="L3036" s="2"/>
      <c r="M3036" s="2"/>
    </row>
    <row r="3037" spans="2:13">
      <c r="B3037" s="2"/>
      <c r="C3037" s="1">
        <v>22.653486149999999</v>
      </c>
      <c r="D3037" s="1">
        <v>1.536828087</v>
      </c>
      <c r="E3037" s="1"/>
      <c r="H3037" s="2">
        <v>58.558650399999998</v>
      </c>
      <c r="I3037" s="2">
        <v>65.684676899999999</v>
      </c>
      <c r="J3037" s="2">
        <v>72.130719900000003</v>
      </c>
      <c r="L3037" s="2"/>
      <c r="M3037" s="2"/>
    </row>
    <row r="3038" spans="2:13">
      <c r="B3038" s="2"/>
      <c r="C3038" s="1">
        <v>76.020800679999994</v>
      </c>
      <c r="D3038" s="1">
        <v>4.0762221350000001</v>
      </c>
      <c r="E3038" s="1"/>
      <c r="H3038" s="2">
        <v>24.999696100000001</v>
      </c>
      <c r="I3038" s="2">
        <v>106.028283</v>
      </c>
      <c r="J3038" s="2">
        <v>4.5885566400000002</v>
      </c>
      <c r="L3038" s="2"/>
      <c r="M3038" s="2"/>
    </row>
    <row r="3039" spans="2:13">
      <c r="B3039" s="2"/>
      <c r="C3039" s="1">
        <v>11.930514029999999</v>
      </c>
      <c r="D3039" s="1">
        <v>0.224258176</v>
      </c>
      <c r="E3039" s="1"/>
      <c r="H3039" s="2">
        <v>113.91724499999999</v>
      </c>
      <c r="I3039" s="2">
        <v>5.9077342499999999</v>
      </c>
      <c r="J3039" s="2">
        <v>22.282309099999999</v>
      </c>
      <c r="L3039" s="2"/>
      <c r="M3039" s="2"/>
    </row>
    <row r="3040" spans="2:13">
      <c r="B3040" s="2"/>
      <c r="C3040" s="1">
        <v>129.30962500000001</v>
      </c>
      <c r="D3040" s="1">
        <v>115.84913520000001</v>
      </c>
      <c r="E3040" s="1"/>
      <c r="H3040" s="2">
        <v>80.2631212</v>
      </c>
      <c r="I3040" s="2">
        <v>52.485554800000003</v>
      </c>
      <c r="J3040" s="2">
        <v>64.205031199999993</v>
      </c>
      <c r="L3040" s="2"/>
      <c r="M3040" s="2"/>
    </row>
    <row r="3041" spans="2:13">
      <c r="B3041" s="2"/>
      <c r="C3041" s="1">
        <v>60.727282440000003</v>
      </c>
      <c r="D3041" s="1">
        <v>3.1396144600000002</v>
      </c>
      <c r="E3041" s="1"/>
      <c r="H3041" s="2">
        <v>5.0855912700000001</v>
      </c>
      <c r="I3041" s="2">
        <v>43.048726700000003</v>
      </c>
      <c r="J3041" s="2">
        <v>3.8237972</v>
      </c>
      <c r="L3041" s="2"/>
      <c r="M3041" s="2"/>
    </row>
    <row r="3042" spans="2:13">
      <c r="B3042" s="2"/>
      <c r="C3042" s="1">
        <v>6.387896682</v>
      </c>
      <c r="D3042" s="1">
        <v>0.50128298100000002</v>
      </c>
      <c r="E3042" s="1"/>
      <c r="H3042" s="2">
        <v>33.285343599999997</v>
      </c>
      <c r="I3042" s="2">
        <v>3.56018722</v>
      </c>
      <c r="J3042" s="2">
        <v>3.96284437</v>
      </c>
      <c r="L3042" s="2"/>
      <c r="M3042" s="2"/>
    </row>
    <row r="3043" spans="2:13">
      <c r="B3043" s="2"/>
      <c r="C3043" s="1">
        <v>48.724315900000001</v>
      </c>
      <c r="D3043" s="1">
        <v>1.3785281979999999</v>
      </c>
      <c r="E3043" s="1"/>
      <c r="H3043" s="2">
        <v>78.722573699999998</v>
      </c>
      <c r="I3043" s="2">
        <v>3.65346723</v>
      </c>
      <c r="J3043" s="2">
        <v>38.446542800000003</v>
      </c>
      <c r="L3043" s="2"/>
      <c r="M3043" s="2"/>
    </row>
    <row r="3044" spans="2:13">
      <c r="B3044" s="2"/>
      <c r="C3044" s="1">
        <v>45.669234879999998</v>
      </c>
      <c r="D3044" s="1">
        <v>1.332357397</v>
      </c>
      <c r="E3044" s="1"/>
      <c r="H3044" s="2">
        <v>3.24764074</v>
      </c>
      <c r="I3044" s="2">
        <v>45.474007100000001</v>
      </c>
      <c r="J3044" s="2">
        <v>10.6718704</v>
      </c>
      <c r="L3044" s="2"/>
      <c r="M3044" s="2"/>
    </row>
    <row r="3045" spans="2:13">
      <c r="B3045" s="2"/>
      <c r="C3045" s="1">
        <v>4.3169623130000003</v>
      </c>
      <c r="D3045" s="1">
        <v>3.4957892099999999</v>
      </c>
      <c r="E3045" s="1"/>
      <c r="H3045" s="2">
        <v>6.7153597100000004</v>
      </c>
      <c r="I3045" s="2">
        <v>14.7071489</v>
      </c>
      <c r="J3045" s="2">
        <v>17.485181699999998</v>
      </c>
      <c r="L3045" s="2"/>
      <c r="M3045" s="2"/>
    </row>
    <row r="3046" spans="2:13">
      <c r="B3046" s="2"/>
      <c r="C3046" s="1">
        <v>7.2271383059999996</v>
      </c>
      <c r="D3046" s="1">
        <v>7.6577571180000001</v>
      </c>
      <c r="E3046" s="1"/>
      <c r="H3046" s="2">
        <v>44.800787700000001</v>
      </c>
      <c r="I3046" s="2">
        <v>57.102915500000002</v>
      </c>
      <c r="J3046" s="2">
        <v>27.427054500000001</v>
      </c>
      <c r="L3046" s="2"/>
      <c r="M3046" s="2"/>
    </row>
    <row r="3047" spans="2:13">
      <c r="B3047" s="2"/>
      <c r="C3047" s="1">
        <v>45.276783760000001</v>
      </c>
      <c r="D3047" s="1">
        <v>0.21106651800000001</v>
      </c>
      <c r="E3047" s="1"/>
      <c r="H3047" s="2">
        <v>10.194974800000001</v>
      </c>
      <c r="I3047" s="2">
        <v>16.3861892</v>
      </c>
      <c r="J3047" s="2">
        <v>56.348866000000001</v>
      </c>
      <c r="L3047" s="2"/>
      <c r="M3047" s="2"/>
    </row>
    <row r="3048" spans="2:13">
      <c r="B3048" s="2"/>
      <c r="C3048" s="1">
        <v>8.0361913830000002</v>
      </c>
      <c r="D3048" s="1">
        <v>0.35617474999999998</v>
      </c>
      <c r="E3048" s="1"/>
      <c r="H3048" s="2">
        <v>26.338009499999998</v>
      </c>
      <c r="I3048" s="2">
        <v>39.597366100000002</v>
      </c>
      <c r="J3048" s="2">
        <v>111.237737</v>
      </c>
      <c r="L3048" s="2"/>
      <c r="M3048" s="2"/>
    </row>
    <row r="3049" spans="2:13">
      <c r="B3049" s="2"/>
      <c r="C3049" s="1">
        <v>30.57496106</v>
      </c>
      <c r="D3049" s="1">
        <v>0.50787881000000001</v>
      </c>
      <c r="E3049" s="1"/>
      <c r="H3049" s="2">
        <v>28.842142800000001</v>
      </c>
      <c r="I3049" s="2">
        <v>84.371773099999999</v>
      </c>
      <c r="J3049" s="2">
        <v>11.9580567</v>
      </c>
      <c r="L3049" s="2"/>
      <c r="M3049" s="2"/>
    </row>
    <row r="3050" spans="2:13">
      <c r="B3050" s="2"/>
      <c r="C3050" s="1">
        <v>19.65878223</v>
      </c>
      <c r="D3050" s="1">
        <v>0.80469110099999996</v>
      </c>
      <c r="E3050" s="1"/>
      <c r="H3050" s="2">
        <v>57.339298100000001</v>
      </c>
      <c r="I3050" s="2">
        <v>11.4578951</v>
      </c>
      <c r="J3050" s="2">
        <v>9.2813986600000007</v>
      </c>
      <c r="L3050" s="2"/>
      <c r="M3050" s="2"/>
    </row>
    <row r="3051" spans="2:13">
      <c r="B3051" s="2"/>
      <c r="C3051" s="1">
        <v>70.085732210000003</v>
      </c>
      <c r="D3051" s="1">
        <v>9.2341601999999995E-2</v>
      </c>
      <c r="E3051" s="1"/>
      <c r="H3051" s="2">
        <v>124.27876500000001</v>
      </c>
      <c r="I3051" s="2">
        <v>12.9970154</v>
      </c>
      <c r="J3051" s="2">
        <v>9.4204458300000002</v>
      </c>
      <c r="L3051" s="2"/>
      <c r="M3051" s="2"/>
    </row>
    <row r="3052" spans="2:13">
      <c r="B3052" s="2"/>
      <c r="C3052" s="1">
        <v>106.74670450000001</v>
      </c>
      <c r="D3052" s="1">
        <v>0.112129088</v>
      </c>
      <c r="E3052" s="1"/>
      <c r="H3052" s="2">
        <v>11.670093700000001</v>
      </c>
      <c r="I3052" s="2">
        <v>13.1835754</v>
      </c>
      <c r="J3052" s="2">
        <v>9.9766345100000002</v>
      </c>
      <c r="L3052" s="2"/>
      <c r="M3052" s="2"/>
    </row>
    <row r="3053" spans="2:13">
      <c r="B3053" s="2"/>
      <c r="C3053" s="1">
        <v>3.4716829790000001</v>
      </c>
      <c r="D3053" s="1">
        <v>4.7489966619999997</v>
      </c>
      <c r="E3053" s="1"/>
      <c r="H3053" s="2">
        <v>11.5570805</v>
      </c>
      <c r="I3053" s="2">
        <v>14.847068999999999</v>
      </c>
      <c r="J3053" s="2">
        <v>3.7890354099999999</v>
      </c>
      <c r="L3053" s="2"/>
      <c r="M3053" s="2"/>
    </row>
    <row r="3054" spans="2:13">
      <c r="B3054" s="2"/>
      <c r="C3054" s="1">
        <v>9.3524120610000008</v>
      </c>
      <c r="D3054" s="1">
        <v>381.1795363</v>
      </c>
      <c r="E3054" s="1"/>
      <c r="H3054" s="2">
        <v>11.6581975</v>
      </c>
      <c r="I3054" s="2">
        <v>4.13541398</v>
      </c>
      <c r="J3054" s="2">
        <v>2.8504670000000001</v>
      </c>
      <c r="L3054" s="2"/>
      <c r="M3054" s="2"/>
    </row>
    <row r="3055" spans="2:13">
      <c r="B3055" s="2"/>
      <c r="C3055" s="1">
        <v>14.11012717</v>
      </c>
      <c r="D3055" s="1">
        <v>1.4972531140000001</v>
      </c>
      <c r="E3055" s="1"/>
      <c r="H3055" s="2">
        <v>9.8678314900000004</v>
      </c>
      <c r="I3055" s="2">
        <v>2.160987</v>
      </c>
      <c r="J3055" s="2">
        <v>90.345899299999999</v>
      </c>
      <c r="L3055" s="2"/>
      <c r="M3055" s="2"/>
    </row>
    <row r="3056" spans="2:13">
      <c r="B3056" s="2"/>
      <c r="C3056" s="1">
        <v>20.510099270000001</v>
      </c>
      <c r="D3056" s="1">
        <v>7.2554116000000002E-2</v>
      </c>
      <c r="E3056" s="1"/>
      <c r="H3056" s="2">
        <v>4.1814861600000004</v>
      </c>
      <c r="I3056" s="2">
        <v>84.931453200000007</v>
      </c>
      <c r="J3056" s="2">
        <v>16.3032808</v>
      </c>
      <c r="L3056" s="2"/>
      <c r="M3056" s="2"/>
    </row>
    <row r="3057" spans="2:13">
      <c r="B3057" s="2"/>
      <c r="C3057" s="1">
        <v>5.7177109240000004</v>
      </c>
      <c r="D3057" s="1">
        <v>1.840236207</v>
      </c>
      <c r="E3057" s="1"/>
      <c r="H3057" s="2">
        <v>4.1695900400000001</v>
      </c>
      <c r="I3057" s="2">
        <v>15.158002400000001</v>
      </c>
      <c r="J3057" s="2">
        <v>37.403689</v>
      </c>
      <c r="L3057" s="2"/>
      <c r="M3057" s="2"/>
    </row>
    <row r="3058" spans="2:13">
      <c r="B3058" s="2"/>
      <c r="C3058" s="1">
        <v>6.0860112050000001</v>
      </c>
      <c r="D3058" s="1">
        <v>1.154270022</v>
      </c>
      <c r="E3058" s="1"/>
      <c r="H3058" s="2">
        <v>79.353068100000002</v>
      </c>
      <c r="I3058" s="2">
        <v>46.935394000000002</v>
      </c>
      <c r="J3058" s="2">
        <v>1.98142219</v>
      </c>
      <c r="L3058" s="2"/>
      <c r="M3058" s="2"/>
    </row>
    <row r="3059" spans="2:13">
      <c r="B3059" s="2"/>
      <c r="C3059" s="1">
        <v>73.714395640000006</v>
      </c>
      <c r="D3059" s="1">
        <v>0.40234555100000002</v>
      </c>
      <c r="E3059" s="1"/>
      <c r="H3059" s="2">
        <v>14.935578599999999</v>
      </c>
      <c r="I3059" s="2">
        <v>4.6173607199999998</v>
      </c>
      <c r="J3059" s="2">
        <v>43.7303353</v>
      </c>
      <c r="L3059" s="2"/>
      <c r="M3059" s="2"/>
    </row>
    <row r="3060" spans="2:13">
      <c r="B3060" s="2"/>
      <c r="C3060" s="1">
        <v>23.661783639999999</v>
      </c>
      <c r="D3060" s="1">
        <v>260.49565860000001</v>
      </c>
      <c r="E3060" s="1"/>
      <c r="H3060" s="2">
        <v>37.1753748</v>
      </c>
      <c r="I3060" s="2">
        <v>38.322539300000003</v>
      </c>
      <c r="J3060" s="2">
        <v>26.627533199999998</v>
      </c>
      <c r="L3060" s="2"/>
      <c r="M3060" s="2"/>
    </row>
    <row r="3061" spans="2:13">
      <c r="B3061" s="2"/>
      <c r="C3061" s="1">
        <v>20.449722179999998</v>
      </c>
      <c r="D3061" s="1">
        <v>0.71894532799999999</v>
      </c>
      <c r="E3061" s="1"/>
      <c r="H3061" s="2">
        <v>2.9502377499999999</v>
      </c>
      <c r="I3061" s="2">
        <v>40.934379700000001</v>
      </c>
      <c r="J3061" s="2">
        <v>7.5433090199999997</v>
      </c>
      <c r="L3061" s="2"/>
      <c r="M3061" s="2"/>
    </row>
    <row r="3062" spans="2:13">
      <c r="B3062" s="2"/>
      <c r="C3062" s="1">
        <v>2.849798898</v>
      </c>
      <c r="D3062" s="1">
        <v>1.6753404890000001</v>
      </c>
      <c r="E3062" s="1"/>
      <c r="H3062" s="2">
        <v>56.952674199999997</v>
      </c>
      <c r="I3062" s="2">
        <v>4.22869399</v>
      </c>
      <c r="J3062" s="2">
        <v>28.018004900000001</v>
      </c>
      <c r="L3062" s="2"/>
      <c r="M3062" s="2"/>
    </row>
    <row r="3063" spans="2:13">
      <c r="B3063" s="2"/>
      <c r="C3063" s="1">
        <v>31.673824190000001</v>
      </c>
      <c r="D3063" s="1">
        <v>582.87997780000001</v>
      </c>
      <c r="E3063" s="1"/>
      <c r="H3063" s="2">
        <v>35.045969300000003</v>
      </c>
      <c r="I3063" s="2">
        <v>24.625923799999999</v>
      </c>
      <c r="J3063" s="2">
        <v>8.3080684599999994</v>
      </c>
      <c r="L3063" s="2"/>
      <c r="M3063" s="2"/>
    </row>
    <row r="3064" spans="2:13">
      <c r="B3064" s="2"/>
      <c r="C3064" s="1">
        <v>13.06560342</v>
      </c>
      <c r="D3064" s="1">
        <v>0.67937035599999995</v>
      </c>
      <c r="E3064" s="1"/>
      <c r="H3064" s="2">
        <v>6.8402689700000003</v>
      </c>
      <c r="I3064" s="2">
        <v>8.2863746200000001</v>
      </c>
      <c r="J3064" s="2">
        <v>22.6299271</v>
      </c>
      <c r="L3064" s="2"/>
      <c r="M3064" s="2"/>
    </row>
    <row r="3065" spans="2:13">
      <c r="B3065" s="2"/>
      <c r="C3065" s="1">
        <v>8.7486411079999993</v>
      </c>
      <c r="D3065" s="1">
        <v>0.38915389299999997</v>
      </c>
      <c r="E3065" s="1"/>
      <c r="H3065" s="2">
        <v>39.7092484</v>
      </c>
      <c r="I3065" s="2">
        <v>23.972963700000001</v>
      </c>
      <c r="J3065" s="2">
        <v>73.277859100000001</v>
      </c>
      <c r="L3065" s="2"/>
      <c r="M3065" s="2"/>
    </row>
    <row r="3066" spans="2:13">
      <c r="B3066" s="2"/>
      <c r="C3066" s="1">
        <v>39.329639870000001</v>
      </c>
      <c r="D3066" s="1">
        <v>0.55404961100000005</v>
      </c>
      <c r="E3066" s="1"/>
      <c r="H3066" s="2">
        <v>13.6151093</v>
      </c>
      <c r="I3066" s="2">
        <v>35.928352199999999</v>
      </c>
      <c r="J3066" s="2">
        <v>15.051856300000001</v>
      </c>
      <c r="L3066" s="2"/>
      <c r="M3066" s="2"/>
    </row>
    <row r="3067" spans="2:13">
      <c r="B3067" s="2"/>
      <c r="C3067" s="1">
        <v>10.74712296</v>
      </c>
      <c r="D3067" s="1">
        <v>0.63319955500000003</v>
      </c>
      <c r="E3067" s="1"/>
      <c r="H3067" s="2">
        <v>27.057724799999999</v>
      </c>
      <c r="I3067" s="2">
        <v>14.7693356</v>
      </c>
      <c r="J3067" s="2">
        <v>7.6128326099999999</v>
      </c>
      <c r="L3067" s="2"/>
      <c r="M3067" s="2"/>
    </row>
    <row r="3068" spans="2:13">
      <c r="B3068" s="2"/>
      <c r="C3068" s="1">
        <v>15.233141140000001</v>
      </c>
      <c r="D3068" s="1">
        <v>4.3070761400000004</v>
      </c>
      <c r="E3068" s="1"/>
      <c r="H3068" s="2">
        <v>79.293587500000001</v>
      </c>
      <c r="I3068" s="2">
        <v>6.0787476099999997</v>
      </c>
      <c r="J3068" s="2">
        <v>7.8909269499999999</v>
      </c>
      <c r="L3068" s="2"/>
      <c r="M3068" s="2"/>
    </row>
    <row r="3069" spans="2:13">
      <c r="B3069" s="2"/>
      <c r="C3069" s="1">
        <v>124.4070048</v>
      </c>
      <c r="D3069" s="1">
        <v>2.6383315000000001E-2</v>
      </c>
      <c r="E3069" s="1"/>
      <c r="H3069" s="2">
        <v>17.635997799999998</v>
      </c>
      <c r="I3069" s="2">
        <v>10.649468300000001</v>
      </c>
      <c r="J3069" s="2">
        <v>10.0809199</v>
      </c>
      <c r="L3069" s="2"/>
      <c r="M3069" s="2"/>
    </row>
    <row r="3070" spans="2:13">
      <c r="B3070" s="2"/>
      <c r="C3070" s="1">
        <v>31.553070000000002</v>
      </c>
      <c r="D3070" s="1">
        <v>0.83107441599999998</v>
      </c>
      <c r="E3070" s="1"/>
      <c r="H3070" s="2">
        <v>9.5168959500000003</v>
      </c>
      <c r="I3070" s="2">
        <v>6.6539743700000002</v>
      </c>
      <c r="J3070" s="2">
        <v>74.077380300000002</v>
      </c>
      <c r="L3070" s="2"/>
      <c r="M3070" s="2"/>
    </row>
    <row r="3071" spans="2:13">
      <c r="B3071" s="2"/>
      <c r="C3071" s="1">
        <v>11.85806152</v>
      </c>
      <c r="D3071" s="1">
        <v>5.5470919350000001</v>
      </c>
      <c r="E3071" s="1"/>
      <c r="H3071" s="2">
        <v>10.2425593</v>
      </c>
      <c r="I3071" s="2">
        <v>58.921875800000002</v>
      </c>
      <c r="J3071" s="2">
        <v>0.72999765000000005</v>
      </c>
      <c r="L3071" s="2"/>
      <c r="M3071" s="2"/>
    </row>
    <row r="3072" spans="2:13">
      <c r="B3072" s="2"/>
      <c r="C3072" s="1">
        <v>14.019561530000001</v>
      </c>
      <c r="D3072" s="1">
        <v>1.827044549</v>
      </c>
      <c r="E3072" s="1"/>
      <c r="H3072" s="2">
        <v>11.2537295</v>
      </c>
      <c r="I3072" s="2">
        <v>1.1038135</v>
      </c>
      <c r="J3072" s="2">
        <v>21.5175497</v>
      </c>
      <c r="L3072" s="2"/>
      <c r="M3072" s="2"/>
    </row>
    <row r="3073" spans="2:13">
      <c r="B3073" s="2"/>
      <c r="C3073" s="1">
        <v>9.5516564749999997</v>
      </c>
      <c r="D3073" s="1">
        <v>0.31659977700000003</v>
      </c>
      <c r="E3073" s="1"/>
      <c r="H3073" s="2">
        <v>77.027376599999997</v>
      </c>
      <c r="I3073" s="2">
        <v>16.1529892</v>
      </c>
      <c r="J3073" s="2">
        <v>77.831653900000006</v>
      </c>
      <c r="L3073" s="2"/>
      <c r="M3073" s="2"/>
    </row>
    <row r="3074" spans="2:13">
      <c r="B3074" s="2"/>
      <c r="C3074" s="1">
        <v>84.703026989999998</v>
      </c>
      <c r="D3074" s="1">
        <v>0.27702480499999999</v>
      </c>
      <c r="E3074" s="1"/>
      <c r="H3074" s="2">
        <v>1.2966770700000001</v>
      </c>
      <c r="I3074" s="2">
        <v>60.569822700000003</v>
      </c>
      <c r="J3074" s="2">
        <v>36.082740899999997</v>
      </c>
      <c r="L3074" s="2"/>
      <c r="M3074" s="2"/>
    </row>
    <row r="3075" spans="2:13">
      <c r="B3075" s="2"/>
      <c r="C3075" s="1">
        <v>1.116976263</v>
      </c>
      <c r="D3075" s="1">
        <v>0.244045662</v>
      </c>
      <c r="E3075" s="1"/>
      <c r="H3075" s="2">
        <v>27.265906900000001</v>
      </c>
      <c r="I3075" s="2">
        <v>37.451925799999998</v>
      </c>
      <c r="J3075" s="2">
        <v>5.5271250399999996</v>
      </c>
      <c r="L3075" s="2"/>
      <c r="M3075" s="2"/>
    </row>
    <row r="3076" spans="2:13">
      <c r="B3076" s="2"/>
      <c r="C3076" s="1">
        <v>9.6844860849999996</v>
      </c>
      <c r="D3076" s="1">
        <v>4.9534673519999997</v>
      </c>
      <c r="E3076" s="1"/>
      <c r="H3076" s="2">
        <v>77.622182600000002</v>
      </c>
      <c r="I3076" s="2">
        <v>5.8610942399999999</v>
      </c>
      <c r="J3076" s="2">
        <v>5.5271250399999996</v>
      </c>
      <c r="L3076" s="2"/>
      <c r="M3076" s="2"/>
    </row>
    <row r="3077" spans="2:13">
      <c r="B3077" s="2"/>
      <c r="C3077" s="1">
        <v>106.42066819999999</v>
      </c>
      <c r="D3077" s="1">
        <v>3.9838805329999998</v>
      </c>
      <c r="E3077" s="1"/>
      <c r="H3077" s="2">
        <v>45.306372799999998</v>
      </c>
      <c r="I3077" s="2">
        <v>5.70562755</v>
      </c>
      <c r="J3077" s="2">
        <v>10.984726500000001</v>
      </c>
      <c r="L3077" s="2"/>
      <c r="M3077" s="2"/>
    </row>
    <row r="3078" spans="2:13">
      <c r="B3078" s="2"/>
      <c r="C3078" s="1">
        <v>45.97112036</v>
      </c>
      <c r="D3078" s="1">
        <v>6.2330581189999998</v>
      </c>
      <c r="E3078" s="1"/>
      <c r="H3078" s="2">
        <v>5.3116175500000002</v>
      </c>
      <c r="I3078" s="2">
        <v>12.965922000000001</v>
      </c>
      <c r="J3078" s="2">
        <v>60.276948599999997</v>
      </c>
      <c r="L3078" s="2"/>
      <c r="M3078" s="2"/>
    </row>
    <row r="3079" spans="2:13">
      <c r="B3079" s="2"/>
      <c r="C3079" s="1">
        <v>5.325259805</v>
      </c>
      <c r="D3079" s="1">
        <v>0.79809527199999997</v>
      </c>
      <c r="E3079" s="1"/>
      <c r="H3079" s="2">
        <v>7.7562702000000003</v>
      </c>
      <c r="I3079" s="2">
        <v>105.57743000000001</v>
      </c>
      <c r="J3079" s="2">
        <v>63.057892000000002</v>
      </c>
      <c r="L3079" s="2"/>
      <c r="M3079" s="2"/>
    </row>
    <row r="3080" spans="2:13">
      <c r="B3080" s="2"/>
      <c r="C3080" s="1">
        <v>4.3894148279999996</v>
      </c>
      <c r="D3080" s="1">
        <v>183.1859504</v>
      </c>
      <c r="E3080" s="1"/>
      <c r="H3080" s="2">
        <v>15.958644899999999</v>
      </c>
      <c r="I3080" s="2">
        <v>36.441392299999997</v>
      </c>
      <c r="J3080" s="2">
        <v>86.522102099999998</v>
      </c>
      <c r="L3080" s="2"/>
      <c r="M3080" s="2"/>
    </row>
    <row r="3081" spans="2:13">
      <c r="B3081" s="2"/>
      <c r="C3081" s="1">
        <v>6.3939343910000002</v>
      </c>
      <c r="D3081" s="1">
        <v>5.0392131249999998</v>
      </c>
      <c r="E3081" s="1"/>
      <c r="H3081" s="2">
        <v>59.367586600000003</v>
      </c>
      <c r="I3081" s="2">
        <v>63.3371298</v>
      </c>
      <c r="J3081" s="2">
        <v>9.5247312100000006</v>
      </c>
      <c r="L3081" s="2"/>
      <c r="M3081" s="2"/>
    </row>
    <row r="3082" spans="2:13">
      <c r="B3082" s="2"/>
      <c r="C3082" s="1">
        <v>86.508302130000004</v>
      </c>
      <c r="D3082" s="1">
        <v>11.53610439</v>
      </c>
      <c r="E3082" s="1"/>
      <c r="H3082" s="2">
        <v>75.623634499999994</v>
      </c>
      <c r="I3082" s="2">
        <v>13.230215400000001</v>
      </c>
      <c r="J3082" s="2">
        <v>4.6928420199999996</v>
      </c>
      <c r="L3082" s="2"/>
      <c r="M3082" s="2"/>
    </row>
    <row r="3083" spans="2:13">
      <c r="B3083" s="2"/>
      <c r="C3083" s="1">
        <v>20.099535020000001</v>
      </c>
      <c r="D3083" s="1">
        <v>0.50128298100000002</v>
      </c>
      <c r="E3083" s="1"/>
      <c r="H3083" s="2">
        <v>73.256306600000002</v>
      </c>
      <c r="I3083" s="2">
        <v>9.5301081500000002</v>
      </c>
      <c r="J3083" s="2">
        <v>62.640750500000003</v>
      </c>
      <c r="L3083" s="2"/>
      <c r="M3083" s="2"/>
    </row>
    <row r="3084" spans="2:13">
      <c r="B3084" s="2"/>
      <c r="C3084" s="1">
        <v>36.576444330000001</v>
      </c>
      <c r="D3084" s="1">
        <v>2.7900355389999998</v>
      </c>
      <c r="E3084" s="1"/>
      <c r="H3084" s="2">
        <v>14.025525399999999</v>
      </c>
      <c r="I3084" s="2">
        <v>43.577313400000001</v>
      </c>
      <c r="J3084" s="2">
        <v>132.58147700000001</v>
      </c>
      <c r="L3084" s="2"/>
      <c r="M3084" s="2"/>
    </row>
    <row r="3085" spans="2:13">
      <c r="B3085" s="2"/>
      <c r="C3085" s="1">
        <v>25.726680300000002</v>
      </c>
      <c r="D3085" s="1">
        <v>0.71894532799999999</v>
      </c>
      <c r="E3085" s="1"/>
      <c r="H3085" s="2">
        <v>7.9763484199999999</v>
      </c>
      <c r="I3085" s="2">
        <v>126.409966</v>
      </c>
      <c r="J3085" s="2">
        <v>14.252335</v>
      </c>
      <c r="L3085" s="2"/>
      <c r="M3085" s="2"/>
    </row>
    <row r="3086" spans="2:13">
      <c r="B3086" s="2"/>
      <c r="C3086" s="1">
        <v>5.2105433239999996</v>
      </c>
      <c r="D3086" s="1">
        <v>0.474899666</v>
      </c>
      <c r="E3086" s="1"/>
      <c r="H3086" s="2">
        <v>78.437066799999997</v>
      </c>
      <c r="I3086" s="2">
        <v>11.4268018</v>
      </c>
      <c r="J3086" s="2">
        <v>25.758488400000001</v>
      </c>
      <c r="L3086" s="2"/>
      <c r="M3086" s="2"/>
    </row>
    <row r="3087" spans="2:13">
      <c r="B3087" s="2"/>
      <c r="C3087" s="1">
        <v>41.032273959999998</v>
      </c>
      <c r="D3087" s="1">
        <v>4.5643134590000001</v>
      </c>
      <c r="E3087" s="1"/>
      <c r="H3087" s="2">
        <v>124.284713</v>
      </c>
      <c r="I3087" s="2">
        <v>33.782911900000002</v>
      </c>
      <c r="J3087" s="2">
        <v>13.6613845</v>
      </c>
      <c r="L3087" s="2"/>
      <c r="M3087" s="2"/>
    </row>
    <row r="3088" spans="2:13">
      <c r="B3088" s="2"/>
      <c r="C3088" s="1">
        <v>171.1147258</v>
      </c>
      <c r="D3088" s="1">
        <v>0.38915389299999997</v>
      </c>
      <c r="E3088" s="1"/>
      <c r="H3088" s="2">
        <v>15.238929600000001</v>
      </c>
      <c r="I3088" s="2">
        <v>12.888188700000001</v>
      </c>
      <c r="J3088" s="2">
        <v>9.9766345100000002</v>
      </c>
      <c r="L3088" s="2"/>
      <c r="M3088" s="2"/>
    </row>
    <row r="3089" spans="2:13">
      <c r="B3089" s="2"/>
      <c r="C3089" s="1">
        <v>11.3388185</v>
      </c>
      <c r="D3089" s="1">
        <v>3.1528061169999999</v>
      </c>
      <c r="E3089" s="1"/>
      <c r="H3089" s="2">
        <v>33.701707800000001</v>
      </c>
      <c r="I3089" s="2">
        <v>11.986481899999999</v>
      </c>
      <c r="J3089" s="2">
        <v>27.0794365</v>
      </c>
      <c r="L3089" s="2"/>
      <c r="M3089" s="2"/>
    </row>
    <row r="3090" spans="2:13">
      <c r="B3090" s="2"/>
      <c r="C3090" s="1">
        <v>55.939378789999999</v>
      </c>
      <c r="D3090" s="1">
        <v>0.55404961100000005</v>
      </c>
      <c r="E3090" s="1"/>
      <c r="H3090" s="2">
        <v>18.647168000000001</v>
      </c>
      <c r="I3090" s="2">
        <v>29.4920312</v>
      </c>
      <c r="J3090" s="2">
        <v>8.4471156300000008</v>
      </c>
      <c r="L3090" s="2"/>
      <c r="M3090" s="2"/>
    </row>
    <row r="3091" spans="2:13">
      <c r="B3091" s="2"/>
      <c r="C3091" s="1">
        <v>20.05123335</v>
      </c>
      <c r="D3091" s="1">
        <v>0.25723731900000002</v>
      </c>
      <c r="E3091" s="1"/>
      <c r="H3091" s="2">
        <v>13.537784500000001</v>
      </c>
      <c r="I3091" s="2">
        <v>5.1614941300000003</v>
      </c>
      <c r="J3091" s="2">
        <v>6.2571226900000001</v>
      </c>
      <c r="L3091" s="2"/>
      <c r="M3091" s="2"/>
    </row>
    <row r="3092" spans="2:13">
      <c r="B3092" s="2"/>
      <c r="C3092" s="1">
        <v>8.3924162459999998</v>
      </c>
      <c r="D3092" s="1">
        <v>4.3994177409999997</v>
      </c>
      <c r="E3092" s="1"/>
      <c r="H3092" s="2">
        <v>26.361801799999999</v>
      </c>
      <c r="I3092" s="2">
        <v>5.62789421</v>
      </c>
      <c r="J3092" s="2">
        <v>23.533733699999999</v>
      </c>
      <c r="L3092" s="2"/>
      <c r="M3092" s="2"/>
    </row>
    <row r="3093" spans="2:13">
      <c r="B3093" s="2"/>
      <c r="C3093" s="1">
        <v>20.226326920000002</v>
      </c>
      <c r="D3093" s="1">
        <v>0.31659977700000003</v>
      </c>
      <c r="E3093" s="1"/>
      <c r="H3093" s="2">
        <v>11.985340799999999</v>
      </c>
      <c r="I3093" s="2">
        <v>17.163522700000001</v>
      </c>
      <c r="J3093" s="2">
        <v>6.50045524</v>
      </c>
      <c r="L3093" s="2"/>
      <c r="M3093" s="2"/>
    </row>
    <row r="3094" spans="2:13">
      <c r="B3094" s="2"/>
      <c r="C3094" s="1">
        <v>6.3999721010000004</v>
      </c>
      <c r="D3094" s="1">
        <v>1.371932369</v>
      </c>
      <c r="E3094" s="1"/>
      <c r="H3094" s="2">
        <v>6.93543793</v>
      </c>
      <c r="I3094" s="2">
        <v>5.59680087</v>
      </c>
      <c r="J3094" s="2">
        <v>81.620689299999995</v>
      </c>
      <c r="L3094" s="2"/>
      <c r="M3094" s="2"/>
    </row>
    <row r="3095" spans="2:13">
      <c r="B3095" s="2"/>
      <c r="C3095" s="1">
        <v>12.33504057</v>
      </c>
      <c r="D3095" s="1">
        <v>0.105533259</v>
      </c>
      <c r="E3095" s="1"/>
      <c r="H3095" s="2">
        <v>23.6137981</v>
      </c>
      <c r="I3095" s="2">
        <v>120.953085</v>
      </c>
      <c r="J3095" s="2">
        <v>3.9976061600000001</v>
      </c>
      <c r="L3095" s="2"/>
      <c r="M3095" s="2"/>
    </row>
    <row r="3096" spans="2:13">
      <c r="B3096" s="2"/>
      <c r="C3096" s="1">
        <v>25.81724595</v>
      </c>
      <c r="D3096" s="1">
        <v>12.06377069</v>
      </c>
      <c r="E3096" s="1"/>
      <c r="H3096" s="2">
        <v>7.3696463000000003</v>
      </c>
      <c r="I3096" s="2">
        <v>8.6594946799999999</v>
      </c>
      <c r="J3096" s="2">
        <v>36.117502600000002</v>
      </c>
      <c r="L3096" s="2"/>
      <c r="M3096" s="2"/>
    </row>
    <row r="3097" spans="2:13">
      <c r="B3097" s="2"/>
      <c r="C3097" s="1">
        <v>4.74563969</v>
      </c>
      <c r="D3097" s="1">
        <v>103.6468522</v>
      </c>
      <c r="E3097" s="1"/>
      <c r="H3097" s="2">
        <v>95.5020509</v>
      </c>
      <c r="I3097" s="2">
        <v>29.569764599999999</v>
      </c>
      <c r="J3097" s="2">
        <v>4.3452240900000003</v>
      </c>
      <c r="L3097" s="2"/>
      <c r="M3097" s="2"/>
    </row>
    <row r="3098" spans="2:13">
      <c r="B3098" s="2"/>
      <c r="C3098" s="1">
        <v>110.2968777</v>
      </c>
      <c r="D3098" s="1">
        <v>0.63319955500000003</v>
      </c>
      <c r="E3098" s="1"/>
      <c r="H3098" s="2">
        <v>8.1369460399999998</v>
      </c>
      <c r="I3098" s="2">
        <v>6.6384277000000003</v>
      </c>
      <c r="J3098" s="2">
        <v>36.917023899999997</v>
      </c>
      <c r="L3098" s="2"/>
      <c r="M3098" s="2"/>
    </row>
    <row r="3099" spans="2:13">
      <c r="B3099" s="2"/>
      <c r="C3099" s="1">
        <v>12.31088973</v>
      </c>
      <c r="D3099" s="1">
        <v>444.57864169999999</v>
      </c>
      <c r="E3099" s="1"/>
      <c r="H3099" s="2">
        <v>47.251388400000003</v>
      </c>
      <c r="I3099" s="2">
        <v>45.987047099999998</v>
      </c>
      <c r="J3099" s="2">
        <v>12.688054299999999</v>
      </c>
      <c r="L3099" s="2"/>
      <c r="M3099" s="2"/>
    </row>
    <row r="3100" spans="2:13">
      <c r="B3100" s="2"/>
      <c r="C3100" s="1">
        <v>18.354636970000001</v>
      </c>
      <c r="D3100" s="1">
        <v>0.230854004</v>
      </c>
      <c r="E3100" s="1"/>
      <c r="H3100" s="2">
        <v>5.5792802500000001</v>
      </c>
      <c r="I3100" s="2">
        <v>12.126401899999999</v>
      </c>
      <c r="J3100" s="2">
        <v>12.0971039</v>
      </c>
      <c r="L3100" s="2"/>
      <c r="M3100" s="2"/>
    </row>
    <row r="3101" spans="2:13">
      <c r="B3101" s="2"/>
      <c r="C3101" s="1">
        <v>1.587917606</v>
      </c>
      <c r="D3101" s="1">
        <v>0.17808737499999999</v>
      </c>
      <c r="E3101" s="1"/>
      <c r="H3101" s="2">
        <v>41.404445500000001</v>
      </c>
      <c r="I3101" s="2">
        <v>9.8876815300000001</v>
      </c>
      <c r="J3101" s="2">
        <v>46.546040499999997</v>
      </c>
      <c r="L3101" s="2"/>
      <c r="M3101" s="2"/>
    </row>
    <row r="3102" spans="2:13">
      <c r="B3102" s="2"/>
      <c r="C3102" s="1">
        <v>47.23903936</v>
      </c>
      <c r="D3102" s="1">
        <v>186.12769</v>
      </c>
      <c r="E3102" s="1"/>
      <c r="H3102" s="2">
        <v>18.795869499999998</v>
      </c>
      <c r="I3102" s="2">
        <v>46.966487299999997</v>
      </c>
      <c r="J3102" s="2">
        <v>4.3799858800000004</v>
      </c>
      <c r="L3102" s="2"/>
      <c r="M3102" s="2"/>
    </row>
    <row r="3103" spans="2:13">
      <c r="B3103" s="2"/>
      <c r="C3103" s="1">
        <v>25.38856857</v>
      </c>
      <c r="D3103" s="1">
        <v>1.0949075640000001</v>
      </c>
      <c r="E3103" s="1"/>
      <c r="H3103" s="2">
        <v>14.656019799999999</v>
      </c>
      <c r="I3103" s="2">
        <v>3.9488539500000002</v>
      </c>
      <c r="J3103" s="2">
        <v>7.7171179900000002</v>
      </c>
      <c r="L3103" s="2"/>
      <c r="M3103" s="2"/>
    </row>
    <row r="3104" spans="2:13">
      <c r="B3104" s="2"/>
      <c r="C3104" s="1">
        <v>11.10334782</v>
      </c>
      <c r="D3104" s="1">
        <v>1.912790322</v>
      </c>
      <c r="E3104" s="1"/>
      <c r="H3104" s="2">
        <v>51.557783800000003</v>
      </c>
      <c r="I3104" s="2">
        <v>6.1409342899999997</v>
      </c>
      <c r="J3104" s="2">
        <v>35.561314000000003</v>
      </c>
      <c r="L3104" s="2"/>
      <c r="M3104" s="2"/>
    </row>
    <row r="3105" spans="2:13">
      <c r="B3105" s="2"/>
      <c r="C3105" s="1">
        <v>47.009606390000002</v>
      </c>
      <c r="D3105" s="1">
        <v>1.6225738599999999</v>
      </c>
      <c r="E3105" s="1"/>
      <c r="H3105" s="2">
        <v>5.4008384500000002</v>
      </c>
      <c r="I3105" s="2">
        <v>16.7437626</v>
      </c>
      <c r="J3105" s="2">
        <v>8.4471156300000008</v>
      </c>
      <c r="L3105" s="2"/>
      <c r="M3105" s="2"/>
    </row>
    <row r="3106" spans="2:13">
      <c r="B3106" s="2"/>
      <c r="C3106" s="1">
        <v>7.8429846779999997</v>
      </c>
      <c r="D3106" s="1">
        <v>3.5287683529999998</v>
      </c>
      <c r="E3106" s="1"/>
      <c r="H3106" s="2">
        <v>10.266351500000001</v>
      </c>
      <c r="I3106" s="2">
        <v>22.3250168</v>
      </c>
      <c r="J3106" s="2">
        <v>28.157052100000001</v>
      </c>
      <c r="L3106" s="2"/>
      <c r="M3106" s="2"/>
    </row>
    <row r="3107" spans="2:13">
      <c r="B3107" s="2"/>
      <c r="C3107" s="1">
        <v>9.5758073130000003</v>
      </c>
      <c r="D3107" s="1">
        <v>2.3679025020000002</v>
      </c>
      <c r="E3107" s="1"/>
      <c r="H3107" s="2">
        <v>35.028125199999998</v>
      </c>
      <c r="I3107" s="2">
        <v>21.345576600000001</v>
      </c>
      <c r="J3107" s="2">
        <v>9.3856840399999992</v>
      </c>
      <c r="L3107" s="2"/>
      <c r="M3107" s="2"/>
    </row>
    <row r="3108" spans="2:13">
      <c r="B3108" s="2"/>
      <c r="C3108" s="1">
        <v>13.7478646</v>
      </c>
      <c r="D3108" s="1">
        <v>1.8732153499999999</v>
      </c>
      <c r="E3108" s="1"/>
      <c r="H3108" s="2">
        <v>11.5154441</v>
      </c>
      <c r="I3108" s="2">
        <v>9.6078414900000002</v>
      </c>
      <c r="J3108" s="2">
        <v>79.917361499999998</v>
      </c>
      <c r="L3108" s="2"/>
      <c r="M3108" s="2"/>
    </row>
    <row r="3109" spans="2:13">
      <c r="B3109" s="2"/>
      <c r="C3109" s="1">
        <v>23.426312970000001</v>
      </c>
      <c r="D3109" s="1">
        <v>1.4840614569999999</v>
      </c>
      <c r="E3109" s="1"/>
      <c r="H3109" s="2">
        <v>36.901764100000001</v>
      </c>
      <c r="I3109" s="2">
        <v>45.582833700000002</v>
      </c>
      <c r="J3109" s="2">
        <v>93.404937099999998</v>
      </c>
      <c r="L3109" s="2"/>
      <c r="M3109" s="2"/>
    </row>
    <row r="3110" spans="2:13">
      <c r="B3110" s="2"/>
      <c r="C3110" s="1">
        <v>67.435177730000007</v>
      </c>
      <c r="D3110" s="1">
        <v>332.15933740000003</v>
      </c>
      <c r="E3110" s="1"/>
      <c r="H3110" s="2">
        <v>17.3504909</v>
      </c>
      <c r="I3110" s="2">
        <v>93.000174400000006</v>
      </c>
      <c r="J3110" s="2">
        <v>27.983243099999999</v>
      </c>
      <c r="L3110" s="2"/>
      <c r="M3110" s="2"/>
    </row>
    <row r="3111" spans="2:13">
      <c r="B3111" s="2"/>
      <c r="C3111" s="1">
        <v>41.159065859999998</v>
      </c>
      <c r="D3111" s="1">
        <v>1.2663991100000001</v>
      </c>
      <c r="E3111" s="1"/>
      <c r="H3111" s="2">
        <v>51.902771299999998</v>
      </c>
      <c r="I3111" s="2">
        <v>27.595337600000001</v>
      </c>
      <c r="J3111" s="2">
        <v>27.496578</v>
      </c>
      <c r="L3111" s="2"/>
      <c r="M3111" s="2"/>
    </row>
    <row r="3112" spans="2:13">
      <c r="B3112" s="2"/>
      <c r="C3112" s="1">
        <v>35.978711079999997</v>
      </c>
      <c r="D3112" s="1">
        <v>1.312569911</v>
      </c>
      <c r="E3112" s="1"/>
      <c r="H3112" s="2">
        <v>98.285742900000002</v>
      </c>
      <c r="I3112" s="2">
        <v>22.5426702</v>
      </c>
      <c r="J3112" s="2">
        <v>40.775582900000003</v>
      </c>
      <c r="L3112" s="2"/>
      <c r="M3112" s="2"/>
    </row>
    <row r="3113" spans="2:13">
      <c r="B3113" s="2"/>
      <c r="C3113" s="1">
        <v>68.063099519999994</v>
      </c>
      <c r="D3113" s="1">
        <v>4.6500592320000003</v>
      </c>
      <c r="E3113" s="1"/>
      <c r="H3113" s="2">
        <v>26.254736699999999</v>
      </c>
      <c r="I3113" s="2">
        <v>35.446405499999997</v>
      </c>
      <c r="J3113" s="2">
        <v>32.919417699999997</v>
      </c>
      <c r="L3113" s="2"/>
      <c r="M3113" s="2"/>
    </row>
    <row r="3114" spans="2:13">
      <c r="B3114" s="2"/>
      <c r="C3114" s="1">
        <v>26.306300419999999</v>
      </c>
      <c r="D3114" s="1">
        <v>0.81788275899999996</v>
      </c>
      <c r="E3114" s="1"/>
      <c r="H3114" s="2">
        <v>31.0905095</v>
      </c>
      <c r="I3114" s="2">
        <v>32.865658400000001</v>
      </c>
      <c r="J3114" s="2">
        <v>50.926026299999997</v>
      </c>
      <c r="L3114" s="2"/>
      <c r="M3114" s="2"/>
    </row>
    <row r="3115" spans="2:13">
      <c r="B3115" s="2"/>
      <c r="C3115" s="1">
        <v>54.46617766</v>
      </c>
      <c r="D3115" s="1">
        <v>0.949799332</v>
      </c>
      <c r="E3115" s="1"/>
      <c r="H3115" s="2">
        <v>47.209752000000002</v>
      </c>
      <c r="I3115" s="2">
        <v>43.826060099999999</v>
      </c>
      <c r="J3115" s="2">
        <v>68.828349599999996</v>
      </c>
      <c r="L3115" s="2"/>
      <c r="M3115" s="2"/>
    </row>
    <row r="3116" spans="2:13">
      <c r="B3116" s="2"/>
      <c r="C3116" s="1">
        <v>37.705496009999997</v>
      </c>
      <c r="D3116" s="1">
        <v>0.26383314800000002</v>
      </c>
      <c r="E3116" s="1"/>
      <c r="H3116" s="2">
        <v>35.063813500000002</v>
      </c>
      <c r="I3116" s="2">
        <v>52.9053149</v>
      </c>
      <c r="J3116" s="2">
        <v>15.3994742</v>
      </c>
      <c r="L3116" s="2"/>
      <c r="M3116" s="2"/>
    </row>
    <row r="3117" spans="2:13">
      <c r="B3117" s="2"/>
      <c r="C3117" s="1">
        <v>20.811984750000001</v>
      </c>
      <c r="D3117" s="1">
        <v>1.556615573</v>
      </c>
      <c r="E3117" s="1"/>
      <c r="H3117" s="2">
        <v>44.1524492</v>
      </c>
      <c r="I3117" s="2">
        <v>13.8209888</v>
      </c>
      <c r="J3117" s="2">
        <v>28.7480026</v>
      </c>
      <c r="L3117" s="2"/>
      <c r="M3117" s="2"/>
    </row>
    <row r="3118" spans="2:13">
      <c r="B3118" s="2"/>
      <c r="C3118" s="1">
        <v>40.494917809999997</v>
      </c>
      <c r="D3118" s="1">
        <v>0.21766234700000001</v>
      </c>
      <c r="E3118" s="1"/>
      <c r="H3118" s="2">
        <v>81.970214400000003</v>
      </c>
      <c r="I3118" s="2">
        <v>21.858616699999999</v>
      </c>
      <c r="J3118" s="2">
        <v>4.2757005100000001</v>
      </c>
      <c r="L3118" s="2"/>
      <c r="M3118" s="2"/>
    </row>
    <row r="3119" spans="2:13">
      <c r="B3119" s="2"/>
      <c r="C3119" s="1">
        <v>70.079694509999996</v>
      </c>
      <c r="D3119" s="1">
        <v>0.75852030000000004</v>
      </c>
      <c r="E3119" s="1"/>
      <c r="H3119" s="2">
        <v>18.320024700000001</v>
      </c>
      <c r="I3119" s="2">
        <v>3.3891738600000001</v>
      </c>
      <c r="J3119" s="2">
        <v>22.734212400000001</v>
      </c>
      <c r="L3119" s="2"/>
      <c r="M3119" s="2"/>
    </row>
    <row r="3120" spans="2:13">
      <c r="B3120" s="2"/>
      <c r="C3120" s="1">
        <v>27.58025713</v>
      </c>
      <c r="D3120" s="1">
        <v>5.5800710779999996</v>
      </c>
      <c r="E3120" s="1"/>
      <c r="H3120" s="2">
        <v>32.410978800000002</v>
      </c>
      <c r="I3120" s="2">
        <v>34.093845299999998</v>
      </c>
      <c r="J3120" s="2">
        <v>3.1980849299999998</v>
      </c>
      <c r="L3120" s="2"/>
      <c r="M3120" s="2"/>
    </row>
    <row r="3121" spans="2:13">
      <c r="B3121" s="2"/>
      <c r="C3121" s="1">
        <v>26.137244549999998</v>
      </c>
      <c r="D3121" s="1">
        <v>505.0755825</v>
      </c>
      <c r="E3121" s="1"/>
      <c r="H3121" s="2">
        <v>6.5250217900000003</v>
      </c>
      <c r="I3121" s="2">
        <v>2.7362137600000001</v>
      </c>
      <c r="J3121" s="2">
        <v>13.835193500000001</v>
      </c>
      <c r="L3121" s="2"/>
      <c r="M3121" s="2"/>
    </row>
    <row r="3122" spans="2:13">
      <c r="B3122" s="2"/>
      <c r="C3122" s="1">
        <v>4.0211145459999997</v>
      </c>
      <c r="D3122" s="1">
        <v>2.3019442149999998</v>
      </c>
      <c r="E3122" s="1"/>
      <c r="H3122" s="2">
        <v>28.253284900000001</v>
      </c>
      <c r="I3122" s="2">
        <v>19.169042999999999</v>
      </c>
      <c r="J3122" s="2">
        <v>29.026096899999999</v>
      </c>
      <c r="L3122" s="2"/>
      <c r="M3122" s="2"/>
    </row>
    <row r="3123" spans="2:13">
      <c r="B3123" s="2"/>
      <c r="C3123" s="1">
        <v>21.15613419</v>
      </c>
      <c r="D3123" s="1">
        <v>5.890075027</v>
      </c>
      <c r="E3123" s="1"/>
      <c r="H3123" s="2">
        <v>3.4260825399999999</v>
      </c>
      <c r="I3123" s="2">
        <v>17.6454694</v>
      </c>
      <c r="J3123" s="2">
        <v>80.682120900000001</v>
      </c>
      <c r="L3123" s="2"/>
      <c r="M3123" s="2"/>
    </row>
    <row r="3124" spans="2:13">
      <c r="B3124" s="2"/>
      <c r="C3124" s="1">
        <v>14.00748611</v>
      </c>
      <c r="D3124" s="1">
        <v>1.226824138</v>
      </c>
      <c r="E3124" s="1"/>
      <c r="H3124" s="2">
        <v>14.8285135</v>
      </c>
      <c r="I3124" s="2">
        <v>89.377800500000006</v>
      </c>
      <c r="J3124" s="2">
        <v>59.477427400000003</v>
      </c>
      <c r="L3124" s="2"/>
      <c r="M3124" s="2"/>
    </row>
    <row r="3125" spans="2:13">
      <c r="B3125" s="2"/>
      <c r="C3125" s="1">
        <v>11.900325479999999</v>
      </c>
      <c r="D3125" s="1">
        <v>2.4074774749999999</v>
      </c>
      <c r="E3125" s="1"/>
      <c r="H3125" s="2">
        <v>35.801372999999998</v>
      </c>
      <c r="I3125" s="2">
        <v>45.396273700000002</v>
      </c>
      <c r="J3125" s="2">
        <v>150.03189699999999</v>
      </c>
      <c r="L3125" s="2"/>
      <c r="M3125" s="2"/>
    </row>
    <row r="3126" spans="2:13">
      <c r="B3126" s="2"/>
      <c r="C3126" s="1">
        <v>20.087459599999999</v>
      </c>
      <c r="D3126" s="1">
        <v>865.10229619999996</v>
      </c>
      <c r="E3126" s="1"/>
      <c r="H3126" s="2">
        <v>82.898111799999995</v>
      </c>
      <c r="I3126" s="2">
        <v>118.201325</v>
      </c>
      <c r="J3126" s="2">
        <v>22.734212400000001</v>
      </c>
      <c r="L3126" s="2"/>
      <c r="M3126" s="2"/>
    </row>
    <row r="3127" spans="2:13">
      <c r="B3127" s="2"/>
      <c r="C3127" s="1">
        <v>52.926561730000003</v>
      </c>
      <c r="D3127" s="1">
        <v>0.86405355900000003</v>
      </c>
      <c r="E3127" s="1"/>
      <c r="H3127" s="2">
        <v>69.235418100000004</v>
      </c>
      <c r="I3127" s="2">
        <v>19.930829800000001</v>
      </c>
      <c r="J3127" s="2">
        <v>38.272733799999997</v>
      </c>
      <c r="L3127" s="2"/>
      <c r="M3127" s="2"/>
    </row>
    <row r="3128" spans="2:13">
      <c r="B3128" s="2"/>
      <c r="C3128" s="1">
        <v>59.223892769999999</v>
      </c>
      <c r="D3128" s="1">
        <v>5.5800710779999996</v>
      </c>
      <c r="E3128" s="1"/>
      <c r="H3128" s="2">
        <v>145.74531300000001</v>
      </c>
      <c r="I3128" s="2">
        <v>33.285418499999999</v>
      </c>
      <c r="J3128" s="2">
        <v>103.902998</v>
      </c>
      <c r="L3128" s="2"/>
      <c r="M3128" s="2"/>
    </row>
    <row r="3129" spans="2:13">
      <c r="B3129" s="2"/>
      <c r="C3129" s="1">
        <v>139.15109150000001</v>
      </c>
      <c r="D3129" s="1">
        <v>13.72591952</v>
      </c>
      <c r="E3129" s="1"/>
      <c r="H3129" s="2">
        <v>24.571435699999999</v>
      </c>
      <c r="I3129" s="2">
        <v>106.12156299999999</v>
      </c>
      <c r="J3129" s="2">
        <v>13.5223374</v>
      </c>
      <c r="L3129" s="2"/>
      <c r="M3129" s="2"/>
    </row>
    <row r="3130" spans="2:13">
      <c r="B3130" s="2"/>
      <c r="C3130" s="1">
        <v>28.842138420000001</v>
      </c>
      <c r="D3130" s="1">
        <v>1.299378253</v>
      </c>
      <c r="E3130" s="1"/>
      <c r="H3130" s="2">
        <v>42.939044899999999</v>
      </c>
      <c r="I3130" s="2">
        <v>12.888188700000001</v>
      </c>
      <c r="J3130" s="2">
        <v>53.046495700000001</v>
      </c>
      <c r="L3130" s="2"/>
      <c r="M3130" s="2"/>
    </row>
    <row r="3131" spans="2:13">
      <c r="B3131" s="2"/>
      <c r="C3131" s="1">
        <v>44.395278169999997</v>
      </c>
      <c r="D3131" s="1">
        <v>500.44531080000002</v>
      </c>
      <c r="E3131" s="1"/>
      <c r="H3131" s="2">
        <v>141.12961899999999</v>
      </c>
      <c r="I3131" s="2">
        <v>33.953925300000002</v>
      </c>
      <c r="J3131" s="2">
        <v>54.888870699999998</v>
      </c>
      <c r="L3131" s="2"/>
      <c r="M3131" s="2"/>
    </row>
    <row r="3132" spans="2:13">
      <c r="B3132" s="2"/>
      <c r="C3132" s="1">
        <v>183.1056169</v>
      </c>
      <c r="D3132" s="1">
        <v>0.40894137899999999</v>
      </c>
      <c r="E3132" s="1"/>
      <c r="H3132" s="2">
        <v>14.5073183</v>
      </c>
      <c r="I3132" s="2">
        <v>62.824089800000003</v>
      </c>
      <c r="J3132" s="2">
        <v>29.060858700000001</v>
      </c>
      <c r="L3132" s="2"/>
      <c r="M3132" s="2"/>
    </row>
    <row r="3133" spans="2:13">
      <c r="B3133" s="2"/>
      <c r="C3133" s="1">
        <v>13.077678840000001</v>
      </c>
      <c r="D3133" s="1">
        <v>0.42872886500000001</v>
      </c>
      <c r="E3133" s="1"/>
      <c r="H3133" s="2">
        <v>59.950496399999999</v>
      </c>
      <c r="I3133" s="2">
        <v>34.047205300000002</v>
      </c>
      <c r="J3133" s="2">
        <v>31.841802099999999</v>
      </c>
      <c r="L3133" s="2"/>
      <c r="M3133" s="2"/>
    </row>
    <row r="3134" spans="2:13">
      <c r="B3134" s="2"/>
      <c r="C3134" s="1">
        <v>27.72516216</v>
      </c>
      <c r="D3134" s="1">
        <v>8.9571353709999997</v>
      </c>
      <c r="E3134" s="1"/>
      <c r="H3134" s="2">
        <v>67.147649000000001</v>
      </c>
      <c r="I3134" s="2">
        <v>25.8541107</v>
      </c>
      <c r="J3134" s="2">
        <v>6.5352170300000001</v>
      </c>
      <c r="L3134" s="2"/>
      <c r="M3134" s="2"/>
    </row>
    <row r="3135" spans="2:13">
      <c r="B3135" s="2"/>
      <c r="C3135" s="1">
        <v>88.657726729999993</v>
      </c>
      <c r="D3135" s="1">
        <v>361.0292796</v>
      </c>
      <c r="E3135" s="1"/>
      <c r="H3135" s="2">
        <v>30.852587100000001</v>
      </c>
      <c r="I3135" s="2">
        <v>6.8716277300000002</v>
      </c>
      <c r="J3135" s="2">
        <v>8.6904481800000006</v>
      </c>
      <c r="L3135" s="2"/>
      <c r="M3135" s="2"/>
    </row>
    <row r="3136" spans="2:13">
      <c r="B3136" s="2"/>
      <c r="C3136" s="1">
        <v>17.104831099999998</v>
      </c>
      <c r="D3136" s="1">
        <v>3.0406770299999999</v>
      </c>
      <c r="E3136" s="1"/>
      <c r="H3136" s="2">
        <v>37.639323500000003</v>
      </c>
      <c r="I3136" s="2">
        <v>9.1569880900000005</v>
      </c>
      <c r="J3136" s="2">
        <v>95.942547899999994</v>
      </c>
      <c r="L3136" s="2"/>
      <c r="M3136" s="2"/>
    </row>
    <row r="3137" spans="2:13">
      <c r="B3137" s="2"/>
      <c r="C3137" s="1">
        <v>63.78236347</v>
      </c>
      <c r="D3137" s="1">
        <v>3.997072191</v>
      </c>
      <c r="E3137" s="1"/>
      <c r="H3137" s="2">
        <v>10.117649999999999</v>
      </c>
      <c r="I3137" s="2">
        <v>207.92115200000001</v>
      </c>
      <c r="J3137" s="2">
        <v>43.347955499999998</v>
      </c>
      <c r="L3137" s="2"/>
      <c r="M3137" s="2"/>
    </row>
    <row r="3138" spans="2:13">
      <c r="B3138" s="2"/>
      <c r="C3138" s="1">
        <v>8.0543045119999999</v>
      </c>
      <c r="D3138" s="1">
        <v>0.37596223600000001</v>
      </c>
      <c r="E3138" s="1"/>
      <c r="H3138" s="2">
        <v>11.6522495</v>
      </c>
      <c r="I3138" s="2">
        <v>21.811976699999999</v>
      </c>
      <c r="J3138" s="2">
        <v>70.601201000000003</v>
      </c>
      <c r="L3138" s="2"/>
      <c r="M3138" s="2"/>
    </row>
    <row r="3139" spans="2:13">
      <c r="B3139" s="2"/>
      <c r="C3139" s="1">
        <v>5.7660125999999998</v>
      </c>
      <c r="D3139" s="1">
        <v>1.371932369</v>
      </c>
      <c r="E3139" s="1"/>
      <c r="H3139" s="2">
        <v>99.035198500000007</v>
      </c>
      <c r="I3139" s="2">
        <v>66.135530299999999</v>
      </c>
      <c r="J3139" s="2">
        <v>90.693517200000002</v>
      </c>
      <c r="L3139" s="2"/>
      <c r="M3139" s="2"/>
    </row>
    <row r="3140" spans="2:13">
      <c r="B3140" s="2"/>
      <c r="C3140" s="1">
        <v>57.17710924</v>
      </c>
      <c r="D3140" s="1">
        <v>0.46830383799999997</v>
      </c>
      <c r="E3140" s="1"/>
      <c r="H3140" s="2">
        <v>39.013325299999998</v>
      </c>
      <c r="I3140" s="2">
        <v>93.326654500000004</v>
      </c>
      <c r="J3140" s="2">
        <v>11.575677000000001</v>
      </c>
      <c r="L3140" s="2"/>
      <c r="M3140" s="2"/>
    </row>
    <row r="3141" spans="2:13">
      <c r="B3141" s="2"/>
      <c r="C3141" s="1">
        <v>57.104656730000002</v>
      </c>
      <c r="D3141" s="1">
        <v>1.1674616790000001</v>
      </c>
      <c r="E3141" s="1"/>
      <c r="H3141" s="2">
        <v>85.622323300000005</v>
      </c>
      <c r="I3141" s="2">
        <v>11.6755485</v>
      </c>
      <c r="J3141" s="2">
        <v>16.198995400000001</v>
      </c>
      <c r="L3141" s="2"/>
      <c r="M3141" s="2"/>
    </row>
    <row r="3142" spans="2:13">
      <c r="B3142" s="2"/>
      <c r="C3142" s="1">
        <v>64.446511509999993</v>
      </c>
      <c r="D3142" s="1">
        <v>79.196115169999999</v>
      </c>
      <c r="E3142" s="1"/>
      <c r="H3142" s="2">
        <v>116.617664</v>
      </c>
      <c r="I3142" s="2">
        <v>9.9343215399999991</v>
      </c>
      <c r="J3142" s="2">
        <v>11.7494859</v>
      </c>
      <c r="L3142" s="2"/>
      <c r="M3142" s="2"/>
    </row>
    <row r="3143" spans="2:13">
      <c r="B3143" s="2"/>
      <c r="C3143" s="1">
        <v>93.795817540000002</v>
      </c>
      <c r="D3143" s="1">
        <v>1.2202283089999999</v>
      </c>
      <c r="E3143" s="1"/>
      <c r="H3143" s="2">
        <v>14.174226900000001</v>
      </c>
      <c r="I3143" s="2">
        <v>12.826002000000001</v>
      </c>
      <c r="J3143" s="2">
        <v>16.094709999999999</v>
      </c>
      <c r="L3143" s="2"/>
      <c r="M3143" s="2"/>
    </row>
    <row r="3144" spans="2:13">
      <c r="B3144" s="2"/>
      <c r="C3144" s="1">
        <v>7.5290237830000004</v>
      </c>
      <c r="D3144" s="1">
        <v>0.53426212500000003</v>
      </c>
      <c r="E3144" s="1"/>
      <c r="H3144" s="2">
        <v>19.908156699999999</v>
      </c>
      <c r="I3144" s="2">
        <v>18.500536199999999</v>
      </c>
      <c r="J3144" s="2">
        <v>2.5723726600000001</v>
      </c>
      <c r="L3144" s="2"/>
      <c r="M3144" s="2"/>
    </row>
    <row r="3145" spans="2:13">
      <c r="B3145" s="2"/>
      <c r="C3145" s="1">
        <v>25.195361869999999</v>
      </c>
      <c r="D3145" s="1">
        <v>0.26383314800000002</v>
      </c>
      <c r="E3145" s="1"/>
      <c r="H3145" s="2">
        <v>16.410697500000001</v>
      </c>
      <c r="I3145" s="2">
        <v>2.87613378</v>
      </c>
      <c r="J3145" s="2">
        <v>33.093226700000002</v>
      </c>
      <c r="L3145" s="2"/>
      <c r="M3145" s="2"/>
    </row>
    <row r="3146" spans="2:13">
      <c r="B3146" s="2"/>
      <c r="C3146" s="1">
        <v>11.067121569999999</v>
      </c>
      <c r="D3146" s="1">
        <v>0.33638726400000002</v>
      </c>
      <c r="E3146" s="1"/>
      <c r="H3146" s="2">
        <v>18.819661700000001</v>
      </c>
      <c r="I3146" s="2">
        <v>36.985525699999997</v>
      </c>
      <c r="J3146" s="2">
        <v>5.7356958000000002</v>
      </c>
      <c r="L3146" s="2"/>
      <c r="M3146" s="2"/>
    </row>
    <row r="3147" spans="2:13">
      <c r="B3147" s="2"/>
      <c r="C3147" s="1">
        <v>16.495022429999999</v>
      </c>
      <c r="D3147" s="1">
        <v>1.141078365</v>
      </c>
      <c r="E3147" s="1"/>
      <c r="H3147" s="2">
        <v>3.7532258399999998</v>
      </c>
      <c r="I3147" s="2">
        <v>5.8144542399999999</v>
      </c>
      <c r="J3147" s="2">
        <v>7.36950006</v>
      </c>
      <c r="L3147" s="2"/>
      <c r="M3147" s="2"/>
    </row>
    <row r="3148" spans="2:13">
      <c r="B3148" s="2"/>
      <c r="C3148" s="1">
        <v>5.0112989089999997</v>
      </c>
      <c r="D3148" s="1">
        <v>2.4008816460000002</v>
      </c>
      <c r="E3148" s="1"/>
      <c r="H3148" s="2">
        <v>40.030443599999998</v>
      </c>
      <c r="I3148" s="2">
        <v>5.3169608300000002</v>
      </c>
      <c r="J3148" s="2">
        <v>4.2757005100000001</v>
      </c>
      <c r="L3148" s="2"/>
      <c r="M3148" s="2"/>
    </row>
    <row r="3149" spans="2:13">
      <c r="B3149" s="2"/>
      <c r="C3149" s="1">
        <v>26.650449859999998</v>
      </c>
      <c r="D3149" s="1">
        <v>4.6170800999999997E-2</v>
      </c>
      <c r="E3149" s="1"/>
      <c r="H3149" s="2">
        <v>8.8566613000000007</v>
      </c>
      <c r="I3149" s="2">
        <v>6.7783477200000002</v>
      </c>
      <c r="J3149" s="2">
        <v>26.627533199999998</v>
      </c>
      <c r="L3149" s="2"/>
      <c r="M3149" s="2"/>
    </row>
    <row r="3150" spans="2:13">
      <c r="B3150" s="2"/>
      <c r="C3150" s="1">
        <v>9.3826006080000006</v>
      </c>
      <c r="D3150" s="1">
        <v>5.2964504440000004</v>
      </c>
      <c r="E3150" s="1"/>
      <c r="H3150" s="2">
        <v>10.0343772</v>
      </c>
      <c r="I3150" s="2">
        <v>26.336057400000001</v>
      </c>
      <c r="J3150" s="2">
        <v>15.1561416</v>
      </c>
      <c r="L3150" s="2"/>
      <c r="M3150" s="2"/>
    </row>
    <row r="3151" spans="2:13">
      <c r="B3151" s="2"/>
      <c r="C3151" s="1">
        <v>11.87617464</v>
      </c>
      <c r="D3151" s="1">
        <v>0.40234555100000002</v>
      </c>
      <c r="E3151" s="1"/>
      <c r="H3151" s="2">
        <v>5.9480599700000001</v>
      </c>
      <c r="I3151" s="2">
        <v>16.728215899999999</v>
      </c>
      <c r="J3151" s="2">
        <v>1.14713916</v>
      </c>
      <c r="L3151" s="2"/>
      <c r="M3151" s="2"/>
    </row>
    <row r="3152" spans="2:13">
      <c r="B3152" s="2"/>
      <c r="C3152" s="1">
        <v>7.44449585</v>
      </c>
      <c r="D3152" s="1">
        <v>1.846832035</v>
      </c>
      <c r="E3152" s="1"/>
      <c r="H3152" s="2">
        <v>32.446667099999999</v>
      </c>
      <c r="I3152" s="2">
        <v>1.8811469599999999</v>
      </c>
      <c r="J3152" s="2">
        <v>56.348866000000001</v>
      </c>
      <c r="L3152" s="2"/>
      <c r="M3152" s="2"/>
    </row>
    <row r="3153" spans="2:13">
      <c r="B3153" s="2"/>
      <c r="C3153" s="1">
        <v>13.826354820000001</v>
      </c>
      <c r="D3153" s="1">
        <v>0.613412069</v>
      </c>
      <c r="E3153" s="1"/>
      <c r="H3153" s="2">
        <v>23.6673306</v>
      </c>
      <c r="I3153" s="2">
        <v>37.140992400000002</v>
      </c>
      <c r="J3153" s="2">
        <v>3.54570286</v>
      </c>
      <c r="L3153" s="2"/>
      <c r="M3153" s="2"/>
    </row>
    <row r="3154" spans="2:13">
      <c r="B3154" s="2"/>
      <c r="C3154" s="1">
        <v>23.86706577</v>
      </c>
      <c r="D3154" s="1">
        <v>0.105533259</v>
      </c>
      <c r="E3154" s="1"/>
      <c r="H3154" s="2">
        <v>1.60597619</v>
      </c>
      <c r="I3154" s="2">
        <v>5.7522675599999999</v>
      </c>
      <c r="J3154" s="2">
        <v>41.053677200000003</v>
      </c>
      <c r="L3154" s="2"/>
      <c r="M3154" s="2"/>
    </row>
    <row r="3155" spans="2:13">
      <c r="B3155" s="2"/>
      <c r="C3155" s="1">
        <v>1.7448980540000001</v>
      </c>
      <c r="D3155" s="1">
        <v>2.8493979970000001</v>
      </c>
      <c r="E3155" s="1"/>
      <c r="H3155" s="2">
        <v>64.233099600000003</v>
      </c>
      <c r="I3155" s="2">
        <v>21.469950000000001</v>
      </c>
      <c r="J3155" s="2">
        <v>15.3299506</v>
      </c>
      <c r="L3155" s="2"/>
      <c r="M3155" s="2"/>
    </row>
    <row r="3156" spans="2:13">
      <c r="B3156" s="2"/>
      <c r="C3156" s="1">
        <v>107.8636807</v>
      </c>
      <c r="D3156" s="1">
        <v>0.29681229100000001</v>
      </c>
      <c r="E3156" s="1"/>
      <c r="H3156" s="2">
        <v>6.5845023899999999</v>
      </c>
      <c r="I3156" s="2">
        <v>15.158002400000001</v>
      </c>
      <c r="J3156" s="2">
        <v>2.6071344500000002</v>
      </c>
      <c r="L3156" s="2"/>
      <c r="M3156" s="2"/>
    </row>
    <row r="3157" spans="2:13">
      <c r="B3157" s="2"/>
      <c r="C3157" s="1">
        <v>14.1946551</v>
      </c>
      <c r="D3157" s="1">
        <v>1.127886707</v>
      </c>
      <c r="E3157" s="1"/>
      <c r="H3157" s="2">
        <v>39.792521200000003</v>
      </c>
      <c r="I3157" s="2">
        <v>2.4408270500000002</v>
      </c>
      <c r="J3157" s="2">
        <v>51.482214999999997</v>
      </c>
      <c r="L3157" s="2"/>
      <c r="M3157" s="2"/>
    </row>
    <row r="3158" spans="2:13">
      <c r="B3158" s="2"/>
      <c r="C3158" s="1">
        <v>35.073054659999997</v>
      </c>
      <c r="D3158" s="1">
        <v>1.2598032809999999</v>
      </c>
      <c r="E3158" s="1"/>
      <c r="H3158" s="2">
        <v>19.586961500000001</v>
      </c>
      <c r="I3158" s="2">
        <v>32.072778300000003</v>
      </c>
      <c r="J3158" s="2">
        <v>5.3185542899999998</v>
      </c>
      <c r="L3158" s="2"/>
      <c r="M3158" s="2"/>
    </row>
    <row r="3159" spans="2:13">
      <c r="B3159" s="2"/>
      <c r="C3159" s="1">
        <v>14.44220119</v>
      </c>
      <c r="D3159" s="1">
        <v>1.312569911</v>
      </c>
      <c r="E3159" s="1"/>
      <c r="H3159" s="2">
        <v>3.5688359799999998</v>
      </c>
      <c r="I3159" s="2">
        <v>5.9543742599999998</v>
      </c>
      <c r="J3159" s="2">
        <v>16.338042600000001</v>
      </c>
      <c r="L3159" s="2"/>
      <c r="M3159" s="2"/>
    </row>
    <row r="3160" spans="2:13">
      <c r="B3160" s="2"/>
      <c r="C3160" s="1">
        <v>2.6565921929999998</v>
      </c>
      <c r="D3160" s="1">
        <v>14.55699394</v>
      </c>
      <c r="E3160" s="1"/>
      <c r="H3160" s="2">
        <v>60.426341200000003</v>
      </c>
      <c r="I3160" s="2">
        <v>11.7688285</v>
      </c>
      <c r="J3160" s="2">
        <v>18.875653499999999</v>
      </c>
      <c r="L3160" s="2"/>
      <c r="M3160" s="2"/>
    </row>
    <row r="3161" spans="2:13">
      <c r="B3161" s="2"/>
      <c r="C3161" s="1">
        <v>65.207262920000005</v>
      </c>
      <c r="D3161" s="1">
        <v>0.34298309199999999</v>
      </c>
      <c r="E3161" s="1"/>
      <c r="H3161" s="2">
        <v>7.1138797199999999</v>
      </c>
      <c r="I3161" s="2">
        <v>26.2738707</v>
      </c>
      <c r="J3161" s="2">
        <v>15.2256652</v>
      </c>
      <c r="L3161" s="2"/>
      <c r="M3161" s="2"/>
    </row>
    <row r="3162" spans="2:13">
      <c r="B3162" s="2"/>
      <c r="C3162" s="1">
        <v>12.38937995</v>
      </c>
      <c r="D3162" s="1">
        <v>0.33638726400000002</v>
      </c>
      <c r="E3162" s="1"/>
      <c r="H3162" s="2">
        <v>22.513407000000001</v>
      </c>
      <c r="I3162" s="2">
        <v>13.6188821</v>
      </c>
      <c r="J3162" s="2">
        <v>9.2466368699999997</v>
      </c>
      <c r="L3162" s="2"/>
      <c r="M3162" s="2"/>
    </row>
    <row r="3163" spans="2:13">
      <c r="B3163" s="2"/>
      <c r="C3163" s="1">
        <v>21.88065933</v>
      </c>
      <c r="D3163" s="1">
        <v>1.3587407119999999</v>
      </c>
      <c r="E3163" s="1"/>
      <c r="H3163" s="2">
        <v>24.601175999999999</v>
      </c>
      <c r="I3163" s="2">
        <v>11.4889884</v>
      </c>
      <c r="J3163" s="2">
        <v>14.6347147</v>
      </c>
      <c r="L3163" s="2"/>
      <c r="M3163" s="2"/>
    </row>
    <row r="3164" spans="2:13">
      <c r="B3164" s="2"/>
      <c r="C3164" s="1">
        <v>25.684416339999999</v>
      </c>
      <c r="D3164" s="1">
        <v>2.2953483870000002</v>
      </c>
      <c r="E3164" s="1"/>
      <c r="H3164" s="2">
        <v>21.6509383</v>
      </c>
      <c r="I3164" s="2">
        <v>14.2718422</v>
      </c>
      <c r="J3164" s="2">
        <v>8.5514010099999993</v>
      </c>
      <c r="L3164" s="2"/>
      <c r="M3164" s="2"/>
    </row>
    <row r="3165" spans="2:13">
      <c r="B3165" s="2"/>
      <c r="C3165" s="1">
        <v>14.484465159999999</v>
      </c>
      <c r="D3165" s="1">
        <v>0.850861902</v>
      </c>
      <c r="E3165" s="1"/>
      <c r="H3165" s="2">
        <v>11.5511325</v>
      </c>
      <c r="I3165" s="2">
        <v>12.390695300000001</v>
      </c>
      <c r="J3165" s="2">
        <v>44.495094700000003</v>
      </c>
      <c r="L3165" s="2"/>
      <c r="M3165" s="2"/>
    </row>
    <row r="3166" spans="2:13">
      <c r="B3166" s="2"/>
      <c r="C3166" s="1">
        <v>15.18483947</v>
      </c>
      <c r="D3166" s="1">
        <v>0.34298309199999999</v>
      </c>
      <c r="E3166" s="1"/>
      <c r="H3166" s="2">
        <v>18.391401399999999</v>
      </c>
      <c r="I3166" s="2">
        <v>53.293981600000002</v>
      </c>
      <c r="J3166" s="2">
        <v>43.313193699999999</v>
      </c>
      <c r="L3166" s="2"/>
      <c r="M3166" s="2"/>
    </row>
    <row r="3167" spans="2:13">
      <c r="B3167" s="2"/>
      <c r="C3167" s="1">
        <v>22.194620230000002</v>
      </c>
      <c r="D3167" s="1">
        <v>0.310003949</v>
      </c>
      <c r="E3167" s="1"/>
      <c r="H3167" s="2">
        <v>15.958644899999999</v>
      </c>
      <c r="I3167" s="2">
        <v>70.628517599999995</v>
      </c>
      <c r="J3167" s="2">
        <v>16.198995400000001</v>
      </c>
      <c r="L3167" s="2"/>
      <c r="M3167" s="2"/>
    </row>
    <row r="3168" spans="2:13">
      <c r="B3168" s="2"/>
      <c r="C3168" s="1">
        <v>10.10712575</v>
      </c>
      <c r="D3168" s="1">
        <v>5.6592210229999997</v>
      </c>
      <c r="E3168" s="1"/>
      <c r="H3168" s="2">
        <v>48.780039799999997</v>
      </c>
      <c r="I3168" s="2">
        <v>22.029630099999999</v>
      </c>
      <c r="J3168" s="2">
        <v>7.1261675100000001</v>
      </c>
      <c r="L3168" s="2"/>
      <c r="M3168" s="2"/>
    </row>
    <row r="3169" spans="2:13">
      <c r="B3169" s="2"/>
      <c r="C3169" s="1">
        <v>22.315374420000001</v>
      </c>
      <c r="D3169" s="1">
        <v>0.474899666</v>
      </c>
      <c r="E3169" s="1"/>
      <c r="H3169" s="2">
        <v>46.222374000000002</v>
      </c>
      <c r="I3169" s="2">
        <v>7.3846678099999998</v>
      </c>
      <c r="J3169" s="2">
        <v>12.688054299999999</v>
      </c>
      <c r="L3169" s="2"/>
      <c r="M3169" s="2"/>
    </row>
    <row r="3170" spans="2:13">
      <c r="B3170" s="2"/>
      <c r="C3170" s="1">
        <v>34.626264149999997</v>
      </c>
      <c r="D3170" s="1">
        <v>0.17149154599999999</v>
      </c>
      <c r="E3170" s="1"/>
      <c r="H3170" s="2">
        <v>24.0480065</v>
      </c>
      <c r="I3170" s="2">
        <v>21.811976699999999</v>
      </c>
      <c r="J3170" s="2">
        <v>67.020736400000004</v>
      </c>
      <c r="L3170" s="2"/>
      <c r="M3170" s="2"/>
    </row>
    <row r="3171" spans="2:13">
      <c r="B3171" s="2"/>
      <c r="C3171" s="1">
        <v>12.80598191</v>
      </c>
      <c r="D3171" s="1">
        <v>64.038900830000003</v>
      </c>
      <c r="E3171" s="1"/>
      <c r="H3171" s="2">
        <v>11.009859000000001</v>
      </c>
      <c r="I3171" s="2">
        <v>68.203237299999998</v>
      </c>
      <c r="J3171" s="2">
        <v>18.041370400000002</v>
      </c>
      <c r="L3171" s="2"/>
      <c r="M3171" s="2"/>
    </row>
    <row r="3172" spans="2:13">
      <c r="B3172" s="2"/>
      <c r="C3172" s="1">
        <v>5.1682793570000003</v>
      </c>
      <c r="D3172" s="1">
        <v>0.118724917</v>
      </c>
      <c r="E3172" s="1"/>
      <c r="H3172" s="2">
        <v>14.834461599999999</v>
      </c>
      <c r="I3172" s="2">
        <v>16.215175800000001</v>
      </c>
      <c r="J3172" s="2">
        <v>2.4333254900000001</v>
      </c>
      <c r="L3172" s="2"/>
      <c r="M3172" s="2"/>
    </row>
    <row r="3173" spans="2:13">
      <c r="B3173" s="2"/>
      <c r="C3173" s="1">
        <v>6.41808523</v>
      </c>
      <c r="D3173" s="1">
        <v>4.4126093989999999</v>
      </c>
      <c r="E3173" s="1"/>
      <c r="H3173" s="2">
        <v>84.016347100000004</v>
      </c>
      <c r="I3173" s="2">
        <v>6.5917876900000003</v>
      </c>
      <c r="J3173" s="2">
        <v>9.6985401699999993</v>
      </c>
      <c r="L3173" s="2"/>
      <c r="M3173" s="2"/>
    </row>
    <row r="3174" spans="2:13">
      <c r="B3174" s="2"/>
      <c r="C3174" s="1">
        <v>81.744549320000004</v>
      </c>
      <c r="D3174" s="1">
        <v>7.2554116000000002E-2</v>
      </c>
      <c r="E3174" s="1"/>
      <c r="H3174" s="2">
        <v>20.7408851</v>
      </c>
      <c r="I3174" s="2">
        <v>11.1003217</v>
      </c>
      <c r="J3174" s="2">
        <v>1.8076132199999999</v>
      </c>
      <c r="L3174" s="2"/>
      <c r="M3174" s="2"/>
    </row>
    <row r="3175" spans="2:13">
      <c r="B3175" s="2"/>
      <c r="C3175" s="1">
        <v>21.862546210000001</v>
      </c>
      <c r="D3175" s="1">
        <v>0.80469110099999996</v>
      </c>
      <c r="E3175" s="1"/>
      <c r="H3175" s="2">
        <v>4.7465518600000003</v>
      </c>
      <c r="I3175" s="2">
        <v>3.1559738199999998</v>
      </c>
      <c r="J3175" s="2">
        <v>52.976972099999998</v>
      </c>
      <c r="L3175" s="2"/>
      <c r="M3175" s="2"/>
    </row>
    <row r="3176" spans="2:13">
      <c r="B3176" s="2"/>
      <c r="C3176" s="1">
        <v>4.510169018</v>
      </c>
      <c r="D3176" s="1">
        <v>1.6423613459999999</v>
      </c>
      <c r="E3176" s="1"/>
      <c r="H3176" s="2">
        <v>15.893216199999999</v>
      </c>
      <c r="I3176" s="2">
        <v>74.701744899999994</v>
      </c>
      <c r="J3176" s="2">
        <v>4.1018915399999996</v>
      </c>
      <c r="L3176" s="2"/>
      <c r="M3176" s="2"/>
    </row>
    <row r="3177" spans="2:13">
      <c r="B3177" s="2"/>
      <c r="C3177" s="1">
        <v>14.80446377</v>
      </c>
      <c r="D3177" s="1">
        <v>1.035545106</v>
      </c>
      <c r="E3177" s="1"/>
      <c r="H3177" s="2">
        <v>2.8610168499999999</v>
      </c>
      <c r="I3177" s="2">
        <v>8.2863746200000001</v>
      </c>
      <c r="J3177" s="2">
        <v>10.6718704</v>
      </c>
      <c r="L3177" s="2"/>
      <c r="M3177" s="2"/>
    </row>
    <row r="3178" spans="2:13">
      <c r="B3178" s="2"/>
      <c r="C3178" s="1">
        <v>5.4701648330000001</v>
      </c>
      <c r="D3178" s="1">
        <v>0.21106651800000001</v>
      </c>
      <c r="E3178" s="1"/>
      <c r="H3178" s="2">
        <v>83.260943499999996</v>
      </c>
      <c r="I3178" s="2">
        <v>11.5045351</v>
      </c>
      <c r="J3178" s="2">
        <v>7.4390236400000003</v>
      </c>
      <c r="L3178" s="2"/>
      <c r="M3178" s="2"/>
    </row>
    <row r="3179" spans="2:13">
      <c r="B3179" s="2"/>
      <c r="C3179" s="1">
        <v>71.613272730000006</v>
      </c>
      <c r="D3179" s="1">
        <v>0.29681229100000001</v>
      </c>
      <c r="E3179" s="1"/>
      <c r="H3179" s="2">
        <v>4.3361357199999997</v>
      </c>
      <c r="I3179" s="2">
        <v>4.1509606400000001</v>
      </c>
      <c r="J3179" s="2">
        <v>11.8190095</v>
      </c>
      <c r="L3179" s="2"/>
      <c r="M3179" s="2"/>
    </row>
    <row r="3180" spans="2:13">
      <c r="B3180" s="2"/>
      <c r="C3180" s="1">
        <v>7.4746843969999999</v>
      </c>
      <c r="D3180" s="1">
        <v>0.13191657400000001</v>
      </c>
      <c r="E3180" s="1"/>
      <c r="H3180" s="2">
        <v>12.6455755</v>
      </c>
      <c r="I3180" s="2">
        <v>12.732722000000001</v>
      </c>
      <c r="J3180" s="2">
        <v>7.05664392</v>
      </c>
      <c r="L3180" s="2"/>
      <c r="M3180" s="2"/>
    </row>
    <row r="3181" spans="2:13">
      <c r="B3181" s="2"/>
      <c r="C3181" s="1">
        <v>25.913849299999999</v>
      </c>
      <c r="D3181" s="1">
        <v>0.57383709699999996</v>
      </c>
      <c r="E3181" s="1"/>
      <c r="H3181" s="2">
        <v>10.337728200000001</v>
      </c>
      <c r="I3181" s="2">
        <v>10.3229883</v>
      </c>
      <c r="J3181" s="2">
        <v>8.0647359099999996</v>
      </c>
      <c r="L3181" s="2"/>
      <c r="M3181" s="2"/>
    </row>
    <row r="3182" spans="2:13">
      <c r="B3182" s="2"/>
      <c r="C3182" s="1">
        <v>10.771273799999999</v>
      </c>
      <c r="D3182" s="1">
        <v>1.4840614569999999</v>
      </c>
      <c r="E3182" s="1"/>
      <c r="H3182" s="2">
        <v>14.382409000000001</v>
      </c>
      <c r="I3182" s="2">
        <v>8.4262946400000001</v>
      </c>
      <c r="J3182" s="2">
        <v>3.5109410699999999</v>
      </c>
      <c r="L3182" s="2"/>
      <c r="M3182" s="2"/>
    </row>
    <row r="3183" spans="2:13">
      <c r="B3183" s="2"/>
      <c r="C3183" s="1">
        <v>12.30485202</v>
      </c>
      <c r="D3183" s="1">
        <v>4.5775051160000002</v>
      </c>
      <c r="E3183" s="1"/>
      <c r="H3183" s="2">
        <v>9.7012858099999999</v>
      </c>
      <c r="I3183" s="2">
        <v>2.86058711</v>
      </c>
      <c r="J3183" s="2">
        <v>13.0009105</v>
      </c>
      <c r="L3183" s="2"/>
      <c r="M3183" s="2"/>
    </row>
    <row r="3184" spans="2:13">
      <c r="B3184" s="2"/>
      <c r="C3184" s="1">
        <v>7.7765698739999998</v>
      </c>
      <c r="D3184" s="1">
        <v>1.7347029469999999</v>
      </c>
      <c r="E3184" s="1"/>
      <c r="H3184" s="2">
        <v>9.4990517699999995</v>
      </c>
      <c r="I3184" s="2">
        <v>15.329015699999999</v>
      </c>
      <c r="J3184" s="2">
        <v>96.846354500000004</v>
      </c>
      <c r="L3184" s="2"/>
      <c r="M3184" s="2"/>
    </row>
    <row r="3185" spans="2:13">
      <c r="B3185" s="2"/>
      <c r="C3185" s="1">
        <v>4.3350754419999999</v>
      </c>
      <c r="D3185" s="1">
        <v>0.92341601799999995</v>
      </c>
      <c r="E3185" s="1"/>
      <c r="H3185" s="2">
        <v>4.0446807800000002</v>
      </c>
      <c r="I3185" s="2">
        <v>54.413341799999998</v>
      </c>
      <c r="J3185" s="2">
        <v>101.400149</v>
      </c>
      <c r="L3185" s="2"/>
      <c r="M3185" s="2"/>
    </row>
    <row r="3186" spans="2:13">
      <c r="B3186" s="2"/>
      <c r="C3186" s="1">
        <v>2.2339525259999999</v>
      </c>
      <c r="D3186" s="1">
        <v>2.2030067849999999</v>
      </c>
      <c r="E3186" s="1"/>
      <c r="H3186" s="2">
        <v>17.867972200000001</v>
      </c>
      <c r="I3186" s="2">
        <v>139.12714199999999</v>
      </c>
      <c r="J3186" s="2">
        <v>28.1918139</v>
      </c>
      <c r="L3186" s="2"/>
      <c r="M3186" s="2"/>
    </row>
    <row r="3187" spans="2:13">
      <c r="B3187" s="2"/>
      <c r="C3187" s="1">
        <v>5.7660125999999998</v>
      </c>
      <c r="D3187" s="1">
        <v>2.803227197</v>
      </c>
      <c r="E3187" s="1"/>
      <c r="H3187" s="2">
        <v>80.215536799999995</v>
      </c>
      <c r="I3187" s="2">
        <v>26.491524099999999</v>
      </c>
      <c r="J3187" s="2">
        <v>20.926599199999998</v>
      </c>
      <c r="L3187" s="2"/>
      <c r="M3187" s="2"/>
    </row>
    <row r="3188" spans="2:13">
      <c r="B3188" s="2"/>
      <c r="C3188" s="1">
        <v>14.412012649999999</v>
      </c>
      <c r="D3188" s="1">
        <v>1.437890656</v>
      </c>
      <c r="E3188" s="1"/>
      <c r="H3188" s="2">
        <v>86.919000299999993</v>
      </c>
      <c r="I3188" s="2">
        <v>17.225709299999998</v>
      </c>
      <c r="J3188" s="2">
        <v>41.853198399999997</v>
      </c>
      <c r="L3188" s="2"/>
      <c r="M3188" s="2"/>
    </row>
    <row r="3189" spans="2:13">
      <c r="B3189" s="2"/>
      <c r="C3189" s="1">
        <v>89.823004670000003</v>
      </c>
      <c r="D3189" s="1">
        <v>7.156474137</v>
      </c>
      <c r="E3189" s="1"/>
      <c r="H3189" s="2">
        <v>32.851135200000002</v>
      </c>
      <c r="I3189" s="2">
        <v>58.8907825</v>
      </c>
      <c r="J3189" s="2">
        <v>77.101656300000002</v>
      </c>
      <c r="L3189" s="2"/>
      <c r="M3189" s="2"/>
    </row>
    <row r="3190" spans="2:13">
      <c r="B3190" s="2"/>
      <c r="C3190" s="1">
        <v>31.124392619999998</v>
      </c>
      <c r="D3190" s="1">
        <v>0.39574972200000003</v>
      </c>
      <c r="E3190" s="1"/>
      <c r="H3190" s="2">
        <v>23.239070300000002</v>
      </c>
      <c r="I3190" s="2">
        <v>56.652062100000002</v>
      </c>
      <c r="J3190" s="2">
        <v>35.491790399999999</v>
      </c>
      <c r="L3190" s="2"/>
      <c r="M3190" s="2"/>
    </row>
    <row r="3191" spans="2:13">
      <c r="B3191" s="2"/>
      <c r="C3191" s="1">
        <v>14.2550322</v>
      </c>
      <c r="D3191" s="1">
        <v>0.93001184599999998</v>
      </c>
      <c r="E3191" s="1"/>
      <c r="H3191" s="2">
        <v>44.824579900000003</v>
      </c>
      <c r="I3191" s="2">
        <v>21.236750000000001</v>
      </c>
      <c r="J3191" s="2">
        <v>23.533733699999999</v>
      </c>
      <c r="L3191" s="2"/>
      <c r="M3191" s="2"/>
    </row>
    <row r="3192" spans="2:13">
      <c r="B3192" s="2"/>
      <c r="C3192" s="1">
        <v>44.980935989999999</v>
      </c>
      <c r="D3192" s="1">
        <v>2.315135873</v>
      </c>
      <c r="E3192" s="1"/>
      <c r="H3192" s="2">
        <v>82.695877800000005</v>
      </c>
      <c r="I3192" s="2">
        <v>24.921310500000001</v>
      </c>
      <c r="J3192" s="2">
        <v>14.009002499999999</v>
      </c>
      <c r="L3192" s="2"/>
      <c r="M3192" s="2"/>
    </row>
    <row r="3193" spans="2:13">
      <c r="B3193" s="2"/>
      <c r="C3193" s="1">
        <v>25.183286450000001</v>
      </c>
      <c r="D3193" s="1">
        <v>0.38255806399999998</v>
      </c>
      <c r="E3193" s="1"/>
      <c r="H3193" s="2">
        <v>34.742618299999997</v>
      </c>
      <c r="I3193" s="2">
        <v>9.6078414900000002</v>
      </c>
      <c r="J3193" s="2">
        <v>17.380896400000001</v>
      </c>
      <c r="L3193" s="2"/>
      <c r="M3193" s="2"/>
    </row>
    <row r="3194" spans="2:13">
      <c r="B3194" s="2"/>
      <c r="C3194" s="1">
        <v>22.442166319999998</v>
      </c>
      <c r="D3194" s="1">
        <v>1.5895947159999999</v>
      </c>
      <c r="E3194" s="1"/>
      <c r="H3194" s="2">
        <v>22.971407599999999</v>
      </c>
      <c r="I3194" s="2">
        <v>16.774855899999999</v>
      </c>
      <c r="J3194" s="2">
        <v>25.341346900000001</v>
      </c>
      <c r="L3194" s="2"/>
      <c r="M3194" s="2"/>
    </row>
    <row r="3195" spans="2:13">
      <c r="B3195" s="2"/>
      <c r="C3195" s="1">
        <v>31.220995980000001</v>
      </c>
      <c r="D3195" s="1">
        <v>3.0802520019999999</v>
      </c>
      <c r="E3195" s="1"/>
      <c r="H3195" s="2">
        <v>17.3504909</v>
      </c>
      <c r="I3195" s="2">
        <v>32.134965000000001</v>
      </c>
      <c r="J3195" s="2">
        <v>7.1261675100000001</v>
      </c>
      <c r="L3195" s="2"/>
      <c r="M3195" s="2"/>
    </row>
    <row r="3196" spans="2:13">
      <c r="B3196" s="2"/>
      <c r="C3196" s="1">
        <v>5.6452584100000003</v>
      </c>
      <c r="D3196" s="1">
        <v>0.36277057800000001</v>
      </c>
      <c r="E3196" s="1"/>
      <c r="H3196" s="2">
        <v>23.471044599999999</v>
      </c>
      <c r="I3196" s="2">
        <v>9.4057347900000003</v>
      </c>
      <c r="J3196" s="2">
        <v>44.356047500000003</v>
      </c>
      <c r="L3196" s="2"/>
      <c r="M3196" s="2"/>
    </row>
    <row r="3197" spans="2:13">
      <c r="B3197" s="2"/>
      <c r="C3197" s="1">
        <v>14.29125846</v>
      </c>
      <c r="D3197" s="1">
        <v>1.701723804</v>
      </c>
      <c r="E3197" s="1"/>
      <c r="H3197" s="2">
        <v>30.846639</v>
      </c>
      <c r="I3197" s="2">
        <v>48.1946741</v>
      </c>
      <c r="J3197" s="2">
        <v>33.127988500000001</v>
      </c>
      <c r="L3197" s="2"/>
      <c r="M3197" s="2"/>
    </row>
    <row r="3198" spans="2:13">
      <c r="B3198" s="2"/>
      <c r="C3198" s="1">
        <v>42.746983470000004</v>
      </c>
      <c r="D3198" s="1">
        <v>0.474899666</v>
      </c>
      <c r="E3198" s="1"/>
      <c r="H3198" s="2">
        <v>9.0826875699999992</v>
      </c>
      <c r="I3198" s="2">
        <v>30.5802981</v>
      </c>
      <c r="J3198" s="2">
        <v>2.3638019099999998</v>
      </c>
      <c r="L3198" s="2"/>
      <c r="M3198" s="2"/>
    </row>
    <row r="3199" spans="2:13">
      <c r="B3199" s="2"/>
      <c r="C3199" s="1">
        <v>3.8460209700000001</v>
      </c>
      <c r="D3199" s="1">
        <v>3.7266432140000001</v>
      </c>
      <c r="E3199" s="1"/>
      <c r="H3199" s="2">
        <v>40.3456908</v>
      </c>
      <c r="I3199" s="2">
        <v>7.1514677799999999</v>
      </c>
      <c r="J3199" s="2">
        <v>27.1489601</v>
      </c>
      <c r="L3199" s="2"/>
      <c r="M3199" s="2"/>
    </row>
    <row r="3200" spans="2:13">
      <c r="B3200" s="2"/>
      <c r="C3200" s="1">
        <v>21.892734749999999</v>
      </c>
      <c r="D3200" s="1">
        <v>0.41553720799999999</v>
      </c>
      <c r="E3200" s="1"/>
      <c r="H3200" s="2">
        <v>48.458844599999999</v>
      </c>
      <c r="I3200" s="2">
        <v>19.5110697</v>
      </c>
      <c r="J3200" s="2">
        <v>9.0033043199999998</v>
      </c>
      <c r="L3200" s="2"/>
      <c r="M3200" s="2"/>
    </row>
    <row r="3201" spans="2:13">
      <c r="B3201" s="2"/>
      <c r="C3201" s="1">
        <v>45.240557500000001</v>
      </c>
      <c r="D3201" s="1">
        <v>2.625139822</v>
      </c>
      <c r="E3201" s="1"/>
      <c r="H3201" s="2">
        <v>4.4491488600000002</v>
      </c>
      <c r="I3201" s="2">
        <v>5.65898754</v>
      </c>
      <c r="J3201" s="2">
        <v>37.368927200000002</v>
      </c>
      <c r="L3201" s="2"/>
      <c r="M3201" s="2"/>
    </row>
    <row r="3202" spans="2:13">
      <c r="B3202" s="2"/>
      <c r="C3202" s="1">
        <v>10.20976681</v>
      </c>
      <c r="D3202" s="1">
        <v>1.945769466</v>
      </c>
      <c r="E3202" s="1"/>
      <c r="H3202" s="2">
        <v>33.576798500000002</v>
      </c>
      <c r="I3202" s="2">
        <v>47.495074000000002</v>
      </c>
      <c r="J3202" s="2">
        <v>6.5352170300000001</v>
      </c>
      <c r="L3202" s="2"/>
      <c r="M3202" s="2"/>
    </row>
    <row r="3203" spans="2:13">
      <c r="B3203" s="2"/>
      <c r="C3203" s="1">
        <v>13.21654616</v>
      </c>
      <c r="D3203" s="1">
        <v>1.582998887</v>
      </c>
      <c r="E3203" s="1"/>
      <c r="H3203" s="2">
        <v>11.307262</v>
      </c>
      <c r="I3203" s="2">
        <v>13.152481999999999</v>
      </c>
      <c r="J3203" s="2">
        <v>44.738427199999997</v>
      </c>
      <c r="L3203" s="2"/>
      <c r="M3203" s="2"/>
    </row>
    <row r="3204" spans="2:13">
      <c r="B3204" s="2"/>
      <c r="C3204" s="1">
        <v>6.5871410959999999</v>
      </c>
      <c r="D3204" s="1">
        <v>1.127886707</v>
      </c>
      <c r="E3204" s="1"/>
      <c r="H3204" s="2">
        <v>48.9703777</v>
      </c>
      <c r="I3204" s="2">
        <v>27.641977600000001</v>
      </c>
      <c r="J3204" s="2">
        <v>39.350349399999999</v>
      </c>
      <c r="L3204" s="2"/>
      <c r="M3204" s="2"/>
    </row>
    <row r="3205" spans="2:13">
      <c r="B3205" s="2"/>
      <c r="C3205" s="1">
        <v>109.39725900000001</v>
      </c>
      <c r="D3205" s="1">
        <v>12.683778589999999</v>
      </c>
      <c r="E3205" s="1"/>
      <c r="H3205" s="2">
        <v>9.8083508899999998</v>
      </c>
      <c r="I3205" s="2">
        <v>42.3802199</v>
      </c>
      <c r="J3205" s="2">
        <v>32.9889413</v>
      </c>
      <c r="L3205" s="2"/>
      <c r="M3205" s="2"/>
    </row>
    <row r="3206" spans="2:13">
      <c r="B3206" s="2"/>
      <c r="C3206" s="1">
        <v>5.3131843859999996</v>
      </c>
      <c r="D3206" s="1">
        <v>0.83107441599999998</v>
      </c>
      <c r="E3206" s="1"/>
      <c r="H3206" s="2">
        <v>44.866216399999999</v>
      </c>
      <c r="I3206" s="2">
        <v>33.161045100000003</v>
      </c>
      <c r="J3206" s="2">
        <v>14.5999529</v>
      </c>
      <c r="L3206" s="2"/>
      <c r="M3206" s="2"/>
    </row>
    <row r="3207" spans="2:13">
      <c r="B3207" s="2"/>
      <c r="C3207" s="1">
        <v>70.894785290000002</v>
      </c>
      <c r="D3207" s="1">
        <v>0.12532074500000001</v>
      </c>
      <c r="E3207" s="1"/>
      <c r="H3207" s="2">
        <v>38.9954812</v>
      </c>
      <c r="I3207" s="2">
        <v>18.251789500000001</v>
      </c>
      <c r="J3207" s="2">
        <v>79.986885099999995</v>
      </c>
      <c r="L3207" s="2"/>
      <c r="M3207" s="2"/>
    </row>
    <row r="3208" spans="2:13">
      <c r="B3208" s="2"/>
      <c r="C3208" s="1">
        <v>54.085801959999998</v>
      </c>
      <c r="D3208" s="1">
        <v>155.7209197</v>
      </c>
      <c r="E3208" s="1"/>
      <c r="H3208" s="2">
        <v>35.860853599999999</v>
      </c>
      <c r="I3208" s="2">
        <v>68.234330600000007</v>
      </c>
      <c r="J3208" s="2">
        <v>19.709936500000001</v>
      </c>
      <c r="L3208" s="2"/>
      <c r="M3208" s="2"/>
    </row>
    <row r="3209" spans="2:13">
      <c r="B3209" s="2"/>
      <c r="C3209" s="1">
        <v>20.66707972</v>
      </c>
      <c r="D3209" s="1">
        <v>0.59362458299999998</v>
      </c>
      <c r="E3209" s="1"/>
      <c r="H3209" s="2">
        <v>19.818935799999998</v>
      </c>
      <c r="I3209" s="2">
        <v>19.5577097</v>
      </c>
      <c r="J3209" s="2">
        <v>6.81331138</v>
      </c>
      <c r="L3209" s="2"/>
      <c r="M3209" s="2"/>
    </row>
    <row r="3210" spans="2:13">
      <c r="B3210" s="2"/>
      <c r="C3210" s="1">
        <v>22.490468</v>
      </c>
      <c r="D3210" s="1">
        <v>1.1344825359999999</v>
      </c>
      <c r="E3210" s="1"/>
      <c r="H3210" s="2">
        <v>70.038406100000003</v>
      </c>
      <c r="I3210" s="2">
        <v>9.91877487</v>
      </c>
      <c r="J3210" s="2">
        <v>17.693752499999999</v>
      </c>
      <c r="L3210" s="2"/>
      <c r="M3210" s="2"/>
    </row>
    <row r="3211" spans="2:13">
      <c r="B3211" s="2"/>
      <c r="C3211" s="1">
        <v>98.650136000000003</v>
      </c>
      <c r="D3211" s="1">
        <v>1.4510823129999999</v>
      </c>
      <c r="E3211" s="1"/>
      <c r="H3211" s="2">
        <v>20.949067200000002</v>
      </c>
      <c r="I3211" s="2">
        <v>26.973470899999999</v>
      </c>
      <c r="J3211" s="2">
        <v>20.161839799999999</v>
      </c>
      <c r="L3211" s="2"/>
      <c r="M3211" s="2"/>
    </row>
    <row r="3212" spans="2:13">
      <c r="B3212" s="2"/>
      <c r="C3212" s="1">
        <v>24.138762700000001</v>
      </c>
      <c r="D3212" s="1">
        <v>1.7149154609999999</v>
      </c>
      <c r="E3212" s="1"/>
      <c r="H3212" s="2">
        <v>6.4536450700000003</v>
      </c>
      <c r="I3212" s="2">
        <v>30.005071300000001</v>
      </c>
      <c r="J3212" s="2">
        <v>14.565191199999999</v>
      </c>
      <c r="L3212" s="2"/>
      <c r="M3212" s="2"/>
    </row>
    <row r="3213" spans="2:13">
      <c r="B3213" s="2"/>
      <c r="C3213" s="1">
        <v>6.8346871870000001</v>
      </c>
      <c r="D3213" s="1">
        <v>0.32979143500000002</v>
      </c>
      <c r="E3213" s="1"/>
      <c r="H3213" s="2">
        <v>25.8740609</v>
      </c>
      <c r="I3213" s="2">
        <v>10.649468300000001</v>
      </c>
      <c r="J3213" s="2">
        <v>23.2904011</v>
      </c>
      <c r="L3213" s="2"/>
      <c r="M3213" s="2"/>
    </row>
    <row r="3214" spans="2:13">
      <c r="B3214" s="2"/>
      <c r="C3214" s="1">
        <v>12.83617046</v>
      </c>
      <c r="D3214" s="1">
        <v>2.1436443270000001</v>
      </c>
      <c r="E3214" s="1"/>
      <c r="H3214" s="2">
        <v>23.7208632</v>
      </c>
      <c r="I3214" s="2">
        <v>22.7292302</v>
      </c>
      <c r="J3214" s="2">
        <v>24.576587499999999</v>
      </c>
      <c r="L3214" s="2"/>
      <c r="M3214" s="2"/>
    </row>
    <row r="3215" spans="2:13">
      <c r="B3215" s="2"/>
      <c r="C3215" s="1">
        <v>31.166656589999999</v>
      </c>
      <c r="D3215" s="1">
        <v>0.43532469400000001</v>
      </c>
      <c r="E3215" s="1"/>
      <c r="H3215" s="2">
        <v>17.5051405</v>
      </c>
      <c r="I3215" s="2">
        <v>25.170057199999999</v>
      </c>
      <c r="J3215" s="2">
        <v>9.6637783800000001</v>
      </c>
      <c r="L3215" s="2"/>
      <c r="M3215" s="2"/>
    </row>
    <row r="3216" spans="2:13">
      <c r="B3216" s="2"/>
      <c r="C3216" s="1">
        <v>37.192290700000001</v>
      </c>
      <c r="D3216" s="1">
        <v>0.94320350399999997</v>
      </c>
      <c r="E3216" s="1"/>
      <c r="H3216" s="2">
        <v>25.422008300000002</v>
      </c>
      <c r="I3216" s="2">
        <v>11.6910951</v>
      </c>
      <c r="J3216" s="2">
        <v>26.001821</v>
      </c>
      <c r="L3216" s="2"/>
      <c r="M3216" s="2"/>
    </row>
    <row r="3217" spans="2:13">
      <c r="B3217" s="2"/>
      <c r="C3217" s="1">
        <v>30.30930184</v>
      </c>
      <c r="D3217" s="1">
        <v>5.4151753610000002</v>
      </c>
      <c r="E3217" s="1"/>
      <c r="H3217" s="2">
        <v>25.9097492</v>
      </c>
      <c r="I3217" s="2">
        <v>23.475470300000001</v>
      </c>
      <c r="J3217" s="2">
        <v>14.495667600000001</v>
      </c>
      <c r="L3217" s="2"/>
      <c r="M3217" s="2"/>
    </row>
    <row r="3218" spans="2:13">
      <c r="B3218" s="2"/>
      <c r="C3218" s="1">
        <v>13.029377159999999</v>
      </c>
      <c r="D3218" s="1">
        <v>0.41553720799999999</v>
      </c>
      <c r="E3218" s="1"/>
      <c r="H3218" s="2">
        <v>11.289417800000001</v>
      </c>
      <c r="I3218" s="2">
        <v>12.717175299999999</v>
      </c>
      <c r="J3218" s="2">
        <v>41.157962599999998</v>
      </c>
      <c r="L3218" s="2"/>
      <c r="M3218" s="2"/>
    </row>
    <row r="3219" spans="2:13">
      <c r="B3219" s="2"/>
      <c r="C3219" s="1">
        <v>6.8105363490000004</v>
      </c>
      <c r="D3219" s="1">
        <v>0.58702875399999999</v>
      </c>
      <c r="E3219" s="1"/>
      <c r="H3219" s="2">
        <v>25.951385599999998</v>
      </c>
      <c r="I3219" s="2">
        <v>26.771364200000001</v>
      </c>
      <c r="J3219" s="2">
        <v>92.188274300000003</v>
      </c>
      <c r="L3219" s="2"/>
      <c r="M3219" s="2"/>
    </row>
    <row r="3220" spans="2:13">
      <c r="B3220" s="2"/>
      <c r="C3220" s="1">
        <v>44.334901070000001</v>
      </c>
      <c r="D3220" s="1">
        <v>0.60022041100000001</v>
      </c>
      <c r="E3220" s="1"/>
      <c r="H3220" s="2">
        <v>18.159427099999998</v>
      </c>
      <c r="I3220" s="2">
        <v>87.310093600000002</v>
      </c>
      <c r="J3220" s="2">
        <v>10.011396299999999</v>
      </c>
      <c r="L3220" s="2"/>
      <c r="M3220" s="2"/>
    </row>
    <row r="3221" spans="2:13">
      <c r="B3221" s="2"/>
      <c r="C3221" s="1">
        <v>5.6814846670000003</v>
      </c>
      <c r="D3221" s="1">
        <v>0.35617474999999998</v>
      </c>
      <c r="E3221" s="1"/>
      <c r="H3221" s="2">
        <v>36.586516899999999</v>
      </c>
      <c r="I3221" s="2">
        <v>8.9548813900000006</v>
      </c>
      <c r="J3221" s="2">
        <v>15.260427</v>
      </c>
      <c r="L3221" s="2"/>
      <c r="M3221" s="2"/>
    </row>
    <row r="3222" spans="2:13">
      <c r="B3222" s="2"/>
      <c r="C3222" s="1">
        <v>40.555294910000001</v>
      </c>
      <c r="D3222" s="1">
        <v>0.44851635099999998</v>
      </c>
      <c r="E3222" s="1"/>
      <c r="H3222" s="2">
        <v>82.374682500000006</v>
      </c>
      <c r="I3222" s="2">
        <v>10.307441600000001</v>
      </c>
      <c r="J3222" s="2">
        <v>7.8214033599999997</v>
      </c>
      <c r="L3222" s="2"/>
      <c r="M3222" s="2"/>
    </row>
    <row r="3223" spans="2:13">
      <c r="B3223" s="2"/>
      <c r="C3223" s="1">
        <v>72.204968260000001</v>
      </c>
      <c r="D3223" s="1">
        <v>0.72554115699999999</v>
      </c>
      <c r="E3223" s="1"/>
      <c r="H3223" s="2">
        <v>10.7719366</v>
      </c>
      <c r="I3223" s="2">
        <v>15.313469</v>
      </c>
      <c r="J3223" s="2">
        <v>13.939478899999999</v>
      </c>
      <c r="L3223" s="2"/>
      <c r="M3223" s="2"/>
    </row>
    <row r="3224" spans="2:13">
      <c r="B3224" s="2"/>
      <c r="C3224" s="1">
        <v>20.141798990000002</v>
      </c>
      <c r="D3224" s="1">
        <v>0.72554115699999999</v>
      </c>
      <c r="E3224" s="1"/>
      <c r="H3224" s="2">
        <v>15.4114234</v>
      </c>
      <c r="I3224" s="2">
        <v>9.5612014799999994</v>
      </c>
      <c r="J3224" s="2">
        <v>9.7333019600000004</v>
      </c>
      <c r="L3224" s="2"/>
      <c r="M3224" s="2"/>
    </row>
    <row r="3225" spans="2:13">
      <c r="B3225" s="2"/>
      <c r="C3225" s="1">
        <v>13.92899588</v>
      </c>
      <c r="D3225" s="1">
        <v>0.164895717</v>
      </c>
      <c r="E3225" s="1"/>
      <c r="H3225" s="2">
        <v>8.9458821900000007</v>
      </c>
      <c r="I3225" s="2">
        <v>7.8977078900000004</v>
      </c>
      <c r="J3225" s="2">
        <v>14.8432855</v>
      </c>
      <c r="L3225" s="2"/>
      <c r="M3225" s="2"/>
    </row>
    <row r="3226" spans="2:13">
      <c r="B3226" s="2"/>
      <c r="C3226" s="1">
        <v>7.9999651260000002</v>
      </c>
      <c r="D3226" s="1">
        <v>0.52766629600000003</v>
      </c>
      <c r="E3226" s="1"/>
      <c r="H3226" s="2">
        <v>16.8746461</v>
      </c>
      <c r="I3226" s="2">
        <v>24.423817100000001</v>
      </c>
      <c r="J3226" s="2">
        <v>27.878957799999998</v>
      </c>
      <c r="L3226" s="2"/>
      <c r="M3226" s="2"/>
    </row>
    <row r="3227" spans="2:13">
      <c r="B3227" s="2"/>
      <c r="C3227" s="1">
        <v>14.104089460000001</v>
      </c>
      <c r="D3227" s="1">
        <v>0.83767024499999998</v>
      </c>
      <c r="E3227" s="1"/>
      <c r="H3227" s="2">
        <v>13.044095499999999</v>
      </c>
      <c r="I3227" s="2">
        <v>34.824538699999998</v>
      </c>
      <c r="J3227" s="2">
        <v>1.4252335</v>
      </c>
      <c r="L3227" s="2"/>
      <c r="M3227" s="2"/>
    </row>
    <row r="3228" spans="2:13">
      <c r="B3228" s="2"/>
      <c r="C3228" s="1">
        <v>14.556917670000001</v>
      </c>
      <c r="D3228" s="1">
        <v>1.6291696879999999</v>
      </c>
      <c r="E3228" s="1"/>
      <c r="H3228" s="2">
        <v>14.983163100000001</v>
      </c>
      <c r="I3228" s="2">
        <v>2.3009070199999999</v>
      </c>
      <c r="J3228" s="2">
        <v>8.5514010099999993</v>
      </c>
      <c r="L3228" s="2"/>
      <c r="M3228" s="2"/>
    </row>
    <row r="3229" spans="2:13">
      <c r="B3229" s="2"/>
      <c r="C3229" s="1">
        <v>19.036898149999999</v>
      </c>
      <c r="D3229" s="1">
        <v>1.2729949389999999</v>
      </c>
      <c r="E3229" s="1"/>
      <c r="H3229" s="2">
        <v>30.454066999999998</v>
      </c>
      <c r="I3229" s="2">
        <v>14.9092556</v>
      </c>
      <c r="J3229" s="2">
        <v>10.741394</v>
      </c>
      <c r="L3229" s="2"/>
      <c r="M3229" s="2"/>
    </row>
    <row r="3230" spans="2:13">
      <c r="B3230" s="2"/>
      <c r="C3230" s="1">
        <v>5.1320531000000003</v>
      </c>
      <c r="D3230" s="1">
        <v>1.0223534480000001</v>
      </c>
      <c r="E3230" s="1"/>
      <c r="H3230" s="2">
        <v>2.5636138499999999</v>
      </c>
      <c r="I3230" s="2">
        <v>14.1630155</v>
      </c>
      <c r="J3230" s="2">
        <v>55.236488600000001</v>
      </c>
      <c r="L3230" s="2"/>
      <c r="M3230" s="2"/>
    </row>
    <row r="3231" spans="2:13">
      <c r="B3231" s="2"/>
      <c r="C3231" s="1">
        <v>1.4550879969999999</v>
      </c>
      <c r="D3231" s="1">
        <v>0.13851240300000001</v>
      </c>
      <c r="E3231" s="1"/>
      <c r="H3231" s="2">
        <v>12.722900299999999</v>
      </c>
      <c r="I3231" s="2">
        <v>43.421846700000003</v>
      </c>
      <c r="J3231" s="2">
        <v>24.437540299999998</v>
      </c>
      <c r="L3231" s="2"/>
      <c r="M3231" s="2"/>
    </row>
    <row r="3232" spans="2:13">
      <c r="B3232" s="2"/>
      <c r="C3232" s="1">
        <v>18.873879989999999</v>
      </c>
      <c r="D3232" s="1">
        <v>0.94320350399999997</v>
      </c>
      <c r="E3232" s="1"/>
      <c r="H3232" s="2">
        <v>13.3652908</v>
      </c>
      <c r="I3232" s="2">
        <v>23.801950399999999</v>
      </c>
      <c r="J3232" s="2">
        <v>13.835193500000001</v>
      </c>
      <c r="L3232" s="2"/>
      <c r="M3232" s="2"/>
    </row>
    <row r="3233" spans="2:13">
      <c r="B3233" s="2"/>
      <c r="C3233" s="1">
        <v>13.34937577</v>
      </c>
      <c r="D3233" s="1">
        <v>0.112129088</v>
      </c>
      <c r="E3233" s="1"/>
      <c r="H3233" s="2">
        <v>49.172611799999999</v>
      </c>
      <c r="I3233" s="2">
        <v>14.847068999999999</v>
      </c>
      <c r="J3233" s="2">
        <v>1.28618633</v>
      </c>
      <c r="L3233" s="2"/>
      <c r="M3233" s="2"/>
    </row>
    <row r="3234" spans="2:13">
      <c r="B3234" s="2"/>
      <c r="C3234" s="1">
        <v>14.2550322</v>
      </c>
      <c r="D3234" s="1">
        <v>1.0553325920000001</v>
      </c>
      <c r="E3234" s="1"/>
      <c r="H3234" s="2">
        <v>25.529073400000001</v>
      </c>
      <c r="I3234" s="2">
        <v>2.2853603499999999</v>
      </c>
      <c r="J3234" s="2">
        <v>24.9589672</v>
      </c>
      <c r="L3234" s="2"/>
      <c r="M3234" s="2"/>
    </row>
    <row r="3235" spans="2:13">
      <c r="B3235" s="2"/>
      <c r="C3235" s="1">
        <v>42.052646869999997</v>
      </c>
      <c r="D3235" s="1">
        <v>2.7768438820000001</v>
      </c>
      <c r="E3235" s="1"/>
      <c r="H3235" s="2">
        <v>16.636723700000001</v>
      </c>
      <c r="I3235" s="2">
        <v>18.858109599999999</v>
      </c>
      <c r="J3235" s="2">
        <v>1.70332784</v>
      </c>
      <c r="L3235" s="2"/>
      <c r="M3235" s="2"/>
    </row>
    <row r="3236" spans="2:13">
      <c r="B3236" s="2"/>
      <c r="C3236" s="1">
        <v>17.901808750000001</v>
      </c>
      <c r="D3236" s="1">
        <v>0.33638726400000002</v>
      </c>
      <c r="E3236" s="1"/>
      <c r="H3236" s="2">
        <v>2.5100813099999999</v>
      </c>
      <c r="I3236" s="2">
        <v>1.9588802999999999</v>
      </c>
      <c r="J3236" s="2">
        <v>11.4713916</v>
      </c>
      <c r="L3236" s="2"/>
      <c r="M3236" s="2"/>
    </row>
    <row r="3237" spans="2:13">
      <c r="B3237" s="2"/>
      <c r="C3237" s="1">
        <v>3.9667751610000002</v>
      </c>
      <c r="D3237" s="1">
        <v>0.58702875399999999</v>
      </c>
      <c r="E3237" s="1"/>
      <c r="H3237" s="2">
        <v>30.727677799999999</v>
      </c>
      <c r="I3237" s="2">
        <v>19.122402999999998</v>
      </c>
      <c r="J3237" s="2">
        <v>32.571799800000001</v>
      </c>
      <c r="L3237" s="2"/>
      <c r="M3237" s="2"/>
    </row>
    <row r="3238" spans="2:13">
      <c r="B3238" s="2"/>
      <c r="C3238" s="1">
        <v>23.402162140000002</v>
      </c>
      <c r="D3238" s="1">
        <v>5.2766630000000002E-2</v>
      </c>
      <c r="E3238" s="1"/>
      <c r="H3238" s="2">
        <v>2.8193804299999998</v>
      </c>
      <c r="I3238" s="2">
        <v>38.353632599999997</v>
      </c>
      <c r="J3238" s="2">
        <v>15.9209011</v>
      </c>
      <c r="L3238" s="2"/>
      <c r="M3238" s="2"/>
    </row>
    <row r="3239" spans="2:13">
      <c r="B3239" s="2"/>
      <c r="C3239" s="1">
        <v>1.8233882779999999</v>
      </c>
      <c r="D3239" s="1">
        <v>1.1476741930000001</v>
      </c>
      <c r="E3239" s="1"/>
      <c r="H3239" s="2">
        <v>20.776573500000001</v>
      </c>
      <c r="I3239" s="2">
        <v>12.468428599999999</v>
      </c>
      <c r="J3239" s="2">
        <v>11.089011899999999</v>
      </c>
      <c r="L3239" s="2"/>
      <c r="M3239" s="2"/>
    </row>
    <row r="3240" spans="2:13">
      <c r="B3240" s="2"/>
      <c r="C3240" s="1">
        <v>23.60140655</v>
      </c>
      <c r="D3240" s="1">
        <v>8.2909566730000002</v>
      </c>
      <c r="E3240" s="1"/>
      <c r="H3240" s="2">
        <v>40.595509300000003</v>
      </c>
      <c r="I3240" s="2">
        <v>20.5526965</v>
      </c>
      <c r="J3240" s="2">
        <v>1.70332784</v>
      </c>
      <c r="L3240" s="2"/>
      <c r="M3240" s="2"/>
    </row>
    <row r="3241" spans="2:13">
      <c r="B3241" s="2"/>
      <c r="C3241" s="1">
        <v>46.09187455</v>
      </c>
      <c r="D3241" s="1">
        <v>9.1352227460000002</v>
      </c>
      <c r="E3241" s="1"/>
      <c r="H3241" s="2">
        <v>16.702152399999999</v>
      </c>
      <c r="I3241" s="2">
        <v>1.6634935900000001</v>
      </c>
      <c r="J3241" s="2">
        <v>9.1423514899999994</v>
      </c>
      <c r="L3241" s="2"/>
      <c r="M3241" s="2"/>
    </row>
    <row r="3242" spans="2:13">
      <c r="B3242" s="2"/>
      <c r="C3242" s="1">
        <v>3.7856438749999999</v>
      </c>
      <c r="D3242" s="1">
        <v>0.70575367099999997</v>
      </c>
      <c r="E3242" s="1"/>
      <c r="H3242" s="2">
        <v>15.197293200000001</v>
      </c>
      <c r="I3242" s="2">
        <v>14.940348999999999</v>
      </c>
      <c r="J3242" s="2">
        <v>40.045585199999998</v>
      </c>
      <c r="L3242" s="2"/>
      <c r="M3242" s="2"/>
    </row>
    <row r="3243" spans="2:13">
      <c r="B3243" s="2"/>
      <c r="C3243" s="1">
        <v>8.6882640129999995</v>
      </c>
      <c r="D3243" s="1">
        <v>212.18121339999999</v>
      </c>
      <c r="E3243" s="1"/>
      <c r="H3243" s="2">
        <v>1.9569117300000001</v>
      </c>
      <c r="I3243" s="2">
        <v>34.948912100000001</v>
      </c>
      <c r="J3243" s="2">
        <v>36.638929500000003</v>
      </c>
      <c r="L3243" s="2"/>
      <c r="M3243" s="2"/>
    </row>
    <row r="3244" spans="2:13">
      <c r="B3244" s="2"/>
      <c r="C3244" s="1">
        <v>1.1713156490000001</v>
      </c>
      <c r="D3244" s="1">
        <v>0.481495495</v>
      </c>
      <c r="E3244" s="1"/>
      <c r="H3244" s="2">
        <v>12.514718200000001</v>
      </c>
      <c r="I3244" s="2">
        <v>25.434350599999998</v>
      </c>
      <c r="J3244" s="2">
        <v>11.019488300000001</v>
      </c>
      <c r="L3244" s="2"/>
      <c r="M3244" s="2"/>
    </row>
    <row r="3245" spans="2:13">
      <c r="B3245" s="2"/>
      <c r="C3245" s="1">
        <v>13.98333527</v>
      </c>
      <c r="D3245" s="1">
        <v>1.4246989990000001</v>
      </c>
      <c r="E3245" s="1"/>
      <c r="H3245" s="2">
        <v>44.461748299999996</v>
      </c>
      <c r="I3245" s="2">
        <v>9.4834681399999994</v>
      </c>
      <c r="J3245" s="2">
        <v>27.7746724</v>
      </c>
      <c r="L3245" s="2"/>
      <c r="M3245" s="2"/>
    </row>
    <row r="3246" spans="2:13">
      <c r="B3246" s="2"/>
      <c r="C3246" s="1">
        <v>40.561332620000002</v>
      </c>
      <c r="D3246" s="1">
        <v>0.32979143500000002</v>
      </c>
      <c r="E3246" s="1"/>
      <c r="H3246" s="2">
        <v>46.002295799999999</v>
      </c>
      <c r="I3246" s="2">
        <v>31.0000581</v>
      </c>
      <c r="J3246" s="2">
        <v>3.7890354099999999</v>
      </c>
      <c r="L3246" s="2"/>
      <c r="M3246" s="2"/>
    </row>
    <row r="3247" spans="2:13">
      <c r="B3247" s="2"/>
      <c r="C3247" s="1">
        <v>53.928821509999999</v>
      </c>
      <c r="D3247" s="1">
        <v>0.21106651800000001</v>
      </c>
      <c r="E3247" s="1"/>
      <c r="H3247" s="2">
        <v>14.3943051</v>
      </c>
      <c r="I3247" s="2">
        <v>3.6690138999999999</v>
      </c>
      <c r="J3247" s="2">
        <v>20.266125200000001</v>
      </c>
      <c r="L3247" s="2"/>
      <c r="M3247" s="2"/>
    </row>
    <row r="3248" spans="2:13">
      <c r="B3248" s="2"/>
      <c r="C3248" s="1">
        <v>28.063273890000001</v>
      </c>
      <c r="D3248" s="1">
        <v>0.42213303699999999</v>
      </c>
      <c r="E3248" s="1"/>
      <c r="H3248" s="2">
        <v>33.541110199999999</v>
      </c>
      <c r="I3248" s="2">
        <v>16.619389200000001</v>
      </c>
      <c r="J3248" s="2">
        <v>12.6185308</v>
      </c>
      <c r="L3248" s="2"/>
      <c r="M3248" s="2"/>
    </row>
    <row r="3249" spans="2:13">
      <c r="B3249" s="2"/>
      <c r="C3249" s="1">
        <v>13.1139051</v>
      </c>
      <c r="D3249" s="1">
        <v>5.6064543929999999</v>
      </c>
      <c r="E3249" s="1"/>
      <c r="H3249" s="2">
        <v>5.9599560900000004</v>
      </c>
      <c r="I3249" s="2">
        <v>16.666029300000002</v>
      </c>
      <c r="J3249" s="2">
        <v>4.5885566400000002</v>
      </c>
      <c r="L3249" s="2"/>
      <c r="M3249" s="2"/>
    </row>
    <row r="3250" spans="2:13">
      <c r="B3250" s="2"/>
      <c r="C3250" s="1">
        <v>10.44523749</v>
      </c>
      <c r="D3250" s="1">
        <v>0.30340812</v>
      </c>
      <c r="E3250" s="1"/>
      <c r="H3250" s="2">
        <v>22.989251800000002</v>
      </c>
      <c r="I3250" s="2">
        <v>3.7622939199999998</v>
      </c>
      <c r="J3250" s="2">
        <v>6.3266462800000003</v>
      </c>
      <c r="L3250" s="2"/>
      <c r="M3250" s="2"/>
    </row>
    <row r="3251" spans="2:13">
      <c r="B3251" s="2"/>
      <c r="C3251" s="1">
        <v>14.69578499</v>
      </c>
      <c r="D3251" s="1">
        <v>1.002565962</v>
      </c>
      <c r="E3251" s="1"/>
      <c r="H3251" s="2">
        <v>12.651523600000001</v>
      </c>
      <c r="I3251" s="2">
        <v>7.6800545299999996</v>
      </c>
      <c r="J3251" s="2">
        <v>21.5870733</v>
      </c>
      <c r="L3251" s="2"/>
      <c r="M3251" s="2"/>
    </row>
    <row r="3252" spans="2:13">
      <c r="B3252" s="2"/>
      <c r="C3252" s="1">
        <v>4.576583823</v>
      </c>
      <c r="D3252" s="1">
        <v>0.34298309199999999</v>
      </c>
      <c r="E3252" s="1"/>
      <c r="H3252" s="2">
        <v>4.9785261900000002</v>
      </c>
      <c r="I3252" s="2">
        <v>29.507577900000001</v>
      </c>
      <c r="J3252" s="2">
        <v>7.5433090199999997</v>
      </c>
      <c r="L3252" s="2"/>
      <c r="M3252" s="2"/>
    </row>
    <row r="3253" spans="2:13">
      <c r="B3253" s="2"/>
      <c r="C3253" s="1">
        <v>3.8218701319999999</v>
      </c>
      <c r="D3253" s="1">
        <v>0.55404961100000005</v>
      </c>
      <c r="E3253" s="1"/>
      <c r="H3253" s="2">
        <v>9.8975717900000006</v>
      </c>
      <c r="I3253" s="2">
        <v>5.1770408000000003</v>
      </c>
      <c r="J3253" s="2">
        <v>13.6613845</v>
      </c>
      <c r="L3253" s="2"/>
      <c r="M3253" s="2"/>
    </row>
    <row r="3254" spans="2:13">
      <c r="B3254" s="2"/>
      <c r="C3254" s="1">
        <v>3.7192290699999999</v>
      </c>
      <c r="D3254" s="1">
        <v>1.754490434</v>
      </c>
      <c r="E3254" s="1"/>
      <c r="H3254" s="2">
        <v>37.318128299999998</v>
      </c>
      <c r="I3254" s="2">
        <v>14.893708999999999</v>
      </c>
      <c r="J3254" s="2">
        <v>7.7518797800000003</v>
      </c>
      <c r="L3254" s="2"/>
      <c r="M3254" s="2"/>
    </row>
    <row r="3255" spans="2:13">
      <c r="B3255" s="2"/>
      <c r="C3255" s="1">
        <v>95.438074529999994</v>
      </c>
      <c r="D3255" s="1">
        <v>1.1608658510000001</v>
      </c>
      <c r="E3255" s="1"/>
      <c r="H3255" s="2">
        <v>8.1726343999999997</v>
      </c>
      <c r="I3255" s="2">
        <v>6.99600109</v>
      </c>
      <c r="J3255" s="2">
        <v>7.1261675100000001</v>
      </c>
      <c r="L3255" s="2"/>
      <c r="M3255" s="2"/>
    </row>
    <row r="3256" spans="2:13">
      <c r="B3256" s="2"/>
      <c r="C3256" s="1">
        <v>6.3637458440000003</v>
      </c>
      <c r="D3256" s="1">
        <v>0.29021646299999998</v>
      </c>
      <c r="E3256" s="1"/>
      <c r="H3256" s="2">
        <v>22.9178751</v>
      </c>
      <c r="I3256" s="2">
        <v>9.4834681399999994</v>
      </c>
      <c r="J3256" s="2">
        <v>21.760882200000001</v>
      </c>
      <c r="L3256" s="2"/>
      <c r="M3256" s="2"/>
    </row>
    <row r="3257" spans="2:13">
      <c r="B3257" s="2"/>
      <c r="C3257" s="1">
        <v>19.6406691</v>
      </c>
      <c r="D3257" s="1">
        <v>1.596190545</v>
      </c>
      <c r="E3257" s="1"/>
      <c r="H3257" s="2">
        <v>12.5682507</v>
      </c>
      <c r="I3257" s="2">
        <v>29.258831199999999</v>
      </c>
      <c r="J3257" s="2">
        <v>20.127078000000001</v>
      </c>
      <c r="L3257" s="2"/>
      <c r="M3257" s="2"/>
    </row>
    <row r="3258" spans="2:13">
      <c r="B3258" s="2"/>
      <c r="C3258" s="1">
        <v>12.860321300000001</v>
      </c>
      <c r="D3258" s="1">
        <v>9.8937430000000007E-2</v>
      </c>
      <c r="E3258" s="1"/>
      <c r="H3258" s="2">
        <v>9.1957007100000006</v>
      </c>
      <c r="I3258" s="2">
        <v>16.805949300000002</v>
      </c>
      <c r="J3258" s="2">
        <v>9.4899694199999995</v>
      </c>
      <c r="L3258" s="2"/>
      <c r="M3258" s="2"/>
    </row>
    <row r="3259" spans="2:13">
      <c r="B3259" s="2"/>
      <c r="C3259" s="1">
        <v>15.233141140000001</v>
      </c>
      <c r="D3259" s="1">
        <v>0.30340812</v>
      </c>
      <c r="E3259" s="1"/>
      <c r="H3259" s="2">
        <v>26.801958200000001</v>
      </c>
      <c r="I3259" s="2">
        <v>4.8505607499999996</v>
      </c>
      <c r="J3259" s="2">
        <v>22.108500200000002</v>
      </c>
      <c r="L3259" s="2"/>
      <c r="M3259" s="2"/>
    </row>
    <row r="3260" spans="2:13">
      <c r="B3260" s="2"/>
      <c r="C3260" s="1">
        <v>62.26689837</v>
      </c>
      <c r="D3260" s="1">
        <v>0.82447858699999998</v>
      </c>
      <c r="E3260" s="1"/>
      <c r="H3260" s="2">
        <v>23.375875700000002</v>
      </c>
      <c r="I3260" s="2">
        <v>25.4032573</v>
      </c>
      <c r="J3260" s="2">
        <v>3.40665569</v>
      </c>
      <c r="L3260" s="2"/>
      <c r="M3260" s="2"/>
    </row>
    <row r="3261" spans="2:13">
      <c r="B3261" s="2"/>
      <c r="C3261" s="1">
        <v>14.68370958</v>
      </c>
      <c r="D3261" s="1">
        <v>8.7856438249999993</v>
      </c>
      <c r="E3261" s="1"/>
      <c r="H3261" s="2">
        <v>9.0053627899999995</v>
      </c>
      <c r="I3261" s="2">
        <v>2.17653367</v>
      </c>
      <c r="J3261" s="2">
        <v>8.9337807300000005</v>
      </c>
      <c r="L3261" s="2"/>
      <c r="M3261" s="2"/>
    </row>
    <row r="3262" spans="2:13">
      <c r="B3262" s="2"/>
      <c r="C3262" s="1">
        <v>8.8150559130000001</v>
      </c>
      <c r="D3262" s="1">
        <v>2.809823025</v>
      </c>
      <c r="E3262" s="1"/>
      <c r="H3262" s="2">
        <v>34.849683400000004</v>
      </c>
      <c r="I3262" s="2">
        <v>8.4729346499999991</v>
      </c>
      <c r="J3262" s="2">
        <v>5.7704575900000004</v>
      </c>
      <c r="L3262" s="2"/>
      <c r="M3262" s="2"/>
    </row>
    <row r="3263" spans="2:13">
      <c r="B3263" s="2"/>
      <c r="C3263" s="1">
        <v>38.025494610000003</v>
      </c>
      <c r="D3263" s="1">
        <v>1.2004408230000001</v>
      </c>
      <c r="E3263" s="1"/>
      <c r="H3263" s="2">
        <v>3.8008103200000001</v>
      </c>
      <c r="I3263" s="2">
        <v>7.1514677799999999</v>
      </c>
      <c r="J3263" s="2">
        <v>104.181093</v>
      </c>
      <c r="L3263" s="2"/>
      <c r="M3263" s="2"/>
    </row>
    <row r="3264" spans="2:13">
      <c r="B3264" s="2"/>
      <c r="C3264" s="1">
        <v>3.3026271120000001</v>
      </c>
      <c r="D3264" s="1">
        <v>0.46170800899999997</v>
      </c>
      <c r="E3264" s="1"/>
      <c r="H3264" s="2">
        <v>8.4046087400000005</v>
      </c>
      <c r="I3264" s="2">
        <v>130.37436700000001</v>
      </c>
      <c r="J3264" s="2">
        <v>30.1732361</v>
      </c>
      <c r="L3264" s="2"/>
      <c r="M3264" s="2"/>
    </row>
    <row r="3265" spans="2:13">
      <c r="B3265" s="2"/>
      <c r="C3265" s="1">
        <v>14.15842885</v>
      </c>
      <c r="D3265" s="1">
        <v>2.4866274189999999</v>
      </c>
      <c r="E3265" s="1"/>
      <c r="H3265" s="2">
        <v>10.1414422</v>
      </c>
      <c r="I3265" s="2">
        <v>50.6355012</v>
      </c>
      <c r="J3265" s="2">
        <v>18.5627973</v>
      </c>
      <c r="L3265" s="2"/>
      <c r="M3265" s="2"/>
    </row>
    <row r="3266" spans="2:13">
      <c r="B3266" s="2"/>
      <c r="C3266" s="1">
        <v>15.91540232</v>
      </c>
      <c r="D3266" s="1">
        <v>0.83107441599999998</v>
      </c>
      <c r="E3266" s="1"/>
      <c r="H3266" s="2">
        <v>141.56977499999999</v>
      </c>
      <c r="I3266" s="2">
        <v>16.634935899999999</v>
      </c>
      <c r="J3266" s="2">
        <v>16.511851499999999</v>
      </c>
      <c r="L3266" s="2"/>
      <c r="M3266" s="2"/>
    </row>
    <row r="3267" spans="2:13">
      <c r="B3267" s="2"/>
      <c r="C3267" s="1">
        <v>157.02874940000001</v>
      </c>
      <c r="D3267" s="1">
        <v>2.1832192990000001</v>
      </c>
      <c r="E3267" s="1"/>
      <c r="H3267" s="2">
        <v>76.664545000000004</v>
      </c>
      <c r="I3267" s="2">
        <v>21.765336699999999</v>
      </c>
      <c r="J3267" s="2">
        <v>60.833137299999997</v>
      </c>
      <c r="L3267" s="2"/>
      <c r="M3267" s="2"/>
    </row>
    <row r="3268" spans="2:13">
      <c r="B3268" s="2"/>
      <c r="C3268" s="1">
        <v>64.132550620000004</v>
      </c>
      <c r="D3268" s="1">
        <v>0.850861902</v>
      </c>
      <c r="E3268" s="1"/>
      <c r="H3268" s="2">
        <v>23.9409414</v>
      </c>
      <c r="I3268" s="2">
        <v>49.966994399999997</v>
      </c>
      <c r="J3268" s="2">
        <v>9.5942547900000008</v>
      </c>
      <c r="L3268" s="2"/>
      <c r="M3268" s="2"/>
    </row>
    <row r="3269" spans="2:13">
      <c r="B3269" s="2"/>
      <c r="C3269" s="1">
        <v>15.444460980000001</v>
      </c>
      <c r="D3269" s="1">
        <v>2.915356284</v>
      </c>
      <c r="E3269" s="1"/>
      <c r="H3269" s="2">
        <v>16.1251906</v>
      </c>
      <c r="I3269" s="2">
        <v>12.468428599999999</v>
      </c>
      <c r="J3269" s="2">
        <v>7.7171179900000002</v>
      </c>
      <c r="L3269" s="2"/>
      <c r="M3269" s="2"/>
    </row>
    <row r="3270" spans="2:13">
      <c r="B3270" s="2"/>
      <c r="C3270" s="1">
        <v>13.856543370000001</v>
      </c>
      <c r="D3270" s="1">
        <v>0.98277847600000001</v>
      </c>
      <c r="E3270" s="1"/>
      <c r="H3270" s="2">
        <v>69.812379899999996</v>
      </c>
      <c r="I3270" s="2">
        <v>12.219681899999999</v>
      </c>
      <c r="J3270" s="2">
        <v>14.982332700000001</v>
      </c>
      <c r="L3270" s="2"/>
      <c r="M3270" s="2"/>
    </row>
    <row r="3271" spans="2:13">
      <c r="B3271" s="2"/>
      <c r="C3271" s="1">
        <v>52.968825699999996</v>
      </c>
      <c r="D3271" s="1">
        <v>45.399088929999998</v>
      </c>
      <c r="E3271" s="1"/>
      <c r="H3271" s="2">
        <v>13.7519147</v>
      </c>
      <c r="I3271" s="2">
        <v>12.701628599999999</v>
      </c>
      <c r="J3271" s="2">
        <v>44.217000400000003</v>
      </c>
      <c r="L3271" s="2"/>
      <c r="M3271" s="2"/>
    </row>
    <row r="3272" spans="2:13">
      <c r="B3272" s="2"/>
      <c r="C3272" s="1">
        <v>20.558400949999999</v>
      </c>
      <c r="D3272" s="1">
        <v>0.53426212500000003</v>
      </c>
      <c r="E3272" s="1"/>
      <c r="H3272" s="2">
        <v>11.0990799</v>
      </c>
      <c r="I3272" s="2">
        <v>30.8445915</v>
      </c>
      <c r="J3272" s="2">
        <v>19.570889300000001</v>
      </c>
      <c r="L3272" s="2"/>
      <c r="M3272" s="2"/>
    </row>
    <row r="3273" spans="2:13">
      <c r="B3273" s="2"/>
      <c r="C3273" s="1">
        <v>6.9433659590000003</v>
      </c>
      <c r="D3273" s="1">
        <v>2.9351437699999998</v>
      </c>
      <c r="E3273" s="1"/>
      <c r="H3273" s="2">
        <v>23.304499</v>
      </c>
      <c r="I3273" s="2">
        <v>19.5577097</v>
      </c>
      <c r="J3273" s="2">
        <v>9.5247312100000006</v>
      </c>
      <c r="L3273" s="2"/>
      <c r="M3273" s="2"/>
    </row>
    <row r="3274" spans="2:13">
      <c r="B3274" s="2"/>
      <c r="C3274" s="1">
        <v>21.01726687</v>
      </c>
      <c r="D3274" s="1">
        <v>15.28913092</v>
      </c>
      <c r="E3274" s="1"/>
      <c r="H3274" s="2">
        <v>58.088753699999998</v>
      </c>
      <c r="I3274" s="2">
        <v>6.0476542699999998</v>
      </c>
      <c r="J3274" s="2">
        <v>13.939478899999999</v>
      </c>
      <c r="L3274" s="2"/>
      <c r="M3274" s="2"/>
    </row>
    <row r="3275" spans="2:13">
      <c r="B3275" s="2"/>
      <c r="C3275" s="1">
        <v>34.143247389999999</v>
      </c>
      <c r="D3275" s="1">
        <v>2.842802169</v>
      </c>
      <c r="E3275" s="1"/>
      <c r="H3275" s="2">
        <v>23.268810599999998</v>
      </c>
      <c r="I3275" s="2">
        <v>10.742748300000001</v>
      </c>
      <c r="J3275" s="2">
        <v>17.798037900000001</v>
      </c>
      <c r="L3275" s="2"/>
      <c r="M3275" s="2"/>
    </row>
    <row r="3276" spans="2:13">
      <c r="B3276" s="2"/>
      <c r="C3276" s="1">
        <v>20.07538418</v>
      </c>
      <c r="D3276" s="1">
        <v>4.4785676859999999</v>
      </c>
      <c r="E3276" s="1"/>
      <c r="H3276" s="2">
        <v>11.741470400000001</v>
      </c>
      <c r="I3276" s="2">
        <v>19.2001363</v>
      </c>
      <c r="J3276" s="2">
        <v>92.813986600000007</v>
      </c>
      <c r="L3276" s="2"/>
      <c r="M3276" s="2"/>
    </row>
    <row r="3277" spans="2:13">
      <c r="B3277" s="2"/>
      <c r="C3277" s="1">
        <v>34.692678950000001</v>
      </c>
      <c r="D3277" s="1">
        <v>0.164895717</v>
      </c>
      <c r="E3277" s="1"/>
      <c r="H3277" s="2">
        <v>16.024073600000001</v>
      </c>
      <c r="I3277" s="2">
        <v>73.053798</v>
      </c>
      <c r="J3277" s="2">
        <v>33.371321000000002</v>
      </c>
      <c r="L3277" s="2"/>
      <c r="M3277" s="2"/>
    </row>
    <row r="3278" spans="2:13">
      <c r="B3278" s="2"/>
      <c r="C3278" s="1">
        <v>7.4022318829999998</v>
      </c>
      <c r="D3278" s="1">
        <v>0.158299889</v>
      </c>
      <c r="E3278" s="1"/>
      <c r="H3278" s="2">
        <v>20.4910666</v>
      </c>
      <c r="I3278" s="2">
        <v>41.991553199999998</v>
      </c>
      <c r="J3278" s="2">
        <v>63.614080700000002</v>
      </c>
      <c r="L3278" s="2"/>
      <c r="M3278" s="2"/>
    </row>
    <row r="3279" spans="2:13">
      <c r="B3279" s="2"/>
      <c r="C3279" s="1">
        <v>34.97041359</v>
      </c>
      <c r="D3279" s="1">
        <v>1.563211401</v>
      </c>
      <c r="E3279" s="1"/>
      <c r="H3279" s="2">
        <v>116.700937</v>
      </c>
      <c r="I3279" s="2">
        <v>72.229824500000007</v>
      </c>
      <c r="J3279" s="2">
        <v>3.23284672</v>
      </c>
      <c r="L3279" s="2"/>
      <c r="M3279" s="2"/>
    </row>
    <row r="3280" spans="2:13">
      <c r="B3280" s="2"/>
      <c r="C3280" s="1">
        <v>141.9042871</v>
      </c>
      <c r="D3280" s="1">
        <v>0.50787881000000001</v>
      </c>
      <c r="E3280" s="1"/>
      <c r="H3280" s="2">
        <v>35.212515000000003</v>
      </c>
      <c r="I3280" s="2">
        <v>6.3430409799999996</v>
      </c>
      <c r="J3280" s="2">
        <v>14.982332700000001</v>
      </c>
      <c r="L3280" s="2"/>
      <c r="M3280" s="2"/>
    </row>
    <row r="3281" spans="2:13">
      <c r="B3281" s="2"/>
      <c r="C3281" s="1">
        <v>54.937119010000004</v>
      </c>
      <c r="D3281" s="1">
        <v>1.662148832</v>
      </c>
      <c r="E3281" s="1"/>
      <c r="H3281" s="2">
        <v>78.996184499999998</v>
      </c>
      <c r="I3281" s="2">
        <v>8.7994146999999998</v>
      </c>
      <c r="J3281" s="2">
        <v>26.940389400000001</v>
      </c>
      <c r="L3281" s="2"/>
      <c r="M3281" s="2"/>
    </row>
    <row r="3282" spans="2:13">
      <c r="B3282" s="2"/>
      <c r="C3282" s="1">
        <v>80.392102379999997</v>
      </c>
      <c r="D3282" s="1">
        <v>0.93660767499999997</v>
      </c>
      <c r="E3282" s="1"/>
      <c r="H3282" s="2">
        <v>7.2031006199999998</v>
      </c>
      <c r="I3282" s="2">
        <v>28.155017699999998</v>
      </c>
      <c r="J3282" s="2">
        <v>13.6266228</v>
      </c>
      <c r="L3282" s="2"/>
      <c r="M3282" s="2"/>
    </row>
    <row r="3283" spans="2:13">
      <c r="B3283" s="2"/>
      <c r="C3283" s="1">
        <v>4.9267709760000002</v>
      </c>
      <c r="D3283" s="1">
        <v>1.226824138</v>
      </c>
      <c r="E3283" s="1"/>
      <c r="H3283" s="2">
        <v>16.172775099999999</v>
      </c>
      <c r="I3283" s="2">
        <v>19.1068563</v>
      </c>
      <c r="J3283" s="2">
        <v>31.702755</v>
      </c>
      <c r="L3283" s="2"/>
      <c r="M3283" s="2"/>
    </row>
    <row r="3284" spans="2:13">
      <c r="B3284" s="2"/>
      <c r="C3284" s="1">
        <v>2.9403645410000001</v>
      </c>
      <c r="D3284" s="1">
        <v>0.64639121200000005</v>
      </c>
      <c r="E3284" s="1"/>
      <c r="H3284" s="2">
        <v>38.370934900000002</v>
      </c>
      <c r="I3284" s="2">
        <v>29.647497900000001</v>
      </c>
      <c r="J3284" s="2">
        <v>23.603257299999999</v>
      </c>
      <c r="L3284" s="2"/>
      <c r="M3284" s="2"/>
    </row>
    <row r="3285" spans="2:13">
      <c r="B3285" s="2"/>
      <c r="C3285" s="1">
        <v>41.557554690000003</v>
      </c>
      <c r="D3285" s="1">
        <v>0.27702480499999999</v>
      </c>
      <c r="E3285" s="1"/>
      <c r="H3285" s="2">
        <v>12.550406499999999</v>
      </c>
      <c r="I3285" s="2">
        <v>43.577313400000001</v>
      </c>
      <c r="J3285" s="2">
        <v>18.7713681</v>
      </c>
      <c r="L3285" s="2"/>
      <c r="M3285" s="2"/>
    </row>
    <row r="3286" spans="2:13">
      <c r="B3286" s="2"/>
      <c r="C3286" s="1">
        <v>18.161430259999999</v>
      </c>
      <c r="D3286" s="1">
        <v>11.79993754</v>
      </c>
      <c r="E3286" s="1"/>
      <c r="H3286" s="2">
        <v>33.4756815</v>
      </c>
      <c r="I3286" s="2">
        <v>34.7468054</v>
      </c>
      <c r="J3286" s="2">
        <v>15.7123303</v>
      </c>
      <c r="L3286" s="2"/>
      <c r="M3286" s="2"/>
    </row>
    <row r="3287" spans="2:13">
      <c r="B3287" s="2"/>
      <c r="C3287" s="1">
        <v>47.172624550000002</v>
      </c>
      <c r="D3287" s="1">
        <v>2.38109416</v>
      </c>
      <c r="E3287" s="1"/>
      <c r="H3287" s="2">
        <v>31.637730999999999</v>
      </c>
      <c r="I3287" s="2">
        <v>24.221710399999999</v>
      </c>
      <c r="J3287" s="2">
        <v>7.09140572</v>
      </c>
      <c r="L3287" s="2"/>
      <c r="M3287" s="2"/>
    </row>
    <row r="3288" spans="2:13">
      <c r="B3288" s="2"/>
      <c r="C3288" s="1">
        <v>12.76975565</v>
      </c>
      <c r="D3288" s="1">
        <v>0.66617869799999996</v>
      </c>
      <c r="E3288" s="1"/>
      <c r="H3288" s="2">
        <v>26.718685399999998</v>
      </c>
      <c r="I3288" s="2">
        <v>12.779362000000001</v>
      </c>
      <c r="J3288" s="2">
        <v>114.99200999999999</v>
      </c>
      <c r="L3288" s="2"/>
      <c r="M3288" s="2"/>
    </row>
    <row r="3289" spans="2:13">
      <c r="B3289" s="2"/>
      <c r="C3289" s="1">
        <v>26.360639800000001</v>
      </c>
      <c r="D3289" s="1">
        <v>0.310003949</v>
      </c>
      <c r="E3289" s="1"/>
      <c r="H3289" s="2">
        <v>21.781795599999999</v>
      </c>
      <c r="I3289" s="2">
        <v>120.331219</v>
      </c>
      <c r="J3289" s="2">
        <v>40.984153599999999</v>
      </c>
      <c r="L3289" s="2"/>
      <c r="M3289" s="2"/>
    </row>
    <row r="3290" spans="2:13">
      <c r="B3290" s="2"/>
      <c r="C3290" s="1">
        <v>25.448945670000001</v>
      </c>
      <c r="D3290" s="1">
        <v>1.2598032809999999</v>
      </c>
      <c r="E3290" s="1"/>
      <c r="H3290" s="2">
        <v>15.292462199999999</v>
      </c>
      <c r="I3290" s="2">
        <v>47.681634099999997</v>
      </c>
      <c r="J3290" s="2">
        <v>9.7333019600000004</v>
      </c>
      <c r="L3290" s="2"/>
      <c r="M3290" s="2"/>
    </row>
    <row r="3291" spans="2:13">
      <c r="B3291" s="2"/>
      <c r="C3291" s="1">
        <v>8.8754330079999999</v>
      </c>
      <c r="D3291" s="1">
        <v>5.6196460500000001</v>
      </c>
      <c r="E3291" s="1"/>
      <c r="H3291" s="2">
        <v>143.389882</v>
      </c>
      <c r="I3291" s="2">
        <v>13.3856821</v>
      </c>
      <c r="J3291" s="2">
        <v>16.268519000000001</v>
      </c>
      <c r="L3291" s="2"/>
      <c r="M3291" s="2"/>
    </row>
    <row r="3292" spans="2:13">
      <c r="B3292" s="2"/>
      <c r="C3292" s="1">
        <v>174.32074950000001</v>
      </c>
      <c r="D3292" s="1">
        <v>0.21766234700000001</v>
      </c>
      <c r="E3292" s="1"/>
      <c r="H3292" s="2">
        <v>44.788891599999999</v>
      </c>
      <c r="I3292" s="2">
        <v>12.126401899999999</v>
      </c>
      <c r="J3292" s="2">
        <v>19.1885096</v>
      </c>
      <c r="L3292" s="2"/>
      <c r="M3292" s="2"/>
    </row>
    <row r="3293" spans="2:13">
      <c r="B3293" s="2"/>
      <c r="C3293" s="1">
        <v>25.81724595</v>
      </c>
      <c r="D3293" s="1">
        <v>3.0274853720000001</v>
      </c>
      <c r="E3293" s="1"/>
      <c r="H3293" s="2">
        <v>12.056717600000001</v>
      </c>
      <c r="I3293" s="2">
        <v>17.132429299999998</v>
      </c>
      <c r="J3293" s="2">
        <v>23.9161134</v>
      </c>
      <c r="L3293" s="2"/>
      <c r="M3293" s="2"/>
    </row>
    <row r="3294" spans="2:13">
      <c r="B3294" s="2"/>
      <c r="C3294" s="1">
        <v>7.7222304880000001</v>
      </c>
      <c r="D3294" s="1">
        <v>3.5617474969999998</v>
      </c>
      <c r="E3294" s="1"/>
      <c r="H3294" s="2">
        <v>14.239655600000001</v>
      </c>
      <c r="I3294" s="2">
        <v>34.855632100000001</v>
      </c>
      <c r="J3294" s="2">
        <v>4.4842712599999999</v>
      </c>
      <c r="L3294" s="2"/>
      <c r="M3294" s="2"/>
    </row>
    <row r="3295" spans="2:13">
      <c r="B3295" s="2"/>
      <c r="C3295" s="1">
        <v>14.816539179999999</v>
      </c>
      <c r="D3295" s="1">
        <v>0.66617869799999996</v>
      </c>
      <c r="E3295" s="1"/>
      <c r="H3295" s="2">
        <v>27.2064263</v>
      </c>
      <c r="I3295" s="2">
        <v>4.5862673799999998</v>
      </c>
      <c r="J3295" s="2">
        <v>52.8031632</v>
      </c>
      <c r="L3295" s="2"/>
      <c r="M3295" s="2"/>
    </row>
    <row r="3296" spans="2:13">
      <c r="B3296" s="2"/>
      <c r="C3296" s="1">
        <v>49.479029590000003</v>
      </c>
      <c r="D3296" s="1">
        <v>0.67937035599999995</v>
      </c>
      <c r="E3296" s="1"/>
      <c r="H3296" s="2">
        <v>31.078613300000001</v>
      </c>
      <c r="I3296" s="2">
        <v>36.410299000000002</v>
      </c>
      <c r="J3296" s="2">
        <v>19.3275568</v>
      </c>
      <c r="L3296" s="2"/>
      <c r="M3296" s="2"/>
    </row>
    <row r="3297" spans="2:13">
      <c r="B3297" s="2"/>
      <c r="C3297" s="1">
        <v>35.833806060000001</v>
      </c>
      <c r="D3297" s="1">
        <v>13.03335751</v>
      </c>
      <c r="E3297" s="1"/>
      <c r="H3297" s="2">
        <v>5.1510199300000004</v>
      </c>
      <c r="I3297" s="2">
        <v>17.303442700000002</v>
      </c>
      <c r="J3297" s="2">
        <v>8.0299741200000003</v>
      </c>
      <c r="L3297" s="2"/>
      <c r="M3297" s="2"/>
    </row>
    <row r="3298" spans="2:13">
      <c r="B3298" s="2"/>
      <c r="C3298" s="1">
        <v>4.1901704129999997</v>
      </c>
      <c r="D3298" s="1">
        <v>5.8505000550000004</v>
      </c>
      <c r="E3298" s="1"/>
      <c r="H3298" s="2">
        <v>63.067279900000003</v>
      </c>
      <c r="I3298" s="2">
        <v>8.7372280199999999</v>
      </c>
      <c r="J3298" s="2">
        <v>15.7123303</v>
      </c>
      <c r="L3298" s="2"/>
      <c r="M3298" s="2"/>
    </row>
    <row r="3299" spans="2:13">
      <c r="B3299" s="2"/>
      <c r="C3299" s="1">
        <v>30.76213005</v>
      </c>
      <c r="D3299" s="1">
        <v>36.969619850000001</v>
      </c>
      <c r="E3299" s="1"/>
      <c r="H3299" s="2">
        <v>20.366157300000001</v>
      </c>
      <c r="I3299" s="2">
        <v>17.396722700000002</v>
      </c>
      <c r="J3299" s="2">
        <v>64.622172699999993</v>
      </c>
      <c r="L3299" s="2"/>
      <c r="M3299" s="2"/>
    </row>
    <row r="3300" spans="2:13">
      <c r="B3300" s="2"/>
      <c r="C3300" s="1">
        <v>15.12446237</v>
      </c>
      <c r="D3300" s="1">
        <v>7.0443450490000004</v>
      </c>
      <c r="E3300" s="1"/>
      <c r="H3300" s="2">
        <v>13.8232914</v>
      </c>
      <c r="I3300" s="2">
        <v>74.0332382</v>
      </c>
      <c r="J3300" s="2">
        <v>120.449612</v>
      </c>
      <c r="L3300" s="2"/>
      <c r="M3300" s="2"/>
    </row>
    <row r="3301" spans="2:13">
      <c r="B3301" s="2"/>
      <c r="C3301" s="1">
        <v>16.507097850000001</v>
      </c>
      <c r="D3301" s="1">
        <v>0.34957892099999999</v>
      </c>
      <c r="E3301" s="1"/>
      <c r="H3301" s="2">
        <v>16.148982799999999</v>
      </c>
      <c r="I3301" s="2">
        <v>127.57596599999999</v>
      </c>
      <c r="J3301" s="2">
        <v>7.0218821299999998</v>
      </c>
      <c r="L3301" s="2"/>
      <c r="M3301" s="2"/>
    </row>
    <row r="3302" spans="2:13">
      <c r="B3302" s="2"/>
      <c r="C3302" s="1">
        <v>26.916109079999998</v>
      </c>
      <c r="D3302" s="1">
        <v>0.19787486100000001</v>
      </c>
      <c r="E3302" s="1"/>
      <c r="H3302" s="2">
        <v>74.725477400000003</v>
      </c>
      <c r="I3302" s="2">
        <v>5.5035208500000001</v>
      </c>
      <c r="J3302" s="2">
        <v>92.014465400000006</v>
      </c>
      <c r="L3302" s="2"/>
      <c r="M3302" s="2"/>
    </row>
    <row r="3303" spans="2:13">
      <c r="B3303" s="2"/>
      <c r="C3303" s="1">
        <v>64.452549219999995</v>
      </c>
      <c r="D3303" s="1">
        <v>1.7808737480000001</v>
      </c>
      <c r="E3303" s="1"/>
      <c r="H3303" s="2">
        <v>102.479125</v>
      </c>
      <c r="I3303" s="2">
        <v>89.113507200000001</v>
      </c>
      <c r="J3303" s="2">
        <v>3.8585589900000001</v>
      </c>
      <c r="L3303" s="2"/>
      <c r="M3303" s="2"/>
    </row>
    <row r="3304" spans="2:13">
      <c r="B3304" s="2"/>
      <c r="C3304" s="1">
        <v>124.24398669999999</v>
      </c>
      <c r="D3304" s="1">
        <v>0.850861902</v>
      </c>
      <c r="E3304" s="1"/>
      <c r="H3304" s="2">
        <v>10.819521099999999</v>
      </c>
      <c r="I3304" s="2">
        <v>7.2913877999999999</v>
      </c>
      <c r="J3304" s="2">
        <v>4.9014127700000003</v>
      </c>
      <c r="L3304" s="2"/>
      <c r="M3304" s="2"/>
    </row>
    <row r="3305" spans="2:13">
      <c r="B3305" s="2"/>
      <c r="C3305" s="1">
        <v>13.886731920000001</v>
      </c>
      <c r="D3305" s="1">
        <v>0.97618264700000001</v>
      </c>
      <c r="E3305" s="1"/>
      <c r="H3305" s="2">
        <v>116.355949</v>
      </c>
      <c r="I3305" s="2">
        <v>5.4879741900000001</v>
      </c>
      <c r="J3305" s="2">
        <v>35.005125300000003</v>
      </c>
      <c r="L3305" s="2"/>
      <c r="M3305" s="2"/>
    </row>
    <row r="3306" spans="2:13">
      <c r="B3306" s="2"/>
      <c r="C3306" s="1">
        <v>130.83112779999999</v>
      </c>
      <c r="D3306" s="1">
        <v>0.29021646299999998</v>
      </c>
      <c r="E3306" s="1"/>
      <c r="H3306" s="2">
        <v>6.2216707299999996</v>
      </c>
      <c r="I3306" s="2">
        <v>40.219232900000002</v>
      </c>
      <c r="J3306" s="2">
        <v>8.8990189399999995</v>
      </c>
      <c r="L3306" s="2"/>
      <c r="M3306" s="2"/>
    </row>
    <row r="3307" spans="2:13">
      <c r="B3307" s="2"/>
      <c r="C3307" s="1">
        <v>9.9561830140000005</v>
      </c>
      <c r="D3307" s="1">
        <v>0.17808737499999999</v>
      </c>
      <c r="E3307" s="1"/>
      <c r="H3307" s="2">
        <v>7.2209447999999998</v>
      </c>
      <c r="I3307" s="2">
        <v>9.2347214300000005</v>
      </c>
      <c r="J3307" s="2">
        <v>21.204693599999999</v>
      </c>
      <c r="L3307" s="2"/>
      <c r="M3307" s="2"/>
    </row>
    <row r="3308" spans="2:13">
      <c r="B3308" s="2"/>
      <c r="C3308" s="1">
        <v>9.4852416700000006</v>
      </c>
      <c r="D3308" s="1">
        <v>3.119826974</v>
      </c>
      <c r="E3308" s="1"/>
      <c r="H3308" s="2">
        <v>55.757114199999997</v>
      </c>
      <c r="I3308" s="2">
        <v>23.0090702</v>
      </c>
      <c r="J3308" s="2">
        <v>5.0404599499999998</v>
      </c>
      <c r="L3308" s="2"/>
      <c r="M3308" s="2"/>
    </row>
    <row r="3309" spans="2:13">
      <c r="B3309" s="2"/>
      <c r="C3309" s="1">
        <v>16.48294701</v>
      </c>
      <c r="D3309" s="1">
        <v>0.48809132399999999</v>
      </c>
      <c r="E3309" s="1"/>
      <c r="H3309" s="2">
        <v>11.4738077</v>
      </c>
      <c r="I3309" s="2">
        <v>8.1153612600000002</v>
      </c>
      <c r="J3309" s="2">
        <v>2.4680872800000002</v>
      </c>
      <c r="L3309" s="2"/>
      <c r="M3309" s="2"/>
    </row>
    <row r="3310" spans="2:13">
      <c r="B3310" s="2"/>
      <c r="C3310" s="1">
        <v>19.82783809</v>
      </c>
      <c r="D3310" s="1">
        <v>4.6038884309999997</v>
      </c>
      <c r="E3310" s="1"/>
      <c r="H3310" s="2">
        <v>24.898579000000002</v>
      </c>
      <c r="I3310" s="2">
        <v>2.3786403699999998</v>
      </c>
      <c r="J3310" s="2">
        <v>26.836103999999999</v>
      </c>
      <c r="L3310" s="2"/>
      <c r="M3310" s="2"/>
    </row>
    <row r="3311" spans="2:13">
      <c r="B3311" s="2"/>
      <c r="C3311" s="1">
        <v>9.6603352470000008</v>
      </c>
      <c r="D3311" s="1">
        <v>0.21106651800000001</v>
      </c>
      <c r="E3311" s="1"/>
      <c r="H3311" s="2">
        <v>6.8938015100000003</v>
      </c>
      <c r="I3311" s="2">
        <v>26.382697400000001</v>
      </c>
      <c r="J3311" s="2">
        <v>15.260427</v>
      </c>
      <c r="L3311" s="2"/>
      <c r="M3311" s="2"/>
    </row>
    <row r="3312" spans="2:13">
      <c r="B3312" s="2"/>
      <c r="C3312" s="1">
        <v>6.5328017110000003</v>
      </c>
      <c r="D3312" s="1">
        <v>130.7293248</v>
      </c>
      <c r="E3312" s="1"/>
      <c r="H3312" s="2">
        <v>3.4082383599999999</v>
      </c>
      <c r="I3312" s="2">
        <v>25.574270599999998</v>
      </c>
      <c r="J3312" s="2">
        <v>36.8475003</v>
      </c>
      <c r="L3312" s="2"/>
      <c r="M3312" s="2"/>
    </row>
    <row r="3313" spans="2:13">
      <c r="B3313" s="2"/>
      <c r="C3313" s="1">
        <v>3.1033826979999999</v>
      </c>
      <c r="D3313" s="1">
        <v>4.6170800999999997E-2</v>
      </c>
      <c r="E3313" s="1"/>
      <c r="H3313" s="2">
        <v>25.3803719</v>
      </c>
      <c r="I3313" s="2">
        <v>34.7468054</v>
      </c>
      <c r="J3313" s="2">
        <v>9.7333019600000004</v>
      </c>
      <c r="L3313" s="2"/>
      <c r="M3313" s="2"/>
    </row>
    <row r="3314" spans="2:13">
      <c r="B3314" s="2"/>
      <c r="C3314" s="1">
        <v>22.122167709999999</v>
      </c>
      <c r="D3314" s="1">
        <v>0.39574972200000003</v>
      </c>
      <c r="E3314" s="1"/>
      <c r="H3314" s="2">
        <v>17.618153599999999</v>
      </c>
      <c r="I3314" s="2">
        <v>17.971949500000001</v>
      </c>
      <c r="J3314" s="2">
        <v>11.2628208</v>
      </c>
      <c r="L3314" s="2"/>
      <c r="M3314" s="2"/>
    </row>
    <row r="3315" spans="2:13">
      <c r="B3315" s="2"/>
      <c r="C3315" s="1">
        <v>30.45420687</v>
      </c>
      <c r="D3315" s="1">
        <v>37.226857170000002</v>
      </c>
      <c r="E3315" s="1"/>
      <c r="H3315" s="2">
        <v>32.321757900000001</v>
      </c>
      <c r="I3315" s="2">
        <v>13.603335400000001</v>
      </c>
      <c r="J3315" s="2">
        <v>1.00809199</v>
      </c>
      <c r="L3315" s="2"/>
      <c r="M3315" s="2"/>
    </row>
    <row r="3316" spans="2:13">
      <c r="B3316" s="2"/>
      <c r="C3316" s="1">
        <v>45.39753795</v>
      </c>
      <c r="D3316" s="1">
        <v>0.49468715200000002</v>
      </c>
      <c r="E3316" s="1"/>
      <c r="H3316" s="2">
        <v>11.390534799999999</v>
      </c>
      <c r="I3316" s="2">
        <v>0.91725347999999995</v>
      </c>
      <c r="J3316" s="2">
        <v>7.5780708199999998</v>
      </c>
      <c r="L3316" s="2"/>
      <c r="M3316" s="2"/>
    </row>
    <row r="3317" spans="2:13">
      <c r="B3317" s="2"/>
      <c r="C3317" s="1">
        <v>5.1018645520000003</v>
      </c>
      <c r="D3317" s="1">
        <v>4.2609053389999998</v>
      </c>
      <c r="E3317" s="1"/>
      <c r="H3317" s="2">
        <v>11.7890549</v>
      </c>
      <c r="I3317" s="2">
        <v>6.1564809599999997</v>
      </c>
      <c r="J3317" s="2">
        <v>13.869955300000001</v>
      </c>
      <c r="L3317" s="2"/>
      <c r="M3317" s="2"/>
    </row>
    <row r="3318" spans="2:13">
      <c r="B3318" s="2"/>
      <c r="C3318" s="1">
        <v>9.0082626179999998</v>
      </c>
      <c r="D3318" s="1">
        <v>4.4060135699999998</v>
      </c>
      <c r="E3318" s="1"/>
      <c r="H3318" s="2">
        <v>1.9866520299999999</v>
      </c>
      <c r="I3318" s="2">
        <v>13.4789621</v>
      </c>
      <c r="J3318" s="2">
        <v>7.09140572</v>
      </c>
      <c r="L3318" s="2"/>
      <c r="M3318" s="2"/>
    </row>
    <row r="3319" spans="2:13">
      <c r="B3319" s="2"/>
      <c r="C3319" s="1">
        <v>1.0807500059999999</v>
      </c>
      <c r="D3319" s="1">
        <v>1.556615573</v>
      </c>
      <c r="E3319" s="1"/>
      <c r="H3319" s="2">
        <v>8.4165048599999999</v>
      </c>
      <c r="I3319" s="2">
        <v>6.8249877300000001</v>
      </c>
      <c r="J3319" s="2">
        <v>21.5175497</v>
      </c>
      <c r="L3319" s="2"/>
      <c r="M3319" s="2"/>
    </row>
    <row r="3320" spans="2:13">
      <c r="B3320" s="2"/>
      <c r="C3320" s="1">
        <v>6.9856299249999996</v>
      </c>
      <c r="D3320" s="1">
        <v>0.34957892099999999</v>
      </c>
      <c r="E3320" s="1"/>
      <c r="H3320" s="2">
        <v>15.2329816</v>
      </c>
      <c r="I3320" s="2">
        <v>15.453389100000001</v>
      </c>
      <c r="J3320" s="2">
        <v>40.115108800000002</v>
      </c>
      <c r="L3320" s="2"/>
      <c r="M3320" s="2"/>
    </row>
    <row r="3321" spans="2:13">
      <c r="B3321" s="2"/>
      <c r="C3321" s="1">
        <v>14.99163276</v>
      </c>
      <c r="D3321" s="1">
        <v>7.4137114559999997</v>
      </c>
      <c r="E3321" s="1"/>
      <c r="H3321" s="2">
        <v>9.8083508899999998</v>
      </c>
      <c r="I3321" s="2">
        <v>26.0873107</v>
      </c>
      <c r="J3321" s="2">
        <v>24.8894436</v>
      </c>
      <c r="L3321" s="2"/>
      <c r="M3321" s="2"/>
    </row>
    <row r="3322" spans="2:13">
      <c r="B3322" s="2"/>
      <c r="C3322" s="1">
        <v>7.3116662400000001</v>
      </c>
      <c r="D3322" s="1">
        <v>2.1238568409999998</v>
      </c>
      <c r="E3322" s="1"/>
      <c r="H3322" s="2">
        <v>22.126783100000001</v>
      </c>
      <c r="I3322" s="2">
        <v>24.252803799999999</v>
      </c>
      <c r="J3322" s="2">
        <v>8.5514010099999993</v>
      </c>
      <c r="L3322" s="2"/>
      <c r="M3322" s="2"/>
    </row>
    <row r="3323" spans="2:13">
      <c r="B3323" s="2"/>
      <c r="C3323" s="1">
        <v>59.338609249999998</v>
      </c>
      <c r="D3323" s="1">
        <v>1.563211401</v>
      </c>
      <c r="E3323" s="1"/>
      <c r="H3323" s="2">
        <v>50.433600499999997</v>
      </c>
      <c r="I3323" s="2">
        <v>7.5712278399999997</v>
      </c>
      <c r="J3323" s="2">
        <v>17.728514300000001</v>
      </c>
      <c r="L3323" s="2"/>
      <c r="M3323" s="2"/>
    </row>
    <row r="3324" spans="2:13">
      <c r="B3324" s="2"/>
      <c r="C3324" s="1">
        <v>44.413391300000001</v>
      </c>
      <c r="D3324" s="1">
        <v>0.34298309199999999</v>
      </c>
      <c r="E3324" s="1"/>
      <c r="H3324" s="2">
        <v>26.629464500000001</v>
      </c>
      <c r="I3324" s="2">
        <v>23.817496999999999</v>
      </c>
      <c r="J3324" s="2">
        <v>37.090832800000001</v>
      </c>
      <c r="L3324" s="2"/>
      <c r="M3324" s="2"/>
    </row>
    <row r="3325" spans="2:13">
      <c r="B3325" s="2"/>
      <c r="C3325" s="1">
        <v>40.579445749999998</v>
      </c>
      <c r="D3325" s="1">
        <v>0.74532864300000001</v>
      </c>
      <c r="E3325" s="1"/>
      <c r="H3325" s="2">
        <v>8.2499591799999994</v>
      </c>
      <c r="I3325" s="2">
        <v>35.430858800000003</v>
      </c>
      <c r="J3325" s="2">
        <v>16.511851499999999</v>
      </c>
      <c r="L3325" s="2"/>
      <c r="M3325" s="2"/>
    </row>
    <row r="3326" spans="2:13">
      <c r="B3326" s="2"/>
      <c r="C3326" s="1">
        <v>14.39389952</v>
      </c>
      <c r="D3326" s="1">
        <v>0.93001184599999998</v>
      </c>
      <c r="E3326" s="1"/>
      <c r="H3326" s="2">
        <v>27.236166600000001</v>
      </c>
      <c r="I3326" s="2">
        <v>25.8696573</v>
      </c>
      <c r="J3326" s="2">
        <v>3.09379955</v>
      </c>
      <c r="L3326" s="2"/>
      <c r="M3326" s="2"/>
    </row>
    <row r="3327" spans="2:13">
      <c r="B3327" s="2"/>
      <c r="C3327" s="1">
        <v>33.448910789999999</v>
      </c>
      <c r="D3327" s="1">
        <v>0.56064543899999997</v>
      </c>
      <c r="E3327" s="1"/>
      <c r="H3327" s="2">
        <v>52.717655499999999</v>
      </c>
      <c r="I3327" s="2">
        <v>3.1559738199999998</v>
      </c>
      <c r="J3327" s="2">
        <v>19.779460100000001</v>
      </c>
      <c r="L3327" s="2"/>
      <c r="M3327" s="2"/>
    </row>
    <row r="3328" spans="2:13">
      <c r="B3328" s="2"/>
      <c r="C3328" s="1">
        <v>57.098619020000001</v>
      </c>
      <c r="D3328" s="1">
        <v>0.46170800899999997</v>
      </c>
      <c r="E3328" s="1"/>
      <c r="H3328" s="2">
        <v>20.812261800000002</v>
      </c>
      <c r="I3328" s="2">
        <v>32.819018399999997</v>
      </c>
      <c r="J3328" s="2">
        <v>15.434236</v>
      </c>
      <c r="L3328" s="2"/>
      <c r="M3328" s="2"/>
    </row>
    <row r="3329" spans="2:13">
      <c r="B3329" s="2"/>
      <c r="C3329" s="1">
        <v>47.963564499999997</v>
      </c>
      <c r="D3329" s="1">
        <v>3.7002598990000002</v>
      </c>
      <c r="E3329" s="1"/>
      <c r="H3329" s="2">
        <v>4.2052784000000001</v>
      </c>
      <c r="I3329" s="2">
        <v>14.5983223</v>
      </c>
      <c r="J3329" s="2">
        <v>9.2466368699999997</v>
      </c>
      <c r="L3329" s="2"/>
      <c r="M3329" s="2"/>
    </row>
    <row r="3330" spans="2:13">
      <c r="B3330" s="2"/>
      <c r="C3330" s="1">
        <v>3.224136889</v>
      </c>
      <c r="D3330" s="1">
        <v>3.5353641819999999</v>
      </c>
      <c r="E3330" s="1"/>
      <c r="H3330" s="2">
        <v>27.307543299999999</v>
      </c>
      <c r="I3330" s="2">
        <v>9.3746414500000004</v>
      </c>
      <c r="J3330" s="2">
        <v>7.05664392</v>
      </c>
      <c r="L3330" s="2"/>
      <c r="M3330" s="2"/>
    </row>
    <row r="3331" spans="2:13">
      <c r="B3331" s="2"/>
      <c r="C3331" s="1">
        <v>26.988561600000001</v>
      </c>
      <c r="D3331" s="1">
        <v>78.602490590000002</v>
      </c>
      <c r="E3331" s="1"/>
      <c r="H3331" s="2">
        <v>20.0211699</v>
      </c>
      <c r="I3331" s="2">
        <v>7.10482777</v>
      </c>
      <c r="J3331" s="2">
        <v>102.303956</v>
      </c>
      <c r="L3331" s="2"/>
      <c r="M3331" s="2"/>
    </row>
    <row r="3332" spans="2:13">
      <c r="B3332" s="2"/>
      <c r="C3332" s="1">
        <v>25.4730965</v>
      </c>
      <c r="D3332" s="1">
        <v>1.4115073410000001</v>
      </c>
      <c r="E3332" s="1"/>
      <c r="H3332" s="2">
        <v>13.044095499999999</v>
      </c>
      <c r="I3332" s="2">
        <v>92.129560999999995</v>
      </c>
      <c r="J3332" s="2">
        <v>36.777976700000004</v>
      </c>
      <c r="L3332" s="2"/>
      <c r="M3332" s="2"/>
    </row>
    <row r="3333" spans="2:13">
      <c r="B3333" s="2"/>
      <c r="C3333" s="1">
        <v>11.85202381</v>
      </c>
      <c r="D3333" s="1">
        <v>4.2740969959999999</v>
      </c>
      <c r="E3333" s="1"/>
      <c r="H3333" s="2">
        <v>9.3206099699999996</v>
      </c>
      <c r="I3333" s="2">
        <v>57.8025156</v>
      </c>
      <c r="J3333" s="2">
        <v>34.622745600000002</v>
      </c>
      <c r="L3333" s="2"/>
      <c r="M3333" s="2"/>
    </row>
    <row r="3334" spans="2:13">
      <c r="B3334" s="2"/>
      <c r="C3334" s="1">
        <v>7.7705321639999996</v>
      </c>
      <c r="D3334" s="1">
        <v>21.410059950000001</v>
      </c>
      <c r="E3334" s="1"/>
      <c r="H3334" s="2">
        <v>121.905489</v>
      </c>
      <c r="I3334" s="2">
        <v>33.782911900000002</v>
      </c>
      <c r="J3334" s="2">
        <v>20.578981299999999</v>
      </c>
      <c r="L3334" s="2"/>
      <c r="M3334" s="2"/>
    </row>
    <row r="3335" spans="2:13">
      <c r="B3335" s="2"/>
      <c r="C3335" s="1">
        <v>65.05632018</v>
      </c>
      <c r="D3335" s="1">
        <v>0.26383314800000002</v>
      </c>
      <c r="E3335" s="1"/>
      <c r="H3335" s="2">
        <v>47.554739499999997</v>
      </c>
      <c r="I3335" s="2">
        <v>27.999551</v>
      </c>
      <c r="J3335" s="2">
        <v>14.9128091</v>
      </c>
      <c r="L3335" s="2"/>
      <c r="M3335" s="2"/>
    </row>
    <row r="3336" spans="2:13">
      <c r="B3336" s="2"/>
      <c r="C3336" s="1">
        <v>34.7228675</v>
      </c>
      <c r="D3336" s="1">
        <v>1.1146950499999999</v>
      </c>
      <c r="E3336" s="1"/>
      <c r="H3336" s="2">
        <v>40.916704500000002</v>
      </c>
      <c r="I3336" s="2">
        <v>18.049682799999999</v>
      </c>
      <c r="J3336" s="2">
        <v>19.988030800000001</v>
      </c>
      <c r="L3336" s="2"/>
      <c r="M3336" s="2"/>
    </row>
    <row r="3337" spans="2:13">
      <c r="B3337" s="2"/>
      <c r="C3337" s="1">
        <v>23.10631437</v>
      </c>
      <c r="D3337" s="1">
        <v>0.93001184599999998</v>
      </c>
      <c r="E3337" s="1"/>
      <c r="H3337" s="2">
        <v>27.741751699999998</v>
      </c>
      <c r="I3337" s="2">
        <v>29.336564599999999</v>
      </c>
      <c r="J3337" s="2">
        <v>14.426144000000001</v>
      </c>
      <c r="L3337" s="2"/>
      <c r="M3337" s="2"/>
    </row>
    <row r="3338" spans="2:13">
      <c r="B3338" s="2"/>
      <c r="C3338" s="1">
        <v>38.611152439999998</v>
      </c>
      <c r="D3338" s="1">
        <v>0.33638726400000002</v>
      </c>
      <c r="E3338" s="1"/>
      <c r="H3338" s="2">
        <v>22.001873799999998</v>
      </c>
      <c r="I3338" s="2">
        <v>11.6133618</v>
      </c>
      <c r="J3338" s="2">
        <v>18.354226600000001</v>
      </c>
      <c r="L3338" s="2"/>
      <c r="M3338" s="2"/>
    </row>
    <row r="3339" spans="2:13">
      <c r="B3339" s="2"/>
      <c r="C3339" s="1">
        <v>23.160653750000002</v>
      </c>
      <c r="D3339" s="1">
        <v>0.60681624000000001</v>
      </c>
      <c r="E3339" s="1"/>
      <c r="H3339" s="2">
        <v>21.139405100000001</v>
      </c>
      <c r="I3339" s="2">
        <v>23.864136999999999</v>
      </c>
      <c r="J3339" s="2">
        <v>14.9128091</v>
      </c>
      <c r="L3339" s="2"/>
      <c r="M3339" s="2"/>
    </row>
    <row r="3340" spans="2:13">
      <c r="B3340" s="2"/>
      <c r="C3340" s="1">
        <v>39.196810259999999</v>
      </c>
      <c r="D3340" s="1">
        <v>2.9417395989999999</v>
      </c>
      <c r="E3340" s="1"/>
      <c r="H3340" s="2">
        <v>19.5036886</v>
      </c>
      <c r="I3340" s="2">
        <v>12.173041899999999</v>
      </c>
      <c r="J3340" s="2">
        <v>19.640412900000001</v>
      </c>
      <c r="L3340" s="2"/>
      <c r="M3340" s="2"/>
    </row>
    <row r="3341" spans="2:13">
      <c r="B3341" s="2"/>
      <c r="C3341" s="1">
        <v>6.3275195870000003</v>
      </c>
      <c r="D3341" s="1">
        <v>0.51447463800000004</v>
      </c>
      <c r="E3341" s="1"/>
      <c r="H3341" s="2">
        <v>21.276210500000001</v>
      </c>
      <c r="I3341" s="2">
        <v>14.3184822</v>
      </c>
      <c r="J3341" s="2">
        <v>12.131865700000001</v>
      </c>
      <c r="L3341" s="2"/>
      <c r="M3341" s="2"/>
    </row>
    <row r="3342" spans="2:13">
      <c r="B3342" s="2"/>
      <c r="C3342" s="1">
        <v>16.688229140000001</v>
      </c>
      <c r="D3342" s="1">
        <v>2.104069355</v>
      </c>
      <c r="E3342" s="1"/>
      <c r="H3342" s="2">
        <v>19.0575841</v>
      </c>
      <c r="I3342" s="2">
        <v>27.984004299999999</v>
      </c>
      <c r="J3342" s="2">
        <v>51.482214999999997</v>
      </c>
      <c r="L3342" s="2"/>
      <c r="M3342" s="2"/>
    </row>
    <row r="3343" spans="2:13">
      <c r="B3343" s="2"/>
      <c r="C3343" s="1">
        <v>14.02559924</v>
      </c>
      <c r="D3343" s="1">
        <v>3.7728140149999998</v>
      </c>
      <c r="E3343" s="1"/>
      <c r="H3343" s="2">
        <v>21.032340099999999</v>
      </c>
      <c r="I3343" s="2">
        <v>45.194167</v>
      </c>
      <c r="J3343" s="2">
        <v>9.4204458300000002</v>
      </c>
      <c r="L3343" s="2"/>
      <c r="M3343" s="2"/>
    </row>
    <row r="3344" spans="2:13">
      <c r="B3344" s="2"/>
      <c r="C3344" s="1">
        <v>7.9335503210000002</v>
      </c>
      <c r="D3344" s="1">
        <v>0.36936640700000001</v>
      </c>
      <c r="E3344" s="1"/>
      <c r="H3344" s="2">
        <v>15.8456318</v>
      </c>
      <c r="I3344" s="2">
        <v>9.5612014799999994</v>
      </c>
      <c r="J3344" s="2">
        <v>40.045585199999998</v>
      </c>
      <c r="L3344" s="2"/>
      <c r="M3344" s="2"/>
    </row>
    <row r="3345" spans="2:13">
      <c r="B3345" s="2"/>
      <c r="C3345" s="1">
        <v>13.790128559999999</v>
      </c>
      <c r="D3345" s="1">
        <v>2.6779064510000001</v>
      </c>
      <c r="E3345" s="1"/>
      <c r="H3345" s="2">
        <v>53.163760000000003</v>
      </c>
      <c r="I3345" s="2">
        <v>46.406807200000003</v>
      </c>
      <c r="J3345" s="2">
        <v>44.077953200000003</v>
      </c>
      <c r="L3345" s="2"/>
      <c r="M3345" s="2"/>
    </row>
    <row r="3346" spans="2:13">
      <c r="B3346" s="2"/>
      <c r="C3346" s="1">
        <v>88.283388740000007</v>
      </c>
      <c r="D3346" s="1">
        <v>1.068524249</v>
      </c>
      <c r="E3346" s="1"/>
      <c r="H3346" s="2">
        <v>12.7110042</v>
      </c>
      <c r="I3346" s="2">
        <v>75.914385100000004</v>
      </c>
      <c r="J3346" s="2">
        <v>5.5966486299999998</v>
      </c>
      <c r="L3346" s="2"/>
      <c r="M3346" s="2"/>
    </row>
    <row r="3347" spans="2:13">
      <c r="B3347" s="2"/>
      <c r="C3347" s="1">
        <v>6.9554413779999997</v>
      </c>
      <c r="D3347" s="1">
        <v>0.82447858699999998</v>
      </c>
      <c r="E3347" s="1"/>
      <c r="H3347" s="2">
        <v>47.185959699999998</v>
      </c>
      <c r="I3347" s="2">
        <v>4.7572807399999997</v>
      </c>
      <c r="J3347" s="2">
        <v>44.738427199999997</v>
      </c>
      <c r="L3347" s="2"/>
      <c r="M3347" s="2"/>
    </row>
    <row r="3348" spans="2:13">
      <c r="B3348" s="2"/>
      <c r="C3348" s="1">
        <v>43.75528096</v>
      </c>
      <c r="D3348" s="1">
        <v>306.73241780000001</v>
      </c>
      <c r="E3348" s="1"/>
      <c r="H3348" s="2">
        <v>60.818913199999997</v>
      </c>
      <c r="I3348" s="2">
        <v>44.929873600000001</v>
      </c>
      <c r="J3348" s="2">
        <v>29.304191299999999</v>
      </c>
      <c r="L3348" s="2"/>
      <c r="M3348" s="2"/>
    </row>
    <row r="3349" spans="2:13">
      <c r="B3349" s="2"/>
      <c r="C3349" s="1">
        <v>52.111470949999998</v>
      </c>
      <c r="D3349" s="1">
        <v>0.36277057800000001</v>
      </c>
      <c r="E3349" s="1"/>
      <c r="H3349" s="2">
        <v>11.0574435</v>
      </c>
      <c r="I3349" s="2">
        <v>31.995045000000001</v>
      </c>
      <c r="J3349" s="2">
        <v>15.1213798</v>
      </c>
      <c r="L3349" s="2"/>
      <c r="M3349" s="2"/>
    </row>
    <row r="3350" spans="2:13">
      <c r="B3350" s="2"/>
      <c r="C3350" s="1">
        <v>12.184097830000001</v>
      </c>
      <c r="D3350" s="1">
        <v>1.754490434</v>
      </c>
      <c r="E3350" s="1"/>
      <c r="H3350" s="2">
        <v>52.015784400000001</v>
      </c>
      <c r="I3350" s="2">
        <v>14.6605089</v>
      </c>
      <c r="J3350" s="2">
        <v>38.550828099999997</v>
      </c>
      <c r="L3350" s="2"/>
      <c r="M3350" s="2"/>
    </row>
    <row r="3351" spans="2:13">
      <c r="B3351" s="2"/>
      <c r="C3351" s="1">
        <v>54.134103639999999</v>
      </c>
      <c r="D3351" s="1">
        <v>3.1132311449999999</v>
      </c>
      <c r="E3351" s="1"/>
      <c r="H3351" s="2">
        <v>31.144041999999999</v>
      </c>
      <c r="I3351" s="2">
        <v>40.981019699999997</v>
      </c>
      <c r="J3351" s="2">
        <v>6.77854958</v>
      </c>
      <c r="L3351" s="2"/>
      <c r="M3351" s="2"/>
    </row>
    <row r="3352" spans="2:13">
      <c r="B3352" s="2"/>
      <c r="C3352" s="1">
        <v>37.524364720000001</v>
      </c>
      <c r="D3352" s="1">
        <v>0.29681229100000001</v>
      </c>
      <c r="E3352" s="1"/>
      <c r="H3352" s="2">
        <v>14.947474700000001</v>
      </c>
      <c r="I3352" s="2">
        <v>6.5451476800000004</v>
      </c>
      <c r="J3352" s="2">
        <v>24.7503964</v>
      </c>
      <c r="L3352" s="2"/>
      <c r="M3352" s="2"/>
    </row>
    <row r="3353" spans="2:13">
      <c r="B3353" s="2"/>
      <c r="C3353" s="1">
        <v>16.15087299</v>
      </c>
      <c r="D3353" s="1">
        <v>1.6027863739999999</v>
      </c>
      <c r="E3353" s="1"/>
      <c r="H3353" s="2">
        <v>26.558087799999999</v>
      </c>
      <c r="I3353" s="2">
        <v>56.247848699999999</v>
      </c>
      <c r="J3353" s="2">
        <v>43.0350994</v>
      </c>
      <c r="L3353" s="2"/>
      <c r="M3353" s="2"/>
    </row>
    <row r="3354" spans="2:13">
      <c r="B3354" s="2"/>
      <c r="C3354" s="1">
        <v>13.590884150000001</v>
      </c>
      <c r="D3354" s="1">
        <v>11.0546089</v>
      </c>
      <c r="E3354" s="1"/>
      <c r="H3354" s="2">
        <v>9.8678314900000004</v>
      </c>
      <c r="I3354" s="2">
        <v>25.4498973</v>
      </c>
      <c r="J3354" s="2">
        <v>7.8909269499999999</v>
      </c>
      <c r="L3354" s="2"/>
      <c r="M3354" s="2"/>
    </row>
    <row r="3355" spans="2:13">
      <c r="B3355" s="2"/>
      <c r="C3355" s="1">
        <v>8.3320391499999999</v>
      </c>
      <c r="D3355" s="1">
        <v>88.568787749999998</v>
      </c>
      <c r="E3355" s="1"/>
      <c r="H3355" s="2">
        <v>32.226588900000003</v>
      </c>
      <c r="I3355" s="2">
        <v>5.8455475699999999</v>
      </c>
      <c r="J3355" s="2">
        <v>27.496578</v>
      </c>
      <c r="L3355" s="2"/>
      <c r="M3355" s="2"/>
    </row>
    <row r="3356" spans="2:13">
      <c r="B3356" s="2"/>
      <c r="C3356" s="1">
        <v>23.130465210000001</v>
      </c>
      <c r="D3356" s="1">
        <v>1.0421409340000001</v>
      </c>
      <c r="E3356" s="1"/>
      <c r="H3356" s="2">
        <v>45.865490399999999</v>
      </c>
      <c r="I3356" s="2">
        <v>17.6921094</v>
      </c>
      <c r="J3356" s="2">
        <v>66.951212799999993</v>
      </c>
      <c r="L3356" s="2"/>
      <c r="M3356" s="2"/>
    </row>
    <row r="3357" spans="2:13">
      <c r="B3357" s="2"/>
      <c r="C3357" s="1">
        <v>50.626194400000003</v>
      </c>
      <c r="D3357" s="1">
        <v>2.6845022799999998</v>
      </c>
      <c r="E3357" s="1"/>
      <c r="H3357" s="2">
        <v>8.1547902200000006</v>
      </c>
      <c r="I3357" s="2">
        <v>90.885827399999997</v>
      </c>
      <c r="J3357" s="2">
        <v>9.0380661100000008</v>
      </c>
      <c r="L3357" s="2"/>
      <c r="M3357" s="2"/>
    </row>
    <row r="3358" spans="2:13">
      <c r="B3358" s="2"/>
      <c r="C3358" s="1">
        <v>7.8369469690000004</v>
      </c>
      <c r="D3358" s="1">
        <v>0.87724521700000002</v>
      </c>
      <c r="E3358" s="1"/>
      <c r="H3358" s="2">
        <v>29.199026400000001</v>
      </c>
      <c r="I3358" s="2">
        <v>12.0642152</v>
      </c>
      <c r="J3358" s="2">
        <v>20.683266700000001</v>
      </c>
      <c r="L3358" s="2"/>
      <c r="M3358" s="2"/>
    </row>
    <row r="3359" spans="2:13">
      <c r="B3359" s="2"/>
      <c r="C3359" s="1">
        <v>41.57566782</v>
      </c>
      <c r="D3359" s="1">
        <v>2.4272649610000001</v>
      </c>
      <c r="E3359" s="1"/>
      <c r="H3359" s="2">
        <v>108.956563</v>
      </c>
      <c r="I3359" s="2">
        <v>21.982990099999999</v>
      </c>
      <c r="J3359" s="2">
        <v>29.617047400000001</v>
      </c>
      <c r="L3359" s="2"/>
      <c r="M3359" s="2"/>
    </row>
    <row r="3360" spans="2:13">
      <c r="B3360" s="2"/>
      <c r="C3360" s="1">
        <v>227.15070789999999</v>
      </c>
      <c r="D3360" s="1">
        <v>2.9945062290000002</v>
      </c>
      <c r="E3360" s="1"/>
      <c r="H3360" s="2">
        <v>10.962274499999999</v>
      </c>
      <c r="I3360" s="2">
        <v>23.491016999999999</v>
      </c>
      <c r="J3360" s="2">
        <v>3.54570286</v>
      </c>
      <c r="L3360" s="2"/>
      <c r="M3360" s="2"/>
    </row>
    <row r="3361" spans="2:13">
      <c r="B3361" s="2"/>
      <c r="C3361" s="1">
        <v>15.438423269999999</v>
      </c>
      <c r="D3361" s="1">
        <v>422.56176549999998</v>
      </c>
      <c r="E3361" s="1"/>
      <c r="H3361" s="2">
        <v>24.404890099999999</v>
      </c>
      <c r="I3361" s="2">
        <v>9.0637080700000006</v>
      </c>
      <c r="J3361" s="2">
        <v>28.991335100000001</v>
      </c>
      <c r="L3361" s="2"/>
      <c r="M3361" s="2"/>
    </row>
    <row r="3362" spans="2:13">
      <c r="B3362" s="2"/>
      <c r="C3362" s="1">
        <v>19.121426079999999</v>
      </c>
      <c r="D3362" s="1">
        <v>0.78490361500000005</v>
      </c>
      <c r="E3362" s="1"/>
      <c r="H3362" s="2">
        <v>32.226588900000003</v>
      </c>
      <c r="I3362" s="2">
        <v>35.322032100000001</v>
      </c>
      <c r="J3362" s="2">
        <v>65.908359000000004</v>
      </c>
      <c r="L3362" s="2"/>
      <c r="M3362" s="2"/>
    </row>
    <row r="3363" spans="2:13">
      <c r="B3363" s="2"/>
      <c r="C3363" s="1">
        <v>31.003638429999999</v>
      </c>
      <c r="D3363" s="1">
        <v>3.119826974</v>
      </c>
      <c r="E3363" s="1"/>
      <c r="H3363" s="2">
        <v>5.4543709900000001</v>
      </c>
      <c r="I3363" s="2">
        <v>67.799023899999995</v>
      </c>
      <c r="J3363" s="2">
        <v>40.0108234</v>
      </c>
      <c r="L3363" s="2"/>
      <c r="M3363" s="2"/>
    </row>
    <row r="3364" spans="2:13">
      <c r="B3364" s="2"/>
      <c r="C3364" s="1">
        <v>8.3199637309999996</v>
      </c>
      <c r="D3364" s="1">
        <v>0.89043687400000004</v>
      </c>
      <c r="E3364" s="1"/>
      <c r="H3364" s="2">
        <v>37.728544399999997</v>
      </c>
      <c r="I3364" s="2">
        <v>41.276406399999999</v>
      </c>
      <c r="J3364" s="2">
        <v>13.869955300000001</v>
      </c>
      <c r="L3364" s="2"/>
      <c r="M3364" s="2"/>
    </row>
    <row r="3365" spans="2:13">
      <c r="B3365" s="2"/>
      <c r="C3365" s="1">
        <v>23.679896769999999</v>
      </c>
      <c r="D3365" s="1">
        <v>0.81128692999999996</v>
      </c>
      <c r="E3365" s="1"/>
      <c r="H3365" s="2">
        <v>83.439385299999998</v>
      </c>
      <c r="I3365" s="2">
        <v>14.5827756</v>
      </c>
      <c r="J3365" s="2">
        <v>64.7612199</v>
      </c>
      <c r="L3365" s="2"/>
      <c r="M3365" s="2"/>
    </row>
    <row r="3366" spans="2:13">
      <c r="B3366" s="2"/>
      <c r="C3366" s="1">
        <v>48.941673440000002</v>
      </c>
      <c r="D3366" s="1">
        <v>1.741298776</v>
      </c>
      <c r="E3366" s="1"/>
      <c r="H3366" s="2">
        <v>58.677611599999999</v>
      </c>
      <c r="I3366" s="2">
        <v>89.719827300000006</v>
      </c>
      <c r="J3366" s="2">
        <v>27.3575309</v>
      </c>
      <c r="L3366" s="2"/>
      <c r="M3366" s="2"/>
    </row>
    <row r="3367" spans="2:13">
      <c r="B3367" s="2"/>
      <c r="C3367" s="1">
        <v>57.400504490000003</v>
      </c>
      <c r="D3367" s="1">
        <v>0.19787486100000001</v>
      </c>
      <c r="E3367" s="1"/>
      <c r="H3367" s="2">
        <v>15.679086099999999</v>
      </c>
      <c r="I3367" s="2">
        <v>24.672563799999999</v>
      </c>
      <c r="J3367" s="2">
        <v>35.1789342</v>
      </c>
      <c r="L3367" s="2"/>
      <c r="M3367" s="2"/>
    </row>
    <row r="3368" spans="2:13">
      <c r="B3368" s="2"/>
      <c r="C3368" s="1">
        <v>16.80898333</v>
      </c>
      <c r="D3368" s="1">
        <v>0.21766234700000001</v>
      </c>
      <c r="E3368" s="1"/>
      <c r="H3368" s="2">
        <v>76.147063700000004</v>
      </c>
      <c r="I3368" s="2">
        <v>52.065794699999998</v>
      </c>
      <c r="J3368" s="2">
        <v>14.9128091</v>
      </c>
      <c r="L3368" s="2"/>
      <c r="M3368" s="2"/>
    </row>
    <row r="3369" spans="2:13">
      <c r="B3369" s="2"/>
      <c r="C3369" s="1">
        <v>29.156099319999999</v>
      </c>
      <c r="D3369" s="1">
        <v>2.5393940490000002</v>
      </c>
      <c r="E3369" s="1"/>
      <c r="H3369" s="2">
        <v>32.8094988</v>
      </c>
      <c r="I3369" s="2">
        <v>18.469442900000001</v>
      </c>
      <c r="J3369" s="2">
        <v>3.1980849299999998</v>
      </c>
      <c r="L3369" s="2"/>
      <c r="M3369" s="2"/>
    </row>
    <row r="3370" spans="2:13">
      <c r="B3370" s="2"/>
      <c r="C3370" s="1">
        <v>9.9501453039999994</v>
      </c>
      <c r="D3370" s="1">
        <v>6.1275248600000003</v>
      </c>
      <c r="E3370" s="1"/>
      <c r="H3370" s="2">
        <v>40.078028099999997</v>
      </c>
      <c r="I3370" s="2">
        <v>2.4408270500000002</v>
      </c>
      <c r="J3370" s="2">
        <v>2.5028490799999998</v>
      </c>
      <c r="L3370" s="2"/>
      <c r="M3370" s="2"/>
    </row>
    <row r="3371" spans="2:13">
      <c r="B3371" s="2"/>
      <c r="C3371" s="1">
        <v>23.414237549999999</v>
      </c>
      <c r="D3371" s="1">
        <v>0.164895717</v>
      </c>
      <c r="E3371" s="1"/>
      <c r="H3371" s="2">
        <v>30.8763793</v>
      </c>
      <c r="I3371" s="2">
        <v>5.2392274800000003</v>
      </c>
      <c r="J3371" s="2">
        <v>58.782191500000003</v>
      </c>
      <c r="L3371" s="2"/>
      <c r="M3371" s="2"/>
    </row>
    <row r="3372" spans="2:13">
      <c r="B3372" s="2"/>
      <c r="C3372" s="1">
        <v>30.339490380000001</v>
      </c>
      <c r="D3372" s="1">
        <v>0.12532074500000001</v>
      </c>
      <c r="E3372" s="1"/>
      <c r="H3372" s="2">
        <v>5.1212796300000001</v>
      </c>
      <c r="I3372" s="2">
        <v>39.177606099999998</v>
      </c>
      <c r="J3372" s="2">
        <v>70.844533600000005</v>
      </c>
      <c r="L3372" s="2"/>
      <c r="M3372" s="2"/>
    </row>
    <row r="3373" spans="2:13">
      <c r="B3373" s="2"/>
      <c r="C3373" s="1">
        <v>4.3411131510000001</v>
      </c>
      <c r="D3373" s="1">
        <v>4.3136719680000004</v>
      </c>
      <c r="E3373" s="1"/>
      <c r="H3373" s="2">
        <v>3.3844461199999998</v>
      </c>
      <c r="I3373" s="2">
        <v>60.865209399999998</v>
      </c>
      <c r="J3373" s="2">
        <v>2.25951653</v>
      </c>
      <c r="L3373" s="2"/>
      <c r="M3373" s="2"/>
    </row>
    <row r="3374" spans="2:13">
      <c r="B3374" s="2"/>
      <c r="C3374" s="1">
        <v>7.0822332780000004</v>
      </c>
      <c r="D3374" s="1">
        <v>14.51082313</v>
      </c>
      <c r="E3374" s="1"/>
      <c r="H3374" s="2">
        <v>62.3594607</v>
      </c>
      <c r="I3374" s="2">
        <v>3.7933872599999998</v>
      </c>
      <c r="J3374" s="2">
        <v>2.25951653</v>
      </c>
      <c r="L3374" s="2"/>
      <c r="M3374" s="2"/>
    </row>
    <row r="3375" spans="2:13">
      <c r="B3375" s="2"/>
      <c r="C3375" s="1">
        <v>43.737167829999997</v>
      </c>
      <c r="D3375" s="1">
        <v>2.275560901</v>
      </c>
      <c r="E3375" s="1"/>
      <c r="H3375" s="2">
        <v>82.796994799999993</v>
      </c>
      <c r="I3375" s="2">
        <v>3.0160537999999999</v>
      </c>
      <c r="J3375" s="2">
        <v>70.914057200000002</v>
      </c>
      <c r="L3375" s="2"/>
      <c r="M3375" s="2"/>
    </row>
    <row r="3376" spans="2:13">
      <c r="B3376" s="2"/>
      <c r="C3376" s="1">
        <v>38.466247410000001</v>
      </c>
      <c r="D3376" s="1">
        <v>0.18468320399999999</v>
      </c>
      <c r="E3376" s="1"/>
      <c r="H3376" s="2">
        <v>3.0870431200000001</v>
      </c>
      <c r="I3376" s="2">
        <v>52.050248099999997</v>
      </c>
      <c r="J3376" s="2">
        <v>191.57223999999999</v>
      </c>
      <c r="L3376" s="2"/>
      <c r="M3376" s="2"/>
    </row>
    <row r="3377" spans="2:13">
      <c r="B3377" s="2"/>
      <c r="C3377" s="1">
        <v>4.4316787939999998</v>
      </c>
      <c r="D3377" s="1">
        <v>0.15170406</v>
      </c>
      <c r="E3377" s="1"/>
      <c r="H3377" s="2">
        <v>3.5509917999999998</v>
      </c>
      <c r="I3377" s="2">
        <v>242.82342399999999</v>
      </c>
      <c r="J3377" s="2">
        <v>47.832226800000001</v>
      </c>
      <c r="L3377" s="2"/>
      <c r="M3377" s="2"/>
    </row>
    <row r="3378" spans="2:13">
      <c r="B3378" s="2"/>
      <c r="C3378" s="1">
        <v>2.7290447069999999</v>
      </c>
      <c r="D3378" s="1">
        <v>1.4049115130000001</v>
      </c>
      <c r="E3378" s="1"/>
      <c r="H3378" s="2">
        <v>76.212492400000002</v>
      </c>
      <c r="I3378" s="2">
        <v>39.239792799999996</v>
      </c>
      <c r="J3378" s="2">
        <v>4.7623655999999999</v>
      </c>
      <c r="L3378" s="2"/>
      <c r="M3378" s="2"/>
    </row>
    <row r="3379" spans="2:13">
      <c r="B3379" s="2"/>
      <c r="C3379" s="1">
        <v>44.159807499999999</v>
      </c>
      <c r="D3379" s="1">
        <v>0.30340812</v>
      </c>
      <c r="E3379" s="1"/>
      <c r="H3379" s="2">
        <v>220.09606299999999</v>
      </c>
      <c r="I3379" s="2">
        <v>5.5190675200000001</v>
      </c>
      <c r="J3379" s="2">
        <v>1.9466603899999999</v>
      </c>
      <c r="L3379" s="2"/>
      <c r="M3379" s="2"/>
    </row>
    <row r="3380" spans="2:13">
      <c r="B3380" s="2"/>
      <c r="C3380" s="1">
        <v>196.44291720000001</v>
      </c>
      <c r="D3380" s="1">
        <v>45.418876410000003</v>
      </c>
      <c r="E3380" s="1"/>
      <c r="H3380" s="2">
        <v>57.678337499999998</v>
      </c>
      <c r="I3380" s="2">
        <v>1.78786694</v>
      </c>
      <c r="J3380" s="2">
        <v>22.178023799999998</v>
      </c>
      <c r="L3380" s="2"/>
      <c r="M3380" s="2"/>
    </row>
    <row r="3381" spans="2:13">
      <c r="B3381" s="2"/>
      <c r="C3381" s="1">
        <v>28.763648199999999</v>
      </c>
      <c r="D3381" s="1">
        <v>0.118724917</v>
      </c>
      <c r="E3381" s="1"/>
      <c r="H3381" s="2">
        <v>5.7339298100000002</v>
      </c>
      <c r="I3381" s="2">
        <v>31.139978200000002</v>
      </c>
      <c r="J3381" s="2">
        <v>6.2571226900000001</v>
      </c>
      <c r="L3381" s="2"/>
      <c r="M3381" s="2"/>
    </row>
    <row r="3382" spans="2:13">
      <c r="B3382" s="2"/>
      <c r="C3382" s="1">
        <v>4.61281008</v>
      </c>
      <c r="D3382" s="1">
        <v>2.5789690209999998</v>
      </c>
      <c r="E3382" s="1"/>
      <c r="H3382" s="2">
        <v>2.8134323700000001</v>
      </c>
      <c r="I3382" s="2">
        <v>8.4262946400000001</v>
      </c>
      <c r="J3382" s="2">
        <v>39.107016799999997</v>
      </c>
      <c r="L3382" s="2"/>
      <c r="M3382" s="2"/>
    </row>
    <row r="3383" spans="2:13">
      <c r="B3383" s="2"/>
      <c r="C3383" s="1">
        <v>1.7448980540000001</v>
      </c>
      <c r="D3383" s="1">
        <v>6.0813540589999997</v>
      </c>
      <c r="E3383" s="1"/>
      <c r="H3383" s="2">
        <v>26.492659100000001</v>
      </c>
      <c r="I3383" s="2">
        <v>27.051204200000001</v>
      </c>
      <c r="J3383" s="2">
        <v>1.3904717099999999</v>
      </c>
      <c r="L3383" s="2"/>
      <c r="M3383" s="2"/>
    </row>
    <row r="3384" spans="2:13">
      <c r="B3384" s="2"/>
      <c r="C3384" s="1">
        <v>21.023304580000001</v>
      </c>
      <c r="D3384" s="1">
        <v>2.3415191879999999</v>
      </c>
      <c r="E3384" s="1"/>
      <c r="H3384" s="2">
        <v>9.3027657900000005</v>
      </c>
      <c r="I3384" s="2">
        <v>2.19208034</v>
      </c>
      <c r="J3384" s="2">
        <v>20.057554400000001</v>
      </c>
      <c r="L3384" s="2"/>
      <c r="M3384" s="2"/>
    </row>
    <row r="3385" spans="2:13">
      <c r="B3385" s="2"/>
      <c r="C3385" s="1">
        <v>4.9992234900000003</v>
      </c>
      <c r="D3385" s="1">
        <v>2.664714794</v>
      </c>
      <c r="E3385" s="1"/>
      <c r="H3385" s="2">
        <v>32.625108900000001</v>
      </c>
      <c r="I3385" s="2">
        <v>19.853096399999998</v>
      </c>
      <c r="J3385" s="2">
        <v>55.236488600000001</v>
      </c>
      <c r="L3385" s="2"/>
      <c r="M3385" s="2"/>
    </row>
    <row r="3386" spans="2:13">
      <c r="B3386" s="2"/>
      <c r="C3386" s="1">
        <v>34.801357729999999</v>
      </c>
      <c r="D3386" s="1">
        <v>0.45511217999999998</v>
      </c>
      <c r="E3386" s="1"/>
      <c r="H3386" s="2">
        <v>2.0996651700000002</v>
      </c>
      <c r="I3386" s="2">
        <v>50.153554499999998</v>
      </c>
      <c r="J3386" s="2">
        <v>33.9622715</v>
      </c>
      <c r="L3386" s="2"/>
      <c r="M3386" s="2"/>
    </row>
    <row r="3387" spans="2:13">
      <c r="B3387" s="2"/>
      <c r="C3387" s="1">
        <v>2.3848952639999998</v>
      </c>
      <c r="D3387" s="1">
        <v>0.60681624000000001</v>
      </c>
      <c r="E3387" s="1"/>
      <c r="H3387" s="2">
        <v>22.798913899999999</v>
      </c>
      <c r="I3387" s="2">
        <v>34.902272099999998</v>
      </c>
      <c r="J3387" s="2">
        <v>47.136990900000001</v>
      </c>
      <c r="L3387" s="2"/>
      <c r="M3387" s="2"/>
    </row>
    <row r="3388" spans="2:13">
      <c r="B3388" s="2"/>
      <c r="C3388" s="1">
        <v>24.416497339999999</v>
      </c>
      <c r="D3388" s="1">
        <v>1.226824138</v>
      </c>
      <c r="E3388" s="1"/>
      <c r="H3388" s="2">
        <v>67.587805399999993</v>
      </c>
      <c r="I3388" s="2">
        <v>29.3521112</v>
      </c>
      <c r="J3388" s="2">
        <v>5.6314104199999999</v>
      </c>
      <c r="L3388" s="2"/>
      <c r="M3388" s="2"/>
    </row>
    <row r="3389" spans="2:13">
      <c r="B3389" s="2"/>
      <c r="C3389" s="1">
        <v>134.10960410000001</v>
      </c>
      <c r="D3389" s="1">
        <v>66.743190589999998</v>
      </c>
      <c r="E3389" s="1"/>
      <c r="H3389" s="2">
        <v>37.817765299999998</v>
      </c>
      <c r="I3389" s="2">
        <v>8.3641079600000001</v>
      </c>
      <c r="J3389" s="2">
        <v>10.7066322</v>
      </c>
      <c r="L3389" s="2"/>
      <c r="M3389" s="2"/>
    </row>
    <row r="3390" spans="2:13">
      <c r="B3390" s="2"/>
      <c r="C3390" s="1">
        <v>24.706307389999999</v>
      </c>
      <c r="D3390" s="1">
        <v>4.1223929359999998</v>
      </c>
      <c r="E3390" s="1"/>
      <c r="H3390" s="2">
        <v>47.721285100000003</v>
      </c>
      <c r="I3390" s="2">
        <v>20.5526965</v>
      </c>
      <c r="J3390" s="2">
        <v>15.608044899999999</v>
      </c>
      <c r="L3390" s="2"/>
      <c r="M3390" s="2"/>
    </row>
    <row r="3391" spans="2:13">
      <c r="B3391" s="2"/>
      <c r="C3391" s="1">
        <v>23.921405149999998</v>
      </c>
      <c r="D3391" s="1">
        <v>0.55404961100000005</v>
      </c>
      <c r="E3391" s="1"/>
      <c r="H3391" s="2">
        <v>9.8024028300000001</v>
      </c>
      <c r="I3391" s="2">
        <v>17.256802700000001</v>
      </c>
      <c r="J3391" s="2">
        <v>14.6694765</v>
      </c>
      <c r="L3391" s="2"/>
      <c r="M3391" s="2"/>
    </row>
    <row r="3392" spans="2:13">
      <c r="B3392" s="2"/>
      <c r="C3392" s="1">
        <v>5.566768186</v>
      </c>
      <c r="D3392" s="1">
        <v>0.34957892099999999</v>
      </c>
      <c r="E3392" s="1"/>
      <c r="H3392" s="2">
        <v>14.578695</v>
      </c>
      <c r="I3392" s="2">
        <v>10.525095</v>
      </c>
      <c r="J3392" s="2">
        <v>48.1103211</v>
      </c>
      <c r="L3392" s="2"/>
      <c r="M3392" s="2"/>
    </row>
    <row r="3393" spans="2:13">
      <c r="B3393" s="2"/>
      <c r="C3393" s="1">
        <v>13.56673331</v>
      </c>
      <c r="D3393" s="1">
        <v>1.7281071189999999</v>
      </c>
      <c r="E3393" s="1"/>
      <c r="H3393" s="2">
        <v>15.405475300000001</v>
      </c>
      <c r="I3393" s="2">
        <v>51.941421400000003</v>
      </c>
      <c r="J3393" s="2">
        <v>13.835193500000001</v>
      </c>
      <c r="L3393" s="2"/>
      <c r="M3393" s="2"/>
    </row>
    <row r="3394" spans="2:13">
      <c r="B3394" s="2"/>
      <c r="C3394" s="1">
        <v>10.463350610000001</v>
      </c>
      <c r="D3394" s="1">
        <v>0.30340812</v>
      </c>
      <c r="E3394" s="1"/>
      <c r="H3394" s="2">
        <v>18.7244928</v>
      </c>
      <c r="I3394" s="2">
        <v>26.600350800000001</v>
      </c>
      <c r="J3394" s="2">
        <v>10.393776000000001</v>
      </c>
      <c r="L3394" s="2"/>
      <c r="M3394" s="2"/>
    </row>
    <row r="3395" spans="2:13">
      <c r="B3395" s="2"/>
      <c r="C3395" s="1">
        <v>13.029377159999999</v>
      </c>
      <c r="D3395" s="1">
        <v>0.57383709699999996</v>
      </c>
      <c r="E3395" s="1"/>
      <c r="H3395" s="2">
        <v>69.128353000000004</v>
      </c>
      <c r="I3395" s="2">
        <v>10.012054900000001</v>
      </c>
      <c r="J3395" s="2">
        <v>24.81992</v>
      </c>
      <c r="L3395" s="2"/>
      <c r="M3395" s="2"/>
    </row>
    <row r="3396" spans="2:13">
      <c r="B3396" s="2"/>
      <c r="C3396" s="1">
        <v>122.0281473</v>
      </c>
      <c r="D3396" s="1">
        <v>1.246611624</v>
      </c>
      <c r="E3396" s="1"/>
      <c r="H3396" s="2">
        <v>17.713322600000001</v>
      </c>
      <c r="I3396" s="2">
        <v>24.796937199999999</v>
      </c>
      <c r="J3396" s="2">
        <v>7.1261675100000001</v>
      </c>
      <c r="L3396" s="2"/>
      <c r="M3396" s="2"/>
    </row>
    <row r="3397" spans="2:13">
      <c r="B3397" s="2"/>
      <c r="C3397" s="1">
        <v>13.258810130000001</v>
      </c>
      <c r="D3397" s="1">
        <v>0.32979143500000002</v>
      </c>
      <c r="E3397" s="1"/>
      <c r="H3397" s="2">
        <v>11.7117301</v>
      </c>
      <c r="I3397" s="2">
        <v>7.4934944999999997</v>
      </c>
      <c r="J3397" s="2">
        <v>11.8537713</v>
      </c>
      <c r="L3397" s="2"/>
      <c r="M3397" s="2"/>
    </row>
    <row r="3398" spans="2:13">
      <c r="B3398" s="2"/>
      <c r="C3398" s="1">
        <v>9.6844860849999996</v>
      </c>
      <c r="D3398" s="1">
        <v>0.46170800899999997</v>
      </c>
      <c r="E3398" s="1"/>
      <c r="H3398" s="2">
        <v>27.016088400000001</v>
      </c>
      <c r="I3398" s="2">
        <v>10.167521600000001</v>
      </c>
      <c r="J3398" s="2">
        <v>20.8918374</v>
      </c>
      <c r="L3398" s="2"/>
      <c r="M3398" s="2"/>
    </row>
    <row r="3399" spans="2:13">
      <c r="B3399" s="2"/>
      <c r="C3399" s="1">
        <v>39.589261380000003</v>
      </c>
      <c r="D3399" s="1">
        <v>18.79811179</v>
      </c>
      <c r="E3399" s="1"/>
      <c r="H3399" s="2">
        <v>11.5154441</v>
      </c>
      <c r="I3399" s="2">
        <v>33.782911900000002</v>
      </c>
      <c r="J3399" s="2">
        <v>9.0728279000000001</v>
      </c>
      <c r="L3399" s="2"/>
      <c r="M3399" s="2"/>
    </row>
    <row r="3400" spans="2:13">
      <c r="B3400" s="2"/>
      <c r="C3400" s="1">
        <v>15.25729198</v>
      </c>
      <c r="D3400" s="1">
        <v>3.0736561729999998</v>
      </c>
      <c r="E3400" s="1"/>
      <c r="H3400" s="2">
        <v>17.850128000000002</v>
      </c>
      <c r="I3400" s="2">
        <v>7.12037444</v>
      </c>
      <c r="J3400" s="2">
        <v>6.2918844800000002</v>
      </c>
      <c r="L3400" s="2"/>
      <c r="M3400" s="2"/>
    </row>
    <row r="3401" spans="2:13">
      <c r="B3401" s="2"/>
      <c r="C3401" s="1">
        <v>16.597663499999999</v>
      </c>
      <c r="D3401" s="1">
        <v>1.846832035</v>
      </c>
      <c r="E3401" s="1"/>
      <c r="H3401" s="2">
        <v>26.492659100000001</v>
      </c>
      <c r="I3401" s="2">
        <v>4.0421339600000001</v>
      </c>
      <c r="J3401" s="2">
        <v>88.538286099999993</v>
      </c>
      <c r="L3401" s="2"/>
      <c r="M3401" s="2"/>
    </row>
    <row r="3402" spans="2:13">
      <c r="B3402" s="2"/>
      <c r="C3402" s="1">
        <v>34.867772530000003</v>
      </c>
      <c r="D3402" s="1">
        <v>2.4734357619999998</v>
      </c>
      <c r="E3402" s="1"/>
      <c r="H3402" s="2">
        <v>7.8990236400000002</v>
      </c>
      <c r="I3402" s="2">
        <v>122.134632</v>
      </c>
      <c r="J3402" s="2">
        <v>70.079774099999995</v>
      </c>
      <c r="L3402" s="2"/>
      <c r="M3402" s="2"/>
    </row>
    <row r="3403" spans="2:13">
      <c r="B3403" s="2"/>
      <c r="C3403" s="1">
        <v>7.4927975260000004</v>
      </c>
      <c r="D3403" s="1">
        <v>464.8278358</v>
      </c>
      <c r="E3403" s="1"/>
      <c r="H3403" s="2">
        <v>7.35775018</v>
      </c>
      <c r="I3403" s="2">
        <v>70.3331309</v>
      </c>
      <c r="J3403" s="2">
        <v>33.614653599999997</v>
      </c>
      <c r="L3403" s="2"/>
      <c r="M3403" s="2"/>
    </row>
    <row r="3404" spans="2:13">
      <c r="B3404" s="2"/>
      <c r="C3404" s="1">
        <v>5.8263896959999997</v>
      </c>
      <c r="D3404" s="1">
        <v>0.32319560600000002</v>
      </c>
      <c r="E3404" s="1"/>
      <c r="H3404" s="2">
        <v>88.536872700000004</v>
      </c>
      <c r="I3404" s="2">
        <v>23.770856999999999</v>
      </c>
      <c r="J3404" s="2">
        <v>52.420783399999998</v>
      </c>
      <c r="L3404" s="2"/>
      <c r="M3404" s="2"/>
    </row>
    <row r="3405" spans="2:13">
      <c r="B3405" s="2"/>
      <c r="C3405" s="1">
        <v>90.293946009999999</v>
      </c>
      <c r="D3405" s="1">
        <v>0.33638726400000002</v>
      </c>
      <c r="E3405" s="1"/>
      <c r="H3405" s="2">
        <v>72.905371099999996</v>
      </c>
      <c r="I3405" s="2">
        <v>38.711205999999997</v>
      </c>
      <c r="J3405" s="2">
        <v>16.685660500000001</v>
      </c>
      <c r="L3405" s="2"/>
      <c r="M3405" s="2"/>
    </row>
    <row r="3406" spans="2:13">
      <c r="B3406" s="2"/>
      <c r="C3406" s="1">
        <v>36.697198520000001</v>
      </c>
      <c r="D3406" s="1">
        <v>0.33638726400000002</v>
      </c>
      <c r="E3406" s="1"/>
      <c r="H3406" s="2">
        <v>42.492940400000002</v>
      </c>
      <c r="I3406" s="2">
        <v>13.852082100000001</v>
      </c>
      <c r="J3406" s="2">
        <v>4.51903305</v>
      </c>
      <c r="L3406" s="2"/>
      <c r="M3406" s="2"/>
    </row>
    <row r="3407" spans="2:13">
      <c r="B3407" s="2"/>
      <c r="C3407" s="1">
        <v>19.984818539999999</v>
      </c>
      <c r="D3407" s="1">
        <v>0.69915784199999997</v>
      </c>
      <c r="E3407" s="1"/>
      <c r="H3407" s="2">
        <v>59.349742399999997</v>
      </c>
      <c r="I3407" s="2">
        <v>4.8972007599999996</v>
      </c>
      <c r="J3407" s="2">
        <v>5.5618868399999997</v>
      </c>
      <c r="L3407" s="2"/>
      <c r="M3407" s="2"/>
    </row>
    <row r="3408" spans="2:13">
      <c r="B3408" s="2"/>
      <c r="C3408" s="1">
        <v>56.983902540000003</v>
      </c>
      <c r="D3408" s="1">
        <v>6.6749786420000001</v>
      </c>
      <c r="E3408" s="1"/>
      <c r="H3408" s="2">
        <v>23.786291800000001</v>
      </c>
      <c r="I3408" s="2">
        <v>5.9232809199999998</v>
      </c>
      <c r="J3408" s="2">
        <v>3.26760852</v>
      </c>
      <c r="L3408" s="2"/>
      <c r="M3408" s="2"/>
    </row>
    <row r="3409" spans="2:13">
      <c r="B3409" s="2"/>
      <c r="C3409" s="1">
        <v>9.8656173710000008</v>
      </c>
      <c r="D3409" s="1">
        <v>0.19127903199999999</v>
      </c>
      <c r="E3409" s="1"/>
      <c r="H3409" s="2">
        <v>6.6380349299999999</v>
      </c>
      <c r="I3409" s="2">
        <v>3.6068272299999999</v>
      </c>
      <c r="J3409" s="2">
        <v>10.6718704</v>
      </c>
      <c r="L3409" s="2"/>
      <c r="M3409" s="2"/>
    </row>
    <row r="3410" spans="2:13">
      <c r="B3410" s="2"/>
      <c r="C3410" s="1">
        <v>7.9878897069999999</v>
      </c>
      <c r="D3410" s="1">
        <v>1.3455490539999999</v>
      </c>
      <c r="E3410" s="1"/>
      <c r="H3410" s="2">
        <v>8.8209729400000008</v>
      </c>
      <c r="I3410" s="2">
        <v>9.9343215399999991</v>
      </c>
      <c r="J3410" s="2">
        <v>139.151456</v>
      </c>
      <c r="L3410" s="2"/>
      <c r="M3410" s="2"/>
    </row>
    <row r="3411" spans="2:13">
      <c r="B3411" s="2"/>
      <c r="C3411" s="1">
        <v>8.9237346839999994</v>
      </c>
      <c r="D3411" s="1">
        <v>0.87724521700000002</v>
      </c>
      <c r="E3411" s="1"/>
      <c r="H3411" s="2">
        <v>4.8655130599999996</v>
      </c>
      <c r="I3411" s="2">
        <v>99.685242099999996</v>
      </c>
      <c r="J3411" s="2">
        <v>2.9199905899999998</v>
      </c>
      <c r="L3411" s="2"/>
      <c r="M3411" s="2"/>
    </row>
    <row r="3412" spans="2:13">
      <c r="B3412" s="2"/>
      <c r="C3412" s="1">
        <v>6.4361983580000004</v>
      </c>
      <c r="D3412" s="1">
        <v>4.9930423240000001</v>
      </c>
      <c r="E3412" s="1"/>
      <c r="H3412" s="2">
        <v>12.3600686</v>
      </c>
      <c r="I3412" s="2">
        <v>3.56018722</v>
      </c>
      <c r="J3412" s="2">
        <v>34.727030900000003</v>
      </c>
      <c r="L3412" s="2"/>
      <c r="M3412" s="2"/>
    </row>
    <row r="3413" spans="2:13">
      <c r="B3413" s="2"/>
      <c r="C3413" s="1">
        <v>12.896547549999999</v>
      </c>
      <c r="D3413" s="1">
        <v>0.244045662</v>
      </c>
      <c r="E3413" s="1"/>
      <c r="H3413" s="2">
        <v>138.21507</v>
      </c>
      <c r="I3413" s="2">
        <v>39.146512700000002</v>
      </c>
      <c r="J3413" s="2">
        <v>21.621835099999998</v>
      </c>
      <c r="L3413" s="2"/>
      <c r="M3413" s="2"/>
    </row>
    <row r="3414" spans="2:13">
      <c r="B3414" s="2"/>
      <c r="C3414" s="1">
        <v>63.649533859999998</v>
      </c>
      <c r="D3414" s="1">
        <v>124.6941415</v>
      </c>
      <c r="E3414" s="1"/>
      <c r="H3414" s="2">
        <v>3.7651219600000001</v>
      </c>
      <c r="I3414" s="2">
        <v>17.894216100000001</v>
      </c>
      <c r="J3414" s="2">
        <v>12.827101499999999</v>
      </c>
      <c r="L3414" s="2"/>
      <c r="M3414" s="2"/>
    </row>
    <row r="3415" spans="2:13">
      <c r="B3415" s="2"/>
      <c r="C3415" s="1">
        <v>8.0905307690000008</v>
      </c>
      <c r="D3415" s="1">
        <v>2.6185439929999998</v>
      </c>
      <c r="E3415" s="1"/>
      <c r="H3415" s="2">
        <v>50.023184299999997</v>
      </c>
      <c r="I3415" s="2">
        <v>19.573256399999998</v>
      </c>
      <c r="J3415" s="2">
        <v>5.5271250399999996</v>
      </c>
      <c r="L3415" s="2"/>
      <c r="M3415" s="2"/>
    </row>
    <row r="3416" spans="2:13">
      <c r="B3416" s="2"/>
      <c r="C3416" s="1">
        <v>31.48665519</v>
      </c>
      <c r="D3416" s="1">
        <v>1.3587407119999999</v>
      </c>
      <c r="E3416" s="1"/>
      <c r="H3416" s="2">
        <v>23.2033819</v>
      </c>
      <c r="I3416" s="2">
        <v>8.597308</v>
      </c>
      <c r="J3416" s="2">
        <v>29.4084766</v>
      </c>
      <c r="L3416" s="2"/>
      <c r="M3416" s="2"/>
    </row>
    <row r="3417" spans="2:13">
      <c r="B3417" s="2"/>
      <c r="C3417" s="1">
        <v>14.84069002</v>
      </c>
      <c r="D3417" s="1">
        <v>2.2293900999999998</v>
      </c>
      <c r="E3417" s="1"/>
      <c r="H3417" s="2">
        <v>15.369787000000001</v>
      </c>
      <c r="I3417" s="2">
        <v>24.470457100000001</v>
      </c>
      <c r="J3417" s="2">
        <v>16.963754900000001</v>
      </c>
      <c r="L3417" s="2"/>
      <c r="M3417" s="2"/>
    </row>
    <row r="3418" spans="2:13">
      <c r="B3418" s="2"/>
      <c r="C3418" s="1">
        <v>24.005933089999999</v>
      </c>
      <c r="D3418" s="1">
        <v>0.20447069000000001</v>
      </c>
      <c r="E3418" s="1"/>
      <c r="H3418" s="2">
        <v>7.0841394199999996</v>
      </c>
      <c r="I3418" s="2">
        <v>9.91877487</v>
      </c>
      <c r="J3418" s="2">
        <v>34.587983800000003</v>
      </c>
      <c r="L3418" s="2"/>
      <c r="M3418" s="2"/>
    </row>
    <row r="3419" spans="2:13">
      <c r="B3419" s="2"/>
      <c r="C3419" s="1">
        <v>2.3245181690000001</v>
      </c>
      <c r="D3419" s="1">
        <v>1.576403059</v>
      </c>
      <c r="E3419" s="1"/>
      <c r="H3419" s="2">
        <v>31.494977500000001</v>
      </c>
      <c r="I3419" s="2">
        <v>20.1018431</v>
      </c>
      <c r="J3419" s="2">
        <v>37.2646418</v>
      </c>
      <c r="L3419" s="2"/>
      <c r="M3419" s="2"/>
    </row>
    <row r="3420" spans="2:13">
      <c r="B3420" s="2"/>
      <c r="C3420" s="1">
        <v>14.37578639</v>
      </c>
      <c r="D3420" s="1">
        <v>20.011744270000001</v>
      </c>
      <c r="E3420" s="1"/>
      <c r="H3420" s="2">
        <v>20.818209899999999</v>
      </c>
      <c r="I3420" s="2">
        <v>66.197716900000003</v>
      </c>
      <c r="J3420" s="2">
        <v>3.5804646500000001</v>
      </c>
      <c r="L3420" s="2"/>
      <c r="M3420" s="2"/>
    </row>
    <row r="3421" spans="2:13">
      <c r="B3421" s="2"/>
      <c r="C3421" s="1">
        <v>9.7750517279999993</v>
      </c>
      <c r="D3421" s="1">
        <v>2.4932232480000001</v>
      </c>
      <c r="E3421" s="1"/>
      <c r="H3421" s="2">
        <v>35.759736500000002</v>
      </c>
      <c r="I3421" s="2">
        <v>4.1043206400000001</v>
      </c>
      <c r="J3421" s="2">
        <v>20.613743100000001</v>
      </c>
      <c r="L3421" s="2"/>
      <c r="M3421" s="2"/>
    </row>
    <row r="3422" spans="2:13">
      <c r="B3422" s="2"/>
      <c r="C3422" s="1">
        <v>16.784832489999999</v>
      </c>
      <c r="D3422" s="1">
        <v>0.74532864300000001</v>
      </c>
      <c r="E3422" s="1"/>
      <c r="H3422" s="2">
        <v>47.037258199999997</v>
      </c>
      <c r="I3422" s="2">
        <v>32.414805000000001</v>
      </c>
      <c r="J3422" s="2">
        <v>216.809301</v>
      </c>
      <c r="L3422" s="2"/>
      <c r="M3422" s="2"/>
    </row>
    <row r="3423" spans="2:13">
      <c r="B3423" s="2"/>
      <c r="C3423" s="1">
        <v>20.389345079999998</v>
      </c>
      <c r="D3423" s="1">
        <v>0.69915784199999997</v>
      </c>
      <c r="E3423" s="1"/>
      <c r="H3423" s="2">
        <v>5.0380067899999998</v>
      </c>
      <c r="I3423" s="2">
        <v>249.042092</v>
      </c>
      <c r="J3423" s="2">
        <v>51.934118300000002</v>
      </c>
      <c r="L3423" s="2"/>
      <c r="M3423" s="2"/>
    </row>
    <row r="3424" spans="2:13">
      <c r="B3424" s="2"/>
      <c r="C3424" s="1">
        <v>4.9750726519999997</v>
      </c>
      <c r="D3424" s="1">
        <v>243.0101167</v>
      </c>
      <c r="E3424" s="1"/>
      <c r="H3424" s="2">
        <v>30.483807299999999</v>
      </c>
      <c r="I3424" s="2">
        <v>95.301081499999995</v>
      </c>
      <c r="J3424" s="2">
        <v>12.6532926</v>
      </c>
      <c r="L3424" s="2"/>
      <c r="M3424" s="2"/>
    </row>
    <row r="3425" spans="2:13">
      <c r="B3425" s="2"/>
      <c r="C3425" s="1">
        <v>24.193102079999999</v>
      </c>
      <c r="D3425" s="1">
        <v>1.510444772</v>
      </c>
      <c r="E3425" s="1"/>
      <c r="H3425" s="2">
        <v>296.87362100000001</v>
      </c>
      <c r="I3425" s="2">
        <v>12.794908700000001</v>
      </c>
      <c r="J3425" s="2">
        <v>13.835193500000001</v>
      </c>
      <c r="L3425" s="2"/>
      <c r="M3425" s="2"/>
    </row>
    <row r="3426" spans="2:13">
      <c r="B3426" s="2"/>
      <c r="C3426" s="1">
        <v>158.0853486</v>
      </c>
      <c r="D3426" s="1">
        <v>2.0776860400000001</v>
      </c>
      <c r="E3426" s="1"/>
      <c r="H3426" s="2">
        <v>76.1887002</v>
      </c>
      <c r="I3426" s="2">
        <v>15.608855800000001</v>
      </c>
      <c r="J3426" s="2">
        <v>3.23284672</v>
      </c>
      <c r="L3426" s="2"/>
      <c r="M3426" s="2"/>
    </row>
    <row r="3427" spans="2:13">
      <c r="B3427" s="2"/>
      <c r="C3427" s="1">
        <v>31.66778648</v>
      </c>
      <c r="D3427" s="1">
        <v>500.60361069999999</v>
      </c>
      <c r="E3427" s="1"/>
      <c r="H3427" s="2">
        <v>14.4716299</v>
      </c>
      <c r="I3427" s="2">
        <v>4.13541398</v>
      </c>
      <c r="J3427" s="2">
        <v>21.135169999999999</v>
      </c>
      <c r="L3427" s="2"/>
      <c r="M3427" s="2"/>
    </row>
    <row r="3428" spans="2:13">
      <c r="B3428" s="2"/>
      <c r="C3428" s="1">
        <v>24.93574036</v>
      </c>
      <c r="D3428" s="1">
        <v>0.94320350399999997</v>
      </c>
      <c r="E3428" s="1"/>
      <c r="H3428" s="2">
        <v>17.445659899999999</v>
      </c>
      <c r="I3428" s="2">
        <v>26.6314441</v>
      </c>
      <c r="J3428" s="2">
        <v>38.863684300000003</v>
      </c>
      <c r="L3428" s="2"/>
      <c r="M3428" s="2"/>
    </row>
    <row r="3429" spans="2:13">
      <c r="B3429" s="2"/>
      <c r="C3429" s="1">
        <v>4.9811103619999999</v>
      </c>
      <c r="D3429" s="1">
        <v>340.60859390000002</v>
      </c>
      <c r="E3429" s="1"/>
      <c r="H3429" s="2">
        <v>5.1986044099999997</v>
      </c>
      <c r="I3429" s="2">
        <v>21.858616699999999</v>
      </c>
      <c r="J3429" s="2">
        <v>105.710612</v>
      </c>
      <c r="L3429" s="2"/>
      <c r="M3429" s="2"/>
    </row>
    <row r="3430" spans="2:13">
      <c r="B3430" s="2"/>
      <c r="C3430" s="1">
        <v>10.02259782</v>
      </c>
      <c r="D3430" s="1">
        <v>0.79809527199999997</v>
      </c>
      <c r="E3430" s="1"/>
      <c r="H3430" s="2">
        <v>28.889727300000001</v>
      </c>
      <c r="I3430" s="2">
        <v>142.407489</v>
      </c>
      <c r="J3430" s="2">
        <v>14.252335</v>
      </c>
      <c r="L3430" s="2"/>
      <c r="M3430" s="2"/>
    </row>
    <row r="3431" spans="2:13">
      <c r="B3431" s="2"/>
      <c r="C3431" s="1">
        <v>50.064687419999998</v>
      </c>
      <c r="D3431" s="1">
        <v>1.371932369</v>
      </c>
      <c r="E3431" s="1"/>
      <c r="H3431" s="2">
        <v>47.037258199999997</v>
      </c>
      <c r="I3431" s="2">
        <v>29.585311300000001</v>
      </c>
      <c r="J3431" s="2">
        <v>38.446542800000003</v>
      </c>
      <c r="L3431" s="2"/>
      <c r="M3431" s="2"/>
    </row>
    <row r="3432" spans="2:13">
      <c r="B3432" s="2"/>
      <c r="C3432" s="1">
        <v>49.328086849999998</v>
      </c>
      <c r="D3432" s="1">
        <v>889.80367460000002</v>
      </c>
      <c r="E3432" s="1"/>
      <c r="H3432" s="2">
        <v>125.391052</v>
      </c>
      <c r="I3432" s="2">
        <v>29.771871300000001</v>
      </c>
      <c r="J3432" s="2">
        <v>13.730908100000001</v>
      </c>
      <c r="L3432" s="2"/>
      <c r="M3432" s="2"/>
    </row>
    <row r="3433" spans="2:13">
      <c r="B3433" s="2"/>
      <c r="C3433" s="1">
        <v>72.180817419999997</v>
      </c>
      <c r="D3433" s="1">
        <v>2.2953483870000002</v>
      </c>
      <c r="E3433" s="1"/>
      <c r="H3433" s="2">
        <v>21.496288700000001</v>
      </c>
      <c r="I3433" s="2">
        <v>9.5767481500000002</v>
      </c>
      <c r="J3433" s="2">
        <v>21.899929400000001</v>
      </c>
      <c r="L3433" s="2"/>
      <c r="M3433" s="2"/>
    </row>
    <row r="3434" spans="2:13">
      <c r="B3434" s="2"/>
      <c r="C3434" s="1">
        <v>25.91988701</v>
      </c>
      <c r="D3434" s="1">
        <v>0.73213698500000002</v>
      </c>
      <c r="E3434" s="1"/>
      <c r="H3434" s="2">
        <v>42.451304</v>
      </c>
      <c r="I3434" s="2">
        <v>31.4509115</v>
      </c>
      <c r="J3434" s="2">
        <v>80.612597300000004</v>
      </c>
      <c r="L3434" s="2"/>
      <c r="M3434" s="2"/>
    </row>
    <row r="3435" spans="2:13">
      <c r="B3435" s="2"/>
      <c r="C3435" s="1">
        <v>45.137916439999998</v>
      </c>
      <c r="D3435" s="1">
        <v>4.6830383749999998</v>
      </c>
      <c r="E3435" s="1"/>
      <c r="H3435" s="2">
        <v>18.296232499999999</v>
      </c>
      <c r="I3435" s="2">
        <v>70.908357699999996</v>
      </c>
      <c r="J3435" s="2">
        <v>38.585589900000002</v>
      </c>
      <c r="L3435" s="2"/>
      <c r="M3435" s="2"/>
    </row>
    <row r="3436" spans="2:13">
      <c r="B3436" s="2"/>
      <c r="C3436" s="1">
        <v>20.999153740000001</v>
      </c>
      <c r="D3436" s="1">
        <v>0.49468715200000002</v>
      </c>
      <c r="E3436" s="1"/>
      <c r="H3436" s="2">
        <v>25.0710728</v>
      </c>
      <c r="I3436" s="2">
        <v>44.774406900000002</v>
      </c>
      <c r="J3436" s="2">
        <v>18.319464799999999</v>
      </c>
      <c r="L3436" s="2"/>
      <c r="M3436" s="2"/>
    </row>
    <row r="3437" spans="2:13">
      <c r="B3437" s="2"/>
      <c r="C3437" s="1">
        <v>29.34930602</v>
      </c>
      <c r="D3437" s="1">
        <v>0.53426212500000003</v>
      </c>
      <c r="E3437" s="1"/>
      <c r="H3437" s="2">
        <v>76.926259599999995</v>
      </c>
      <c r="I3437" s="2">
        <v>21.5943234</v>
      </c>
      <c r="J3437" s="2">
        <v>55.584106599999998</v>
      </c>
      <c r="L3437" s="2"/>
      <c r="M3437" s="2"/>
    </row>
    <row r="3438" spans="2:13">
      <c r="B3438" s="2"/>
      <c r="C3438" s="1">
        <v>37.005121699999997</v>
      </c>
      <c r="D3438" s="1">
        <v>0.95639516099999999</v>
      </c>
      <c r="E3438" s="1"/>
      <c r="H3438" s="2">
        <v>45.038710100000003</v>
      </c>
      <c r="I3438" s="2">
        <v>56.558782100000002</v>
      </c>
      <c r="J3438" s="2">
        <v>12.3751982</v>
      </c>
      <c r="L3438" s="2"/>
      <c r="M3438" s="2"/>
    </row>
    <row r="3439" spans="2:13">
      <c r="B3439" s="2"/>
      <c r="C3439" s="1">
        <v>58.088803380000002</v>
      </c>
      <c r="D3439" s="1">
        <v>0.145108231</v>
      </c>
      <c r="E3439" s="1"/>
      <c r="H3439" s="2">
        <v>19.586961500000001</v>
      </c>
      <c r="I3439" s="2">
        <v>22.9157902</v>
      </c>
      <c r="J3439" s="2">
        <v>33.058464899999997</v>
      </c>
      <c r="L3439" s="2"/>
      <c r="M3439" s="2"/>
    </row>
    <row r="3440" spans="2:13">
      <c r="B3440" s="2"/>
      <c r="C3440" s="1">
        <v>39.44435635</v>
      </c>
      <c r="D3440" s="1">
        <v>2.0776860400000001</v>
      </c>
      <c r="E3440" s="1"/>
      <c r="H3440" s="2">
        <v>83.766528600000001</v>
      </c>
      <c r="I3440" s="2">
        <v>20.2417631</v>
      </c>
      <c r="J3440" s="2">
        <v>18.667082700000002</v>
      </c>
      <c r="L3440" s="2"/>
      <c r="M3440" s="2"/>
    </row>
    <row r="3441" spans="2:13">
      <c r="B3441" s="2"/>
      <c r="C3441" s="1">
        <v>65.068395600000002</v>
      </c>
      <c r="D3441" s="1">
        <v>0.74532864300000001</v>
      </c>
      <c r="E3441" s="1"/>
      <c r="H3441" s="2">
        <v>10.9444303</v>
      </c>
      <c r="I3441" s="2">
        <v>24.175070399999999</v>
      </c>
      <c r="J3441" s="2">
        <v>3.1980849299999998</v>
      </c>
      <c r="L3441" s="2"/>
      <c r="M3441" s="2"/>
    </row>
    <row r="3442" spans="2:13">
      <c r="B3442" s="2"/>
      <c r="C3442" s="1">
        <v>23.178766880000001</v>
      </c>
      <c r="D3442" s="1">
        <v>2.8493979970000001</v>
      </c>
      <c r="E3442" s="1"/>
      <c r="H3442" s="2">
        <v>25.897853099999999</v>
      </c>
      <c r="I3442" s="2">
        <v>5.1770408000000003</v>
      </c>
      <c r="J3442" s="2">
        <v>25.0980144</v>
      </c>
      <c r="L3442" s="2"/>
      <c r="M3442" s="2"/>
    </row>
    <row r="3443" spans="2:13">
      <c r="B3443" s="2"/>
      <c r="C3443" s="1">
        <v>31.77042754</v>
      </c>
      <c r="D3443" s="1">
        <v>5.9362458E-2</v>
      </c>
      <c r="E3443" s="1"/>
      <c r="H3443" s="2">
        <v>22.001873799999998</v>
      </c>
      <c r="I3443" s="2">
        <v>44.696673599999997</v>
      </c>
      <c r="J3443" s="2">
        <v>21.969453000000001</v>
      </c>
      <c r="L3443" s="2"/>
      <c r="M3443" s="2"/>
    </row>
    <row r="3444" spans="2:13">
      <c r="B3444" s="2"/>
      <c r="C3444" s="1">
        <v>25.044419130000001</v>
      </c>
      <c r="D3444" s="1">
        <v>0.145108231</v>
      </c>
      <c r="E3444" s="1"/>
      <c r="H3444" s="2">
        <v>3.4796150799999999</v>
      </c>
      <c r="I3444" s="2">
        <v>36.550218999999998</v>
      </c>
      <c r="J3444" s="2">
        <v>50.752217399999999</v>
      </c>
      <c r="L3444" s="2"/>
      <c r="M3444" s="2"/>
    </row>
    <row r="3445" spans="2:13">
      <c r="B3445" s="2"/>
      <c r="C3445" s="1">
        <v>2.8377234790000001</v>
      </c>
      <c r="D3445" s="1">
        <v>826.642019</v>
      </c>
      <c r="E3445" s="1"/>
      <c r="H3445" s="2">
        <v>37.056413599999999</v>
      </c>
      <c r="I3445" s="2">
        <v>48.800994199999998</v>
      </c>
      <c r="J3445" s="2">
        <v>2.67665804</v>
      </c>
      <c r="L3445" s="2"/>
      <c r="M3445" s="2"/>
    </row>
    <row r="3446" spans="2:13">
      <c r="B3446" s="2"/>
      <c r="C3446" s="1">
        <v>14.484465159999999</v>
      </c>
      <c r="D3446" s="1">
        <v>0.33638726400000002</v>
      </c>
      <c r="E3446" s="1"/>
      <c r="H3446" s="2">
        <v>26.992296100000001</v>
      </c>
      <c r="I3446" s="2">
        <v>1.8811469599999999</v>
      </c>
      <c r="J3446" s="2">
        <v>4.2757005100000001</v>
      </c>
      <c r="L3446" s="2"/>
      <c r="M3446" s="2"/>
    </row>
    <row r="3447" spans="2:13">
      <c r="B3447" s="2"/>
      <c r="C3447" s="1">
        <v>9.7750517279999993</v>
      </c>
      <c r="D3447" s="1">
        <v>0.25723731900000002</v>
      </c>
      <c r="E3447" s="1"/>
      <c r="H3447" s="2">
        <v>66.9216227</v>
      </c>
      <c r="I3447" s="2">
        <v>3.6068272299999999</v>
      </c>
      <c r="J3447" s="2">
        <v>39.5936819</v>
      </c>
      <c r="L3447" s="2"/>
      <c r="M3447" s="2"/>
    </row>
    <row r="3448" spans="2:13">
      <c r="B3448" s="2"/>
      <c r="C3448" s="1">
        <v>22.261035029999999</v>
      </c>
      <c r="D3448" s="1">
        <v>0.20447069000000001</v>
      </c>
      <c r="E3448" s="1"/>
      <c r="H3448" s="2">
        <v>2.6766269899999999</v>
      </c>
      <c r="I3448" s="2">
        <v>53.775928299999997</v>
      </c>
      <c r="J3448" s="2">
        <v>10.428537800000001</v>
      </c>
      <c r="L3448" s="2"/>
      <c r="M3448" s="2"/>
    </row>
    <row r="3449" spans="2:13">
      <c r="B3449" s="2"/>
      <c r="C3449" s="1">
        <v>4.0331899660000001</v>
      </c>
      <c r="D3449" s="1">
        <v>1.787469577</v>
      </c>
      <c r="E3449" s="1"/>
      <c r="H3449" s="2">
        <v>4.6156945399999998</v>
      </c>
      <c r="I3449" s="2">
        <v>10.105334900000001</v>
      </c>
      <c r="J3449" s="2">
        <v>11.7494859</v>
      </c>
      <c r="L3449" s="2"/>
      <c r="M3449" s="2"/>
    </row>
    <row r="3450" spans="2:13">
      <c r="B3450" s="2"/>
      <c r="C3450" s="1">
        <v>3.4414944319999998</v>
      </c>
      <c r="D3450" s="1">
        <v>0.96299098999999999</v>
      </c>
      <c r="E3450" s="1"/>
      <c r="H3450" s="2">
        <v>39.167974899999997</v>
      </c>
      <c r="I3450" s="2">
        <v>15.919789099999999</v>
      </c>
      <c r="J3450" s="2">
        <v>4.9709363599999996</v>
      </c>
      <c r="L3450" s="2"/>
      <c r="M3450" s="2"/>
    </row>
    <row r="3451" spans="2:13">
      <c r="B3451" s="2"/>
      <c r="C3451" s="1">
        <v>21.536509890000001</v>
      </c>
      <c r="D3451" s="1">
        <v>1.21363248</v>
      </c>
      <c r="E3451" s="1"/>
      <c r="H3451" s="2">
        <v>11.4202751</v>
      </c>
      <c r="I3451" s="2">
        <v>3.3736271900000001</v>
      </c>
      <c r="J3451" s="2">
        <v>27.531339800000001</v>
      </c>
      <c r="L3451" s="2"/>
      <c r="M3451" s="2"/>
    </row>
    <row r="3452" spans="2:13">
      <c r="B3452" s="2"/>
      <c r="C3452" s="1">
        <v>7.4263827210000004</v>
      </c>
      <c r="D3452" s="1">
        <v>0.56064543899999997</v>
      </c>
      <c r="E3452" s="1"/>
      <c r="H3452" s="2">
        <v>13.888719999999999</v>
      </c>
      <c r="I3452" s="2">
        <v>43.950433500000003</v>
      </c>
      <c r="J3452" s="2">
        <v>40.740821099999998</v>
      </c>
      <c r="L3452" s="2"/>
      <c r="M3452" s="2"/>
    </row>
    <row r="3453" spans="2:13">
      <c r="B3453" s="2"/>
      <c r="C3453" s="1">
        <v>10.96448051</v>
      </c>
      <c r="D3453" s="1">
        <v>1.8798111790000001</v>
      </c>
      <c r="E3453" s="1"/>
      <c r="H3453" s="2">
        <v>7.5361919799999999</v>
      </c>
      <c r="I3453" s="2">
        <v>29.942884599999999</v>
      </c>
      <c r="J3453" s="2">
        <v>19.292795000000002</v>
      </c>
      <c r="L3453" s="2"/>
      <c r="M3453" s="2"/>
    </row>
    <row r="3454" spans="2:13">
      <c r="B3454" s="2"/>
      <c r="C3454" s="1">
        <v>2.7894218020000001</v>
      </c>
      <c r="D3454" s="1">
        <v>0.73213698500000002</v>
      </c>
      <c r="E3454" s="1"/>
      <c r="H3454" s="2">
        <v>33.398356700000001</v>
      </c>
      <c r="I3454" s="2">
        <v>17.396722700000002</v>
      </c>
      <c r="J3454" s="2">
        <v>31.980849299999999</v>
      </c>
      <c r="L3454" s="2"/>
      <c r="M3454" s="2"/>
    </row>
    <row r="3455" spans="2:13">
      <c r="B3455" s="2"/>
      <c r="C3455" s="1">
        <v>56.585413709999997</v>
      </c>
      <c r="D3455" s="1">
        <v>13.534640489999999</v>
      </c>
      <c r="E3455" s="1"/>
      <c r="H3455" s="2">
        <v>37.222959299999999</v>
      </c>
      <c r="I3455" s="2">
        <v>22.5426702</v>
      </c>
      <c r="J3455" s="2">
        <v>41.123200799999999</v>
      </c>
      <c r="L3455" s="2"/>
      <c r="M3455" s="2"/>
    </row>
    <row r="3456" spans="2:13">
      <c r="B3456" s="2"/>
      <c r="C3456" s="1">
        <v>24.018008510000001</v>
      </c>
      <c r="D3456" s="1">
        <v>0.613412069</v>
      </c>
      <c r="E3456" s="1"/>
      <c r="H3456" s="2">
        <v>24.761773699999999</v>
      </c>
      <c r="I3456" s="2">
        <v>27.921817699999998</v>
      </c>
      <c r="J3456" s="2">
        <v>10.324252400000001</v>
      </c>
      <c r="L3456" s="2"/>
      <c r="M3456" s="2"/>
    </row>
    <row r="3457" spans="2:13">
      <c r="B3457" s="2"/>
      <c r="C3457" s="1">
        <v>28.437611879999999</v>
      </c>
      <c r="D3457" s="1">
        <v>11.305250389999999</v>
      </c>
      <c r="E3457" s="1"/>
      <c r="H3457" s="2">
        <v>28.8361947</v>
      </c>
      <c r="I3457" s="2">
        <v>22.6048568</v>
      </c>
      <c r="J3457" s="2">
        <v>73.243097300000002</v>
      </c>
      <c r="L3457" s="2"/>
      <c r="M3457" s="2"/>
    </row>
    <row r="3458" spans="2:13">
      <c r="B3458" s="2"/>
      <c r="C3458" s="1">
        <v>7.0399693110000001</v>
      </c>
      <c r="D3458" s="1">
        <v>8.9373478849999994</v>
      </c>
      <c r="E3458" s="1"/>
      <c r="H3458" s="2">
        <v>42.475096200000003</v>
      </c>
      <c r="I3458" s="2">
        <v>74.017691499999998</v>
      </c>
      <c r="J3458" s="2">
        <v>8.8642571500000003</v>
      </c>
      <c r="L3458" s="2"/>
      <c r="M3458" s="2"/>
    </row>
    <row r="3459" spans="2:13">
      <c r="B3459" s="2"/>
      <c r="C3459" s="1">
        <v>65.877448670000007</v>
      </c>
      <c r="D3459" s="1">
        <v>108.73883189999999</v>
      </c>
      <c r="E3459" s="1"/>
      <c r="H3459" s="2">
        <v>16.910334500000001</v>
      </c>
      <c r="I3459" s="2">
        <v>7.4779478299999997</v>
      </c>
      <c r="J3459" s="2">
        <v>39.211302199999999</v>
      </c>
      <c r="L3459" s="2"/>
      <c r="M3459" s="2"/>
    </row>
    <row r="3460" spans="2:13">
      <c r="B3460" s="2"/>
      <c r="C3460" s="1">
        <v>18.191618810000001</v>
      </c>
      <c r="D3460" s="1">
        <v>1.8864070079999999</v>
      </c>
      <c r="E3460" s="1"/>
      <c r="H3460" s="2">
        <v>95.954103399999994</v>
      </c>
      <c r="I3460" s="2">
        <v>68.856197399999999</v>
      </c>
      <c r="J3460" s="2">
        <v>82.594019500000002</v>
      </c>
      <c r="L3460" s="2"/>
      <c r="M3460" s="2"/>
    </row>
    <row r="3461" spans="2:13">
      <c r="B3461" s="2"/>
      <c r="C3461" s="1">
        <v>98.734663929999996</v>
      </c>
      <c r="D3461" s="1">
        <v>3.2979143000000002E-2</v>
      </c>
      <c r="E3461" s="1"/>
      <c r="H3461" s="2">
        <v>11.598716899999999</v>
      </c>
      <c r="I3461" s="2">
        <v>72.478571200000005</v>
      </c>
      <c r="J3461" s="2">
        <v>12.6185308</v>
      </c>
      <c r="L3461" s="2"/>
      <c r="M3461" s="2"/>
    </row>
    <row r="3462" spans="2:13">
      <c r="B3462" s="2"/>
      <c r="C3462" s="1">
        <v>7.4746843969999999</v>
      </c>
      <c r="D3462" s="1">
        <v>0.96299098999999999</v>
      </c>
      <c r="E3462" s="1"/>
      <c r="H3462" s="2">
        <v>42.796291500000002</v>
      </c>
      <c r="I3462" s="2">
        <v>21.019096600000001</v>
      </c>
      <c r="J3462" s="2">
        <v>62.884082999999997</v>
      </c>
      <c r="L3462" s="2"/>
      <c r="M3462" s="2"/>
    </row>
    <row r="3463" spans="2:13">
      <c r="B3463" s="2"/>
      <c r="C3463" s="1">
        <v>55.679757279999997</v>
      </c>
      <c r="D3463" s="1">
        <v>0.42213303699999999</v>
      </c>
      <c r="E3463" s="1"/>
      <c r="H3463" s="2">
        <v>84.712270099999998</v>
      </c>
      <c r="I3463" s="2">
        <v>91.709800900000005</v>
      </c>
      <c r="J3463" s="2">
        <v>0.72999765000000005</v>
      </c>
      <c r="L3463" s="2"/>
      <c r="M3463" s="2"/>
    </row>
    <row r="3464" spans="2:13">
      <c r="B3464" s="2"/>
      <c r="C3464" s="1">
        <v>189.9946435</v>
      </c>
      <c r="D3464" s="1">
        <v>1.3389532260000001</v>
      </c>
      <c r="E3464" s="1"/>
      <c r="H3464" s="2">
        <v>16.5177625</v>
      </c>
      <c r="I3464" s="2">
        <v>0.37312005999999998</v>
      </c>
      <c r="J3464" s="2">
        <v>12.0623421</v>
      </c>
      <c r="L3464" s="2"/>
      <c r="M3464" s="2"/>
    </row>
    <row r="3465" spans="2:13">
      <c r="B3465" s="2"/>
      <c r="C3465" s="1">
        <v>8.4527933409999996</v>
      </c>
      <c r="D3465" s="1">
        <v>6.9651951050000003</v>
      </c>
      <c r="E3465" s="1"/>
      <c r="H3465" s="2">
        <v>65.672530100000003</v>
      </c>
      <c r="I3465" s="2">
        <v>12.561708599999999</v>
      </c>
      <c r="J3465" s="2">
        <v>5.4228396700000001</v>
      </c>
      <c r="L3465" s="2"/>
      <c r="M3465" s="2"/>
    </row>
    <row r="3466" spans="2:13">
      <c r="B3466" s="2"/>
      <c r="C3466" s="1">
        <v>36.196068629999999</v>
      </c>
      <c r="D3466" s="1">
        <v>1.3191657400000001</v>
      </c>
      <c r="E3466" s="1"/>
      <c r="H3466" s="2">
        <v>1.0409104899999999</v>
      </c>
      <c r="I3466" s="2">
        <v>5.70562755</v>
      </c>
      <c r="J3466" s="2">
        <v>19.049462399999999</v>
      </c>
      <c r="L3466" s="2"/>
      <c r="M3466" s="2"/>
    </row>
    <row r="3467" spans="2:13">
      <c r="B3467" s="2"/>
      <c r="C3467" s="1">
        <v>0.38641341000000001</v>
      </c>
      <c r="D3467" s="1">
        <v>0.53426212500000003</v>
      </c>
      <c r="E3467" s="1"/>
      <c r="H3467" s="2">
        <v>14.6441236</v>
      </c>
      <c r="I3467" s="2">
        <v>20.474963200000001</v>
      </c>
      <c r="J3467" s="2">
        <v>174.05229600000001</v>
      </c>
      <c r="L3467" s="2"/>
      <c r="M3467" s="2"/>
    </row>
    <row r="3468" spans="2:13">
      <c r="B3468" s="2"/>
      <c r="C3468" s="1">
        <v>12.165984699999999</v>
      </c>
      <c r="D3468" s="1">
        <v>4.346651112</v>
      </c>
      <c r="E3468" s="1"/>
      <c r="H3468" s="2">
        <v>9.2016487700000003</v>
      </c>
      <c r="I3468" s="2">
        <v>142.68732900000001</v>
      </c>
      <c r="J3468" s="2">
        <v>13.591861</v>
      </c>
      <c r="L3468" s="2"/>
      <c r="M3468" s="2"/>
    </row>
    <row r="3469" spans="2:13">
      <c r="B3469" s="2"/>
      <c r="C3469" s="1">
        <v>7.3780810450000001</v>
      </c>
      <c r="D3469" s="1">
        <v>7.6709487750000003</v>
      </c>
      <c r="E3469" s="1"/>
      <c r="H3469" s="2">
        <v>25.7075152</v>
      </c>
      <c r="I3469" s="2">
        <v>26.740270800000001</v>
      </c>
      <c r="J3469" s="2">
        <v>8.4123538399999997</v>
      </c>
      <c r="L3469" s="2"/>
      <c r="M3469" s="2"/>
    </row>
    <row r="3470" spans="2:13">
      <c r="B3470" s="2"/>
      <c r="C3470" s="1">
        <v>27.350824169999999</v>
      </c>
      <c r="D3470" s="1">
        <v>0.244045662</v>
      </c>
      <c r="E3470" s="1"/>
      <c r="H3470" s="2">
        <v>174.403066</v>
      </c>
      <c r="I3470" s="2">
        <v>6.5451476800000004</v>
      </c>
      <c r="J3470" s="2">
        <v>52.976972099999998</v>
      </c>
      <c r="L3470" s="2"/>
      <c r="M3470" s="2"/>
    </row>
    <row r="3471" spans="2:13">
      <c r="B3471" s="2"/>
      <c r="C3471" s="1">
        <v>134.99110970000001</v>
      </c>
      <c r="D3471" s="1">
        <v>0.50128298100000002</v>
      </c>
      <c r="E3471" s="1"/>
      <c r="H3471" s="2">
        <v>20.925274999999999</v>
      </c>
      <c r="I3471" s="2">
        <v>71.110464399999998</v>
      </c>
      <c r="J3471" s="2">
        <v>99.696821499999999</v>
      </c>
      <c r="L3471" s="2"/>
      <c r="M3471" s="2"/>
    </row>
    <row r="3472" spans="2:13">
      <c r="B3472" s="2"/>
      <c r="C3472" s="1">
        <v>47.456396900000001</v>
      </c>
      <c r="D3472" s="1">
        <v>1.820448721</v>
      </c>
      <c r="E3472" s="1"/>
      <c r="H3472" s="2">
        <v>12.1518865</v>
      </c>
      <c r="I3472" s="2">
        <v>107.34975</v>
      </c>
      <c r="J3472" s="2">
        <v>2.53761087</v>
      </c>
      <c r="L3472" s="2"/>
      <c r="M3472" s="2"/>
    </row>
    <row r="3473" spans="2:13">
      <c r="B3473" s="2"/>
      <c r="C3473" s="1">
        <v>9.6905237940000006</v>
      </c>
      <c r="D3473" s="1">
        <v>1.8006612340000001</v>
      </c>
      <c r="E3473" s="1"/>
      <c r="H3473" s="2">
        <v>70.877082599999994</v>
      </c>
      <c r="I3473" s="2">
        <v>3.2181605000000002</v>
      </c>
      <c r="J3473" s="2">
        <v>9.9418727199999992</v>
      </c>
      <c r="L3473" s="2"/>
      <c r="M3473" s="2"/>
    </row>
    <row r="3474" spans="2:13">
      <c r="B3474" s="2"/>
      <c r="C3474" s="1">
        <v>61.312940269999999</v>
      </c>
      <c r="D3474" s="1">
        <v>1.1476741930000001</v>
      </c>
      <c r="E3474" s="1"/>
      <c r="H3474" s="2">
        <v>106.053909</v>
      </c>
      <c r="I3474" s="2">
        <v>7.9443479000000004</v>
      </c>
      <c r="J3474" s="2">
        <v>40.462726699999997</v>
      </c>
      <c r="L3474" s="2"/>
      <c r="M3474" s="2"/>
    </row>
    <row r="3475" spans="2:13">
      <c r="B3475" s="2"/>
      <c r="C3475" s="1">
        <v>171.10265029999999</v>
      </c>
      <c r="D3475" s="1">
        <v>2.908760456</v>
      </c>
      <c r="E3475" s="1"/>
      <c r="H3475" s="2">
        <v>3.9733040599999998</v>
      </c>
      <c r="I3475" s="2">
        <v>37.918325899999999</v>
      </c>
      <c r="J3475" s="2">
        <v>57.982670300000002</v>
      </c>
      <c r="L3475" s="2"/>
      <c r="M3475" s="2"/>
    </row>
    <row r="3476" spans="2:13">
      <c r="B3476" s="2"/>
      <c r="C3476" s="1">
        <v>5.4158254479999997</v>
      </c>
      <c r="D3476" s="1">
        <v>0.118724917</v>
      </c>
      <c r="E3476" s="1"/>
      <c r="H3476" s="2">
        <v>15.7147744</v>
      </c>
      <c r="I3476" s="2">
        <v>44.5567536</v>
      </c>
      <c r="J3476" s="2">
        <v>20.787552099999999</v>
      </c>
      <c r="L3476" s="2"/>
      <c r="M3476" s="2"/>
    </row>
    <row r="3477" spans="2:13">
      <c r="B3477" s="2"/>
      <c r="C3477" s="1">
        <v>7.0580824399999997</v>
      </c>
      <c r="D3477" s="1">
        <v>1.1806533370000001</v>
      </c>
      <c r="E3477" s="1"/>
      <c r="H3477" s="2">
        <v>45.229047999999999</v>
      </c>
      <c r="I3477" s="2">
        <v>46.966487299999997</v>
      </c>
      <c r="J3477" s="2">
        <v>36.638929500000003</v>
      </c>
      <c r="L3477" s="2"/>
      <c r="M3477" s="2"/>
    </row>
    <row r="3478" spans="2:13">
      <c r="B3478" s="2"/>
      <c r="C3478" s="1">
        <v>22.07990375</v>
      </c>
      <c r="D3478" s="1">
        <v>10.711625809999999</v>
      </c>
      <c r="E3478" s="1"/>
      <c r="H3478" s="2">
        <v>62.335668499999997</v>
      </c>
      <c r="I3478" s="2">
        <v>51.925874700000001</v>
      </c>
      <c r="J3478" s="2">
        <v>2.5028490799999998</v>
      </c>
      <c r="L3478" s="2"/>
      <c r="M3478" s="2"/>
    </row>
    <row r="3479" spans="2:13">
      <c r="B3479" s="2"/>
      <c r="C3479" s="1">
        <v>28.76968591</v>
      </c>
      <c r="D3479" s="1">
        <v>0.112129088</v>
      </c>
      <c r="E3479" s="1"/>
      <c r="H3479" s="2">
        <v>26.8971272</v>
      </c>
      <c r="I3479" s="2">
        <v>2.79840043</v>
      </c>
      <c r="J3479" s="2">
        <v>23.7770662</v>
      </c>
      <c r="L3479" s="2"/>
      <c r="M3479" s="2"/>
    </row>
    <row r="3480" spans="2:13">
      <c r="B3480" s="2"/>
      <c r="C3480" s="1">
        <v>10.4512752</v>
      </c>
      <c r="D3480" s="1">
        <v>0.66617869799999996</v>
      </c>
      <c r="E3480" s="1"/>
      <c r="H3480" s="2">
        <v>53.532539700000001</v>
      </c>
      <c r="I3480" s="2">
        <v>25.9007507</v>
      </c>
      <c r="J3480" s="2">
        <v>41.992245599999997</v>
      </c>
      <c r="L3480" s="2"/>
      <c r="M3480" s="2"/>
    </row>
    <row r="3481" spans="2:13">
      <c r="B3481" s="2"/>
      <c r="C3481" s="1">
        <v>82.776997649999998</v>
      </c>
      <c r="D3481" s="1">
        <v>1.4312948270000001</v>
      </c>
      <c r="E3481" s="1"/>
      <c r="H3481" s="2">
        <v>5.21050053</v>
      </c>
      <c r="I3481" s="2">
        <v>31.0311515</v>
      </c>
      <c r="J3481" s="2">
        <v>1.0776155700000001</v>
      </c>
      <c r="L3481" s="2"/>
      <c r="M3481" s="2"/>
    </row>
    <row r="3482" spans="2:13">
      <c r="B3482" s="2"/>
      <c r="C3482" s="1">
        <v>1.980368726</v>
      </c>
      <c r="D3482" s="1">
        <v>1.0949075640000001</v>
      </c>
      <c r="E3482" s="1"/>
      <c r="H3482" s="2">
        <v>30.2101966</v>
      </c>
      <c r="I3482" s="2">
        <v>1.6168535799999999</v>
      </c>
      <c r="J3482" s="2">
        <v>12.131865700000001</v>
      </c>
      <c r="L3482" s="2"/>
      <c r="M3482" s="2"/>
    </row>
    <row r="3483" spans="2:13">
      <c r="B3483" s="2"/>
      <c r="C3483" s="1">
        <v>45.415651080000004</v>
      </c>
      <c r="D3483" s="1">
        <v>3.5683433249999998</v>
      </c>
      <c r="E3483" s="1"/>
      <c r="H3483" s="2">
        <v>62.032317399999997</v>
      </c>
      <c r="I3483" s="2">
        <v>19.122402999999998</v>
      </c>
      <c r="J3483" s="2">
        <v>20.509457699999999</v>
      </c>
      <c r="L3483" s="2"/>
      <c r="M3483" s="2"/>
    </row>
    <row r="3484" spans="2:13">
      <c r="B3484" s="2"/>
      <c r="C3484" s="1">
        <v>58.0405017</v>
      </c>
      <c r="D3484" s="1">
        <v>2.5525857059999999</v>
      </c>
      <c r="E3484" s="1"/>
      <c r="H3484" s="2">
        <v>1.82605441</v>
      </c>
      <c r="I3484" s="2">
        <v>15.049175699999999</v>
      </c>
      <c r="J3484" s="2">
        <v>14.8085237</v>
      </c>
      <c r="L3484" s="2"/>
      <c r="M3484" s="2"/>
    </row>
    <row r="3485" spans="2:13">
      <c r="B3485" s="2"/>
      <c r="C3485" s="1">
        <v>2.1252737540000002</v>
      </c>
      <c r="D3485" s="1">
        <v>1.827044549</v>
      </c>
      <c r="E3485" s="1"/>
      <c r="H3485" s="2">
        <v>14.0076812</v>
      </c>
      <c r="I3485" s="2">
        <v>17.6921094</v>
      </c>
      <c r="J3485" s="2">
        <v>45.642233900000001</v>
      </c>
      <c r="L3485" s="2"/>
      <c r="M3485" s="2"/>
    </row>
    <row r="3486" spans="2:13">
      <c r="B3486" s="2"/>
      <c r="C3486" s="1">
        <v>21.886697040000001</v>
      </c>
      <c r="D3486" s="1">
        <v>0.38915389299999997</v>
      </c>
      <c r="E3486" s="1"/>
      <c r="H3486" s="2">
        <v>22.81081</v>
      </c>
      <c r="I3486" s="2">
        <v>32.3059783</v>
      </c>
      <c r="J3486" s="2">
        <v>15.086618</v>
      </c>
      <c r="L3486" s="2"/>
      <c r="M3486" s="2"/>
    </row>
    <row r="3487" spans="2:13">
      <c r="B3487" s="2"/>
      <c r="C3487" s="1">
        <v>40.95982145</v>
      </c>
      <c r="D3487" s="1">
        <v>0.31659977700000003</v>
      </c>
      <c r="E3487" s="1"/>
      <c r="H3487" s="2">
        <v>16.9281787</v>
      </c>
      <c r="I3487" s="2">
        <v>12.266321899999999</v>
      </c>
      <c r="J3487" s="2">
        <v>62.1540854</v>
      </c>
      <c r="L3487" s="2"/>
      <c r="M3487" s="2"/>
    </row>
    <row r="3488" spans="2:13">
      <c r="B3488" s="2"/>
      <c r="C3488" s="1">
        <v>21.26481296</v>
      </c>
      <c r="D3488" s="1">
        <v>4.0630304779999999</v>
      </c>
      <c r="E3488" s="1"/>
      <c r="H3488" s="2">
        <v>59.7839508</v>
      </c>
      <c r="I3488" s="2">
        <v>51.801501399999999</v>
      </c>
      <c r="J3488" s="2">
        <v>7.4737854400000003</v>
      </c>
      <c r="L3488" s="2"/>
      <c r="M3488" s="2"/>
    </row>
    <row r="3489" spans="2:13">
      <c r="B3489" s="2"/>
      <c r="C3489" s="1">
        <v>42.088873130000003</v>
      </c>
      <c r="D3489" s="1">
        <v>2.2953483870000002</v>
      </c>
      <c r="E3489" s="1"/>
      <c r="H3489" s="2">
        <v>14.989111100000001</v>
      </c>
      <c r="I3489" s="2">
        <v>9.5767481500000002</v>
      </c>
      <c r="J3489" s="2">
        <v>3.8237972</v>
      </c>
      <c r="L3489" s="2"/>
      <c r="M3489" s="2"/>
    </row>
    <row r="3490" spans="2:13">
      <c r="B3490" s="2"/>
      <c r="C3490" s="1">
        <v>26.010452650000001</v>
      </c>
      <c r="D3490" s="1">
        <v>5.9494374849999998</v>
      </c>
      <c r="E3490" s="1"/>
      <c r="H3490" s="2">
        <v>62.597383100000002</v>
      </c>
      <c r="I3490" s="2">
        <v>6.8405343900000002</v>
      </c>
      <c r="J3490" s="2">
        <v>24.576587499999999</v>
      </c>
      <c r="L3490" s="2"/>
      <c r="M3490" s="2"/>
    </row>
    <row r="3491" spans="2:13">
      <c r="B3491" s="2"/>
      <c r="C3491" s="1">
        <v>45.814139910000002</v>
      </c>
      <c r="D3491" s="1">
        <v>0.52766629600000003</v>
      </c>
      <c r="E3491" s="1"/>
      <c r="H3491" s="2">
        <v>7.7086857200000001</v>
      </c>
      <c r="I3491" s="2">
        <v>33.891738599999996</v>
      </c>
      <c r="J3491" s="2">
        <v>35.978455500000003</v>
      </c>
      <c r="L3491" s="2"/>
      <c r="M3491" s="2"/>
    </row>
    <row r="3492" spans="2:13">
      <c r="B3492" s="2"/>
      <c r="C3492" s="1">
        <v>7.7946830020000002</v>
      </c>
      <c r="D3492" s="1">
        <v>723.4568749</v>
      </c>
      <c r="E3492" s="1"/>
      <c r="H3492" s="2">
        <v>6.4001125300000004</v>
      </c>
      <c r="I3492" s="2">
        <v>35.897258899999997</v>
      </c>
      <c r="J3492" s="2">
        <v>72.235005299999997</v>
      </c>
      <c r="L3492" s="2"/>
      <c r="M3492" s="2"/>
    </row>
    <row r="3493" spans="2:13">
      <c r="B3493" s="2"/>
      <c r="C3493" s="1">
        <v>9.7871271469999996</v>
      </c>
      <c r="D3493" s="1">
        <v>1.1344825359999999</v>
      </c>
      <c r="E3493" s="1"/>
      <c r="H3493" s="2">
        <v>37.062361699999997</v>
      </c>
      <c r="I3493" s="2">
        <v>37.716219199999998</v>
      </c>
      <c r="J3493" s="2">
        <v>9.5942547900000008</v>
      </c>
      <c r="L3493" s="2"/>
      <c r="M3493" s="2"/>
    </row>
    <row r="3494" spans="2:13">
      <c r="B3494" s="2"/>
      <c r="C3494" s="1">
        <v>59.22993048</v>
      </c>
      <c r="D3494" s="1">
        <v>4.3928219129999997</v>
      </c>
      <c r="E3494" s="1"/>
      <c r="H3494" s="2">
        <v>41.077302199999998</v>
      </c>
      <c r="I3494" s="2">
        <v>10.9293084</v>
      </c>
      <c r="J3494" s="2">
        <v>44.738427199999997</v>
      </c>
      <c r="L3494" s="2"/>
      <c r="M3494" s="2"/>
    </row>
    <row r="3495" spans="2:13">
      <c r="B3495" s="2"/>
      <c r="C3495" s="1">
        <v>27.80969009</v>
      </c>
      <c r="D3495" s="1">
        <v>0.58043292499999999</v>
      </c>
      <c r="E3495" s="1"/>
      <c r="H3495" s="2">
        <v>84.599256999999994</v>
      </c>
      <c r="I3495" s="2">
        <v>43.546220099999999</v>
      </c>
      <c r="J3495" s="2">
        <v>14.2870968</v>
      </c>
      <c r="L3495" s="2"/>
      <c r="M3495" s="2"/>
    </row>
    <row r="3496" spans="2:13">
      <c r="B3496" s="2"/>
      <c r="C3496" s="1">
        <v>89.629797960000005</v>
      </c>
      <c r="D3496" s="1">
        <v>9.4254392090000003</v>
      </c>
      <c r="E3496" s="1"/>
      <c r="H3496" s="2">
        <v>13.632953499999999</v>
      </c>
      <c r="I3496" s="2">
        <v>13.307948700000001</v>
      </c>
      <c r="J3496" s="2">
        <v>86.348293100000006</v>
      </c>
      <c r="L3496" s="2"/>
      <c r="M3496" s="2"/>
    </row>
    <row r="3497" spans="2:13">
      <c r="B3497" s="2"/>
      <c r="C3497" s="1">
        <v>10.191653690000001</v>
      </c>
      <c r="D3497" s="1">
        <v>0.19127903199999999</v>
      </c>
      <c r="E3497" s="1"/>
      <c r="H3497" s="2">
        <v>51.355549799999999</v>
      </c>
      <c r="I3497" s="2">
        <v>122.305646</v>
      </c>
      <c r="J3497" s="2">
        <v>8.2385448799999992</v>
      </c>
      <c r="L3497" s="2"/>
      <c r="M3497" s="2"/>
    </row>
    <row r="3498" spans="2:13">
      <c r="B3498" s="2"/>
      <c r="C3498" s="1">
        <v>77.04117359</v>
      </c>
      <c r="D3498" s="1">
        <v>1.860023693</v>
      </c>
      <c r="E3498" s="1"/>
      <c r="H3498" s="2">
        <v>20.681404499999999</v>
      </c>
      <c r="I3498" s="2">
        <v>10.245254900000001</v>
      </c>
      <c r="J3498" s="2">
        <v>21.5175497</v>
      </c>
      <c r="L3498" s="2"/>
      <c r="M3498" s="2"/>
    </row>
    <row r="3499" spans="2:13">
      <c r="B3499" s="2"/>
      <c r="C3499" s="1">
        <v>15.93351545</v>
      </c>
      <c r="D3499" s="1">
        <v>0.40234555100000002</v>
      </c>
      <c r="E3499" s="1"/>
      <c r="H3499" s="2">
        <v>94.841816199999997</v>
      </c>
      <c r="I3499" s="2">
        <v>25.014590500000001</v>
      </c>
      <c r="J3499" s="2">
        <v>5.4576014600000002</v>
      </c>
      <c r="L3499" s="2"/>
      <c r="M3499" s="2"/>
    </row>
    <row r="3500" spans="2:13">
      <c r="B3500" s="2"/>
      <c r="C3500" s="1">
        <v>97.678064759999998</v>
      </c>
      <c r="D3500" s="1">
        <v>1.3653365399999999</v>
      </c>
      <c r="E3500" s="1"/>
      <c r="H3500" s="2">
        <v>6.3168396900000001</v>
      </c>
      <c r="I3500" s="2">
        <v>5.2081341400000003</v>
      </c>
      <c r="J3500" s="2">
        <v>22.247547300000001</v>
      </c>
      <c r="L3500" s="2"/>
      <c r="M3500" s="2"/>
    </row>
    <row r="3501" spans="2:13">
      <c r="B3501" s="2"/>
      <c r="C3501" s="1">
        <v>19.779536419999999</v>
      </c>
      <c r="D3501" s="1">
        <v>0.80469110099999996</v>
      </c>
      <c r="E3501" s="1"/>
      <c r="H3501" s="2">
        <v>29.2941954</v>
      </c>
      <c r="I3501" s="2">
        <v>20.257309800000002</v>
      </c>
      <c r="J3501" s="2">
        <v>14.9128091</v>
      </c>
      <c r="L3501" s="2"/>
      <c r="M3501" s="2"/>
    </row>
    <row r="3502" spans="2:13">
      <c r="B3502" s="2"/>
      <c r="C3502" s="1">
        <v>25.002155160000001</v>
      </c>
      <c r="D3502" s="1">
        <v>0.34298309199999999</v>
      </c>
      <c r="E3502" s="1"/>
      <c r="H3502" s="2">
        <v>8.2796994799999997</v>
      </c>
      <c r="I3502" s="2">
        <v>13.121388700000001</v>
      </c>
      <c r="J3502" s="2">
        <v>17.241849200000001</v>
      </c>
      <c r="L3502" s="2"/>
      <c r="M3502" s="2"/>
    </row>
    <row r="3503" spans="2:13">
      <c r="B3503" s="2"/>
      <c r="C3503" s="1">
        <v>7.6678911019999996</v>
      </c>
      <c r="D3503" s="1">
        <v>0.34957892099999999</v>
      </c>
      <c r="E3503" s="1"/>
      <c r="H3503" s="2">
        <v>25.011592199999999</v>
      </c>
      <c r="I3503" s="2">
        <v>13.401228700000001</v>
      </c>
      <c r="J3503" s="2">
        <v>13.696146300000001</v>
      </c>
      <c r="L3503" s="2"/>
      <c r="M3503" s="2"/>
    </row>
    <row r="3504" spans="2:13">
      <c r="B3504" s="2"/>
      <c r="C3504" s="1">
        <v>24.579515489999999</v>
      </c>
      <c r="D3504" s="1">
        <v>0.32319560600000002</v>
      </c>
      <c r="E3504" s="1"/>
      <c r="H3504" s="2">
        <v>16.422593599999999</v>
      </c>
      <c r="I3504" s="2">
        <v>14.3184822</v>
      </c>
      <c r="J3504" s="2">
        <v>9.7680637600000004</v>
      </c>
      <c r="L3504" s="2"/>
      <c r="M3504" s="2"/>
    </row>
    <row r="3505" spans="2:13">
      <c r="B3505" s="2"/>
      <c r="C3505" s="1">
        <v>18.722937250000001</v>
      </c>
      <c r="D3505" s="1">
        <v>5.6262418790000002</v>
      </c>
      <c r="E3505" s="1"/>
      <c r="H3505" s="2">
        <v>29.228766700000001</v>
      </c>
      <c r="I3505" s="2">
        <v>16.572749200000001</v>
      </c>
      <c r="J3505" s="2">
        <v>7.8909269499999999</v>
      </c>
      <c r="L3505" s="2"/>
      <c r="M3505" s="2"/>
    </row>
    <row r="3506" spans="2:13">
      <c r="B3506" s="2"/>
      <c r="C3506" s="1">
        <v>26.529695669999999</v>
      </c>
      <c r="D3506" s="1">
        <v>560.48713940000005</v>
      </c>
      <c r="E3506" s="1"/>
      <c r="H3506" s="2">
        <v>20.4910666</v>
      </c>
      <c r="I3506" s="2">
        <v>7.4468544899999998</v>
      </c>
      <c r="J3506" s="2">
        <v>8.1690212899999999</v>
      </c>
      <c r="L3506" s="2"/>
      <c r="M3506" s="2"/>
    </row>
    <row r="3507" spans="2:13">
      <c r="B3507" s="2"/>
      <c r="C3507" s="1">
        <v>15.480687229999999</v>
      </c>
      <c r="D3507" s="1">
        <v>2.9879104000000001</v>
      </c>
      <c r="E3507" s="1"/>
      <c r="H3507" s="2">
        <v>13.293913999999999</v>
      </c>
      <c r="I3507" s="2">
        <v>11.6444551</v>
      </c>
      <c r="J3507" s="2">
        <v>15.3994742</v>
      </c>
      <c r="L3507" s="2"/>
      <c r="M3507" s="2"/>
    </row>
    <row r="3508" spans="2:13">
      <c r="B3508" s="2"/>
      <c r="C3508" s="1">
        <v>12.34107828</v>
      </c>
      <c r="D3508" s="1">
        <v>0.50128298100000002</v>
      </c>
      <c r="E3508" s="1"/>
      <c r="H3508" s="2">
        <v>10.504273899999999</v>
      </c>
      <c r="I3508" s="2">
        <v>10.6339217</v>
      </c>
      <c r="J3508" s="2">
        <v>95.038741299999998</v>
      </c>
      <c r="L3508" s="2"/>
      <c r="M3508" s="2"/>
    </row>
    <row r="3509" spans="2:13">
      <c r="B3509" s="2"/>
      <c r="C3509" s="1">
        <v>4.1358310280000001</v>
      </c>
      <c r="D3509" s="1">
        <v>0.63979538400000002</v>
      </c>
      <c r="E3509" s="1"/>
      <c r="H3509" s="2">
        <v>10.7778847</v>
      </c>
      <c r="I3509" s="2">
        <v>102.856763</v>
      </c>
      <c r="J3509" s="2">
        <v>28.8175262</v>
      </c>
      <c r="L3509" s="2"/>
      <c r="M3509" s="2"/>
    </row>
    <row r="3510" spans="2:13">
      <c r="B3510" s="2"/>
      <c r="C3510" s="1">
        <v>5.5848813149999996</v>
      </c>
      <c r="D3510" s="1">
        <v>0.230854004</v>
      </c>
      <c r="E3510" s="1"/>
      <c r="H3510" s="2">
        <v>17.9274527</v>
      </c>
      <c r="I3510" s="2">
        <v>39.084326099999998</v>
      </c>
      <c r="J3510" s="2">
        <v>13.209481200000001</v>
      </c>
      <c r="L3510" s="2"/>
      <c r="M3510" s="2"/>
    </row>
    <row r="3511" spans="2:13">
      <c r="B3511" s="2"/>
      <c r="C3511" s="1">
        <v>10.38486039</v>
      </c>
      <c r="D3511" s="1">
        <v>9.7486348150000008</v>
      </c>
      <c r="E3511" s="1"/>
      <c r="H3511" s="2">
        <v>101.295461</v>
      </c>
      <c r="I3511" s="2">
        <v>14.2562955</v>
      </c>
      <c r="J3511" s="2">
        <v>7.8214033599999997</v>
      </c>
      <c r="L3511" s="2"/>
      <c r="M3511" s="2"/>
    </row>
    <row r="3512" spans="2:13">
      <c r="B3512" s="2"/>
      <c r="C3512" s="1">
        <v>108.9323553</v>
      </c>
      <c r="D3512" s="1">
        <v>0.19787486100000001</v>
      </c>
      <c r="E3512" s="1"/>
      <c r="H3512" s="2">
        <v>38.4779999</v>
      </c>
      <c r="I3512" s="2">
        <v>13.276855400000001</v>
      </c>
      <c r="J3512" s="2">
        <v>2.6071344500000002</v>
      </c>
      <c r="L3512" s="2"/>
      <c r="M3512" s="2"/>
    </row>
    <row r="3513" spans="2:13">
      <c r="B3513" s="2"/>
      <c r="C3513" s="1">
        <v>29.590814399999999</v>
      </c>
      <c r="D3513" s="1">
        <v>0.99597013300000004</v>
      </c>
      <c r="E3513" s="1"/>
      <c r="H3513" s="2">
        <v>13.2760699</v>
      </c>
      <c r="I3513" s="2">
        <v>1.3059202000000001</v>
      </c>
      <c r="J3513" s="2">
        <v>62.605988699999997</v>
      </c>
      <c r="L3513" s="2"/>
      <c r="M3513" s="2"/>
    </row>
    <row r="3514" spans="2:13">
      <c r="B3514" s="2"/>
      <c r="C3514" s="1">
        <v>8.4890195980000005</v>
      </c>
      <c r="D3514" s="1">
        <v>0.50787881000000001</v>
      </c>
      <c r="E3514" s="1"/>
      <c r="H3514" s="2">
        <v>15.119968399999999</v>
      </c>
      <c r="I3514" s="2">
        <v>57.429395599999999</v>
      </c>
      <c r="J3514" s="2">
        <v>1.8076132199999999</v>
      </c>
      <c r="L3514" s="2"/>
      <c r="M3514" s="2"/>
    </row>
    <row r="3515" spans="2:13">
      <c r="B3515" s="2"/>
      <c r="C3515" s="1">
        <v>18.028600650000001</v>
      </c>
      <c r="D3515" s="1">
        <v>1.860023693</v>
      </c>
      <c r="E3515" s="1"/>
      <c r="H3515" s="2">
        <v>3.6283165799999999</v>
      </c>
      <c r="I3515" s="2">
        <v>2.4563737099999998</v>
      </c>
      <c r="J3515" s="2">
        <v>21.5870733</v>
      </c>
      <c r="L3515" s="2"/>
      <c r="M3515" s="2"/>
    </row>
    <row r="3516" spans="2:13">
      <c r="B3516" s="2"/>
      <c r="C3516" s="1">
        <v>5.0112989089999997</v>
      </c>
      <c r="D3516" s="1">
        <v>0.850861902</v>
      </c>
      <c r="E3516" s="1"/>
      <c r="H3516" s="2">
        <v>79.317379700000004</v>
      </c>
      <c r="I3516" s="2">
        <v>15.733229100000001</v>
      </c>
      <c r="J3516" s="2">
        <v>7.05664392</v>
      </c>
      <c r="L3516" s="2"/>
      <c r="M3516" s="2"/>
    </row>
    <row r="3517" spans="2:13">
      <c r="B3517" s="2"/>
      <c r="C3517" s="1">
        <v>125.463604</v>
      </c>
      <c r="D3517" s="1">
        <v>0.42872886500000001</v>
      </c>
      <c r="E3517" s="1"/>
      <c r="H3517" s="2">
        <v>3.6580568800000002</v>
      </c>
      <c r="I3517" s="2">
        <v>8.2708279499999993</v>
      </c>
      <c r="J3517" s="2">
        <v>33.301797399999998</v>
      </c>
      <c r="L3517" s="2"/>
      <c r="M3517" s="2"/>
    </row>
    <row r="3518" spans="2:13">
      <c r="B3518" s="2"/>
      <c r="C3518" s="1">
        <v>5.9592193050000004</v>
      </c>
      <c r="D3518" s="1">
        <v>1.5698072300000001</v>
      </c>
      <c r="E3518" s="1"/>
      <c r="H3518" s="2">
        <v>21.448704299999999</v>
      </c>
      <c r="I3518" s="2">
        <v>18.500536199999999</v>
      </c>
      <c r="J3518" s="2">
        <v>5.7356958000000002</v>
      </c>
      <c r="L3518" s="2"/>
      <c r="M3518" s="2"/>
    </row>
    <row r="3519" spans="2:13">
      <c r="B3519" s="2"/>
      <c r="C3519" s="1">
        <v>9.9924092709999996</v>
      </c>
      <c r="D3519" s="1">
        <v>0.99597013300000004</v>
      </c>
      <c r="E3519" s="1"/>
      <c r="H3519" s="2">
        <v>9.1302720500000003</v>
      </c>
      <c r="I3519" s="2">
        <v>6.8871744000000001</v>
      </c>
      <c r="J3519" s="2">
        <v>8.7252099800000007</v>
      </c>
      <c r="L3519" s="2"/>
      <c r="M3519" s="2"/>
    </row>
    <row r="3520" spans="2:13">
      <c r="B3520" s="2"/>
      <c r="C3520" s="1">
        <v>5.9954455619999996</v>
      </c>
      <c r="D3520" s="1">
        <v>360.82480889999999</v>
      </c>
      <c r="E3520" s="1"/>
      <c r="H3520" s="2">
        <v>39.673560000000002</v>
      </c>
      <c r="I3520" s="2">
        <v>7.4002144799999998</v>
      </c>
      <c r="J3520" s="2">
        <v>12.6185308</v>
      </c>
      <c r="L3520" s="2"/>
      <c r="M3520" s="2"/>
    </row>
    <row r="3521" spans="2:13">
      <c r="B3521" s="2"/>
      <c r="C3521" s="1">
        <v>15.85502522</v>
      </c>
      <c r="D3521" s="1">
        <v>1.3785281979999999</v>
      </c>
      <c r="E3521" s="1"/>
      <c r="H3521" s="2">
        <v>8.0715173799999995</v>
      </c>
      <c r="I3521" s="2">
        <v>16.992509299999998</v>
      </c>
      <c r="J3521" s="2">
        <v>15.9209011</v>
      </c>
      <c r="L3521" s="2"/>
      <c r="M3521" s="2"/>
    </row>
    <row r="3522" spans="2:13">
      <c r="B3522" s="2"/>
      <c r="C3522" s="1">
        <v>6.3335572960000004</v>
      </c>
      <c r="D3522" s="1">
        <v>324.4686011</v>
      </c>
      <c r="E3522" s="1"/>
      <c r="H3522" s="2">
        <v>10.9801187</v>
      </c>
      <c r="I3522" s="2">
        <v>12.2974152</v>
      </c>
      <c r="J3522" s="2">
        <v>56.974578299999997</v>
      </c>
      <c r="L3522" s="2"/>
      <c r="M3522" s="2"/>
    </row>
    <row r="3523" spans="2:13">
      <c r="B3523" s="2"/>
      <c r="C3523" s="1">
        <v>15.215028009999999</v>
      </c>
      <c r="D3523" s="1">
        <v>12.9410159</v>
      </c>
      <c r="E3523" s="1"/>
      <c r="H3523" s="2">
        <v>21.621198</v>
      </c>
      <c r="I3523" s="2">
        <v>76.629531900000003</v>
      </c>
      <c r="J3523" s="2">
        <v>22.282309099999999</v>
      </c>
      <c r="L3523" s="2"/>
      <c r="M3523" s="2"/>
    </row>
    <row r="3524" spans="2:13">
      <c r="B3524" s="2"/>
      <c r="C3524" s="1">
        <v>21.747829719999999</v>
      </c>
      <c r="D3524" s="1">
        <v>0.40234555100000002</v>
      </c>
      <c r="E3524" s="1"/>
      <c r="H3524" s="2">
        <v>21.198885700000002</v>
      </c>
      <c r="I3524" s="2">
        <v>21.174563299999999</v>
      </c>
      <c r="J3524" s="2">
        <v>49.118413099999998</v>
      </c>
      <c r="L3524" s="2"/>
      <c r="M3524" s="2"/>
    </row>
    <row r="3525" spans="2:13">
      <c r="B3525" s="2"/>
      <c r="C3525" s="1">
        <v>8.7546788170000003</v>
      </c>
      <c r="D3525" s="1">
        <v>0.68596618499999995</v>
      </c>
      <c r="E3525" s="1"/>
      <c r="H3525" s="2">
        <v>66.178115199999993</v>
      </c>
      <c r="I3525" s="2">
        <v>61.937929599999997</v>
      </c>
      <c r="J3525" s="2">
        <v>60.972184400000003</v>
      </c>
      <c r="L3525" s="2"/>
      <c r="M3525" s="2"/>
    </row>
    <row r="3526" spans="2:13">
      <c r="B3526" s="2"/>
      <c r="C3526" s="1">
        <v>34.378718059999997</v>
      </c>
      <c r="D3526" s="1">
        <v>4.8479340930000001</v>
      </c>
      <c r="E3526" s="1"/>
      <c r="H3526" s="2">
        <v>27.182634100000001</v>
      </c>
      <c r="I3526" s="2">
        <v>53.480541600000002</v>
      </c>
      <c r="J3526" s="2">
        <v>9.8723491400000007</v>
      </c>
      <c r="L3526" s="2"/>
      <c r="M3526" s="2"/>
    </row>
    <row r="3527" spans="2:13">
      <c r="B3527" s="2"/>
      <c r="C3527" s="1">
        <v>28.334970819999999</v>
      </c>
      <c r="D3527" s="1">
        <v>3.2055727470000002</v>
      </c>
      <c r="E3527" s="1"/>
      <c r="H3527" s="2">
        <v>56.060465200000003</v>
      </c>
      <c r="I3527" s="2">
        <v>8.1775479400000002</v>
      </c>
      <c r="J3527" s="2">
        <v>12.688054299999999</v>
      </c>
      <c r="L3527" s="2"/>
      <c r="M3527" s="2"/>
    </row>
    <row r="3528" spans="2:13">
      <c r="B3528" s="2"/>
      <c r="C3528" s="1">
        <v>63.341610670000001</v>
      </c>
      <c r="D3528" s="1">
        <v>0.39574972200000003</v>
      </c>
      <c r="E3528" s="1"/>
      <c r="H3528" s="2">
        <v>73.000540000000001</v>
      </c>
      <c r="I3528" s="2">
        <v>16.0597092</v>
      </c>
      <c r="J3528" s="2">
        <v>99.731583299999997</v>
      </c>
      <c r="L3528" s="2"/>
      <c r="M3528" s="2"/>
    </row>
    <row r="3529" spans="2:13">
      <c r="B3529" s="2"/>
      <c r="C3529" s="1">
        <v>100.8659754</v>
      </c>
      <c r="D3529" s="1">
        <v>1.6027863739999999</v>
      </c>
      <c r="E3529" s="1"/>
      <c r="H3529" s="2">
        <v>11.289417800000001</v>
      </c>
      <c r="I3529" s="2">
        <v>78.153105499999995</v>
      </c>
      <c r="J3529" s="2">
        <v>27.009913000000001</v>
      </c>
      <c r="L3529" s="2"/>
      <c r="M3529" s="2"/>
    </row>
    <row r="3530" spans="2:13">
      <c r="B3530" s="2"/>
      <c r="C3530" s="1">
        <v>5.1320531000000003</v>
      </c>
      <c r="D3530" s="1">
        <v>103.74578959999999</v>
      </c>
      <c r="E3530" s="1"/>
      <c r="H3530" s="2">
        <v>21.079924500000001</v>
      </c>
      <c r="I3530" s="2">
        <v>42.255846599999998</v>
      </c>
      <c r="J3530" s="2">
        <v>18.2151794</v>
      </c>
      <c r="L3530" s="2"/>
      <c r="M3530" s="2"/>
    </row>
    <row r="3531" spans="2:13">
      <c r="B3531" s="2"/>
      <c r="C3531" s="1">
        <v>12.709378559999999</v>
      </c>
      <c r="D3531" s="1">
        <v>2.9351437699999998</v>
      </c>
      <c r="E3531" s="1"/>
      <c r="H3531" s="2">
        <v>98.345223500000003</v>
      </c>
      <c r="I3531" s="2">
        <v>29.243284500000001</v>
      </c>
      <c r="J3531" s="2">
        <v>28.539431799999999</v>
      </c>
      <c r="L3531" s="2"/>
      <c r="M3531" s="2"/>
    </row>
    <row r="3532" spans="2:13">
      <c r="B3532" s="2"/>
      <c r="C3532" s="1">
        <v>92.60035105</v>
      </c>
      <c r="D3532" s="1">
        <v>378.59397139999999</v>
      </c>
      <c r="E3532" s="1"/>
      <c r="H3532" s="2">
        <v>38.031895400000003</v>
      </c>
      <c r="I3532" s="2">
        <v>25.978484000000002</v>
      </c>
      <c r="J3532" s="2">
        <v>4.7623655999999999</v>
      </c>
      <c r="L3532" s="2"/>
      <c r="M3532" s="2"/>
    </row>
    <row r="3533" spans="2:13">
      <c r="B3533" s="2"/>
      <c r="C3533" s="1">
        <v>26.910071370000001</v>
      </c>
      <c r="D3533" s="1">
        <v>3.2385518910000002</v>
      </c>
      <c r="E3533" s="1"/>
      <c r="H3533" s="2">
        <v>15.3816831</v>
      </c>
      <c r="I3533" s="2">
        <v>8.9393347199999997</v>
      </c>
      <c r="J3533" s="2">
        <v>41.748913100000003</v>
      </c>
      <c r="L3533" s="2"/>
      <c r="M3533" s="2"/>
    </row>
    <row r="3534" spans="2:13">
      <c r="B3534" s="2"/>
      <c r="C3534" s="1">
        <v>12.64296375</v>
      </c>
      <c r="D3534" s="1">
        <v>0.28362063399999998</v>
      </c>
      <c r="E3534" s="1"/>
      <c r="H3534" s="2">
        <v>34.094279700000001</v>
      </c>
      <c r="I3534" s="2">
        <v>42.364673199999999</v>
      </c>
      <c r="J3534" s="2">
        <v>79.048316700000001</v>
      </c>
      <c r="L3534" s="2"/>
      <c r="M3534" s="2"/>
    </row>
    <row r="3535" spans="2:13">
      <c r="B3535" s="2"/>
      <c r="C3535" s="1">
        <v>61.48199614</v>
      </c>
      <c r="D3535" s="1">
        <v>103.62706470000001</v>
      </c>
      <c r="E3535" s="1"/>
      <c r="H3535" s="2">
        <v>6.4536450700000003</v>
      </c>
      <c r="I3535" s="2">
        <v>79.723319000000004</v>
      </c>
      <c r="J3535" s="2">
        <v>23.012306800000001</v>
      </c>
      <c r="L3535" s="2"/>
      <c r="M3535" s="2"/>
    </row>
    <row r="3536" spans="2:13">
      <c r="B3536" s="2"/>
      <c r="C3536" s="1">
        <v>8.0965684790000001</v>
      </c>
      <c r="D3536" s="1">
        <v>0.29021646299999998</v>
      </c>
      <c r="E3536" s="1"/>
      <c r="H3536" s="2">
        <v>74.648152600000003</v>
      </c>
      <c r="I3536" s="2">
        <v>23.568750300000001</v>
      </c>
      <c r="J3536" s="2">
        <v>9.4552076199999995</v>
      </c>
      <c r="L3536" s="2"/>
      <c r="M3536" s="2"/>
    </row>
    <row r="3537" spans="2:13">
      <c r="B3537" s="2"/>
      <c r="C3537" s="1">
        <v>18.891993119999999</v>
      </c>
      <c r="D3537" s="1">
        <v>1.9391736369999999</v>
      </c>
      <c r="E3537" s="1"/>
      <c r="H3537" s="2">
        <v>73.559657599999994</v>
      </c>
      <c r="I3537" s="2">
        <v>10.167521600000001</v>
      </c>
      <c r="J3537" s="2">
        <v>14.7042383</v>
      </c>
      <c r="L3537" s="2"/>
      <c r="M3537" s="2"/>
    </row>
    <row r="3538" spans="2:13">
      <c r="B3538" s="2"/>
      <c r="C3538" s="1">
        <v>41.388498820000002</v>
      </c>
      <c r="D3538" s="1">
        <v>292.87458170000002</v>
      </c>
      <c r="E3538" s="1"/>
      <c r="H3538" s="2">
        <v>38.918156400000001</v>
      </c>
      <c r="I3538" s="2">
        <v>13.7588021</v>
      </c>
      <c r="J3538" s="2">
        <v>5.8052193900000004</v>
      </c>
      <c r="L3538" s="2"/>
      <c r="M3538" s="2"/>
    </row>
    <row r="3539" spans="2:13">
      <c r="B3539" s="2"/>
      <c r="C3539" s="1">
        <v>39.69190244</v>
      </c>
      <c r="D3539" s="1">
        <v>115.5589188</v>
      </c>
      <c r="E3539" s="1"/>
      <c r="H3539" s="2">
        <v>11.0217551</v>
      </c>
      <c r="I3539" s="2">
        <v>6.0321075999999998</v>
      </c>
      <c r="J3539" s="2">
        <v>19.501365700000001</v>
      </c>
      <c r="L3539" s="2"/>
      <c r="M3539" s="2"/>
    </row>
    <row r="3540" spans="2:13">
      <c r="B3540" s="2"/>
      <c r="C3540" s="1">
        <v>4.7396019799999998</v>
      </c>
      <c r="D3540" s="1">
        <v>0.21106651800000001</v>
      </c>
      <c r="E3540" s="1"/>
      <c r="H3540" s="2">
        <v>18.2783883</v>
      </c>
      <c r="I3540" s="2">
        <v>17.381176</v>
      </c>
      <c r="J3540" s="2">
        <v>61.3198024</v>
      </c>
      <c r="L3540" s="2"/>
      <c r="M3540" s="2"/>
    </row>
    <row r="3541" spans="2:13">
      <c r="B3541" s="2"/>
      <c r="C3541" s="1">
        <v>27.199881430000001</v>
      </c>
      <c r="D3541" s="1">
        <v>0.58043292499999999</v>
      </c>
      <c r="E3541" s="1"/>
      <c r="H3541" s="2">
        <v>7.2447370400000004</v>
      </c>
      <c r="I3541" s="2">
        <v>45.753847100000002</v>
      </c>
      <c r="J3541" s="2">
        <v>22.803736000000001</v>
      </c>
      <c r="L3541" s="2"/>
      <c r="M3541" s="2"/>
    </row>
    <row r="3542" spans="2:13">
      <c r="B3542" s="2"/>
      <c r="C3542" s="1">
        <v>4.7396019799999998</v>
      </c>
      <c r="D3542" s="1">
        <v>1.101503393</v>
      </c>
      <c r="E3542" s="1"/>
      <c r="H3542" s="2">
        <v>21.918600999999999</v>
      </c>
      <c r="I3542" s="2">
        <v>15.282375699999999</v>
      </c>
      <c r="J3542" s="2">
        <v>3.0242759700000001</v>
      </c>
      <c r="L3542" s="2"/>
      <c r="M3542" s="2"/>
    </row>
    <row r="3543" spans="2:13">
      <c r="B3543" s="2"/>
      <c r="C3543" s="1">
        <v>29.560625850000001</v>
      </c>
      <c r="D3543" s="1">
        <v>3.2979143000000002E-2</v>
      </c>
      <c r="E3543" s="1"/>
      <c r="H3543" s="2">
        <v>73.2146702</v>
      </c>
      <c r="I3543" s="2">
        <v>2.4563737099999998</v>
      </c>
      <c r="J3543" s="2">
        <v>22.143262</v>
      </c>
      <c r="L3543" s="2"/>
      <c r="M3543" s="2"/>
    </row>
    <row r="3544" spans="2:13">
      <c r="B3544" s="2"/>
      <c r="C3544" s="1">
        <v>24.144800409999998</v>
      </c>
      <c r="D3544" s="1">
        <v>0.63979538400000002</v>
      </c>
      <c r="E3544" s="1"/>
      <c r="H3544" s="2">
        <v>23.0308882</v>
      </c>
      <c r="I3544" s="2">
        <v>17.287896</v>
      </c>
      <c r="J3544" s="2">
        <v>8.5166392200000001</v>
      </c>
      <c r="L3544" s="2"/>
      <c r="M3544" s="2"/>
    </row>
    <row r="3545" spans="2:13">
      <c r="B3545" s="2"/>
      <c r="C3545" s="1">
        <v>23.359898170000001</v>
      </c>
      <c r="D3545" s="1">
        <v>2.17662347</v>
      </c>
      <c r="E3545" s="1"/>
      <c r="H3545" s="2">
        <v>3.8127064399999999</v>
      </c>
      <c r="I3545" s="2">
        <v>8.8616013799999998</v>
      </c>
      <c r="J3545" s="2">
        <v>1.4252335</v>
      </c>
      <c r="L3545" s="2"/>
      <c r="M3545" s="2"/>
    </row>
    <row r="3546" spans="2:13">
      <c r="B3546" s="2"/>
      <c r="C3546" s="1">
        <v>7.136572664</v>
      </c>
      <c r="D3546" s="1">
        <v>0.97618264700000001</v>
      </c>
      <c r="E3546" s="1"/>
      <c r="H3546" s="2">
        <v>24.262136600000002</v>
      </c>
      <c r="I3546" s="2">
        <v>1.3059202000000001</v>
      </c>
      <c r="J3546" s="2">
        <v>15.573283099999999</v>
      </c>
      <c r="L3546" s="2"/>
      <c r="M3546" s="2"/>
    </row>
    <row r="3547" spans="2:13">
      <c r="B3547" s="2"/>
      <c r="C3547" s="1">
        <v>13.90484505</v>
      </c>
      <c r="D3547" s="1">
        <v>2.770248053</v>
      </c>
      <c r="E3547" s="1"/>
      <c r="H3547" s="2">
        <v>11.8961199</v>
      </c>
      <c r="I3547" s="2">
        <v>20.1795765</v>
      </c>
      <c r="J3547" s="2">
        <v>54.610776399999999</v>
      </c>
      <c r="L3547" s="2"/>
      <c r="M3547" s="2"/>
    </row>
    <row r="3548" spans="2:13">
      <c r="B3548" s="2"/>
      <c r="C3548" s="1">
        <v>18.584069929999998</v>
      </c>
      <c r="D3548" s="1">
        <v>0.79149944400000005</v>
      </c>
      <c r="E3548" s="1"/>
      <c r="H3548" s="2">
        <v>1.35615767</v>
      </c>
      <c r="I3548" s="2">
        <v>48.054754099999997</v>
      </c>
      <c r="J3548" s="2">
        <v>37.021309299999999</v>
      </c>
      <c r="L3548" s="2"/>
      <c r="M3548" s="2"/>
    </row>
    <row r="3549" spans="2:13">
      <c r="B3549" s="2"/>
      <c r="C3549" s="1">
        <v>2.1071606260000002</v>
      </c>
      <c r="D3549" s="1">
        <v>1.7610862620000001</v>
      </c>
      <c r="E3549" s="1"/>
      <c r="H3549" s="2">
        <v>20.4077938</v>
      </c>
      <c r="I3549" s="2">
        <v>40.810006299999998</v>
      </c>
      <c r="J3549" s="2">
        <v>60.346472200000001</v>
      </c>
      <c r="L3549" s="2"/>
      <c r="M3549" s="2"/>
    </row>
    <row r="3550" spans="2:13">
      <c r="B3550" s="2"/>
      <c r="C3550" s="1">
        <v>13.41579057</v>
      </c>
      <c r="D3550" s="1">
        <v>0.42213303699999999</v>
      </c>
      <c r="E3550" s="1"/>
      <c r="H3550" s="2">
        <v>47.025362100000002</v>
      </c>
      <c r="I3550" s="2">
        <v>59.2483559</v>
      </c>
      <c r="J3550" s="2">
        <v>15.3994742</v>
      </c>
      <c r="L3550" s="2"/>
      <c r="M3550" s="2"/>
    </row>
    <row r="3551" spans="2:13">
      <c r="B3551" s="2"/>
      <c r="C3551" s="1">
        <v>57.690314549999997</v>
      </c>
      <c r="D3551" s="1">
        <v>7.2092407669999998</v>
      </c>
      <c r="E3551" s="1"/>
      <c r="H3551" s="2">
        <v>39.804417299999997</v>
      </c>
      <c r="I3551" s="2">
        <v>26.615897499999999</v>
      </c>
      <c r="J3551" s="2">
        <v>33.579891799999999</v>
      </c>
      <c r="L3551" s="2"/>
      <c r="M3551" s="2"/>
    </row>
    <row r="3552" spans="2:13">
      <c r="B3552" s="2"/>
      <c r="C3552" s="1">
        <v>9.9441075950000002</v>
      </c>
      <c r="D3552" s="1">
        <v>0.48809132399999999</v>
      </c>
      <c r="E3552" s="1"/>
      <c r="H3552" s="2">
        <v>76.361193900000004</v>
      </c>
      <c r="I3552" s="2">
        <v>39.333072799999997</v>
      </c>
      <c r="J3552" s="2">
        <v>11.193297299999999</v>
      </c>
      <c r="L3552" s="2"/>
      <c r="M3552" s="2"/>
    </row>
    <row r="3553" spans="2:13">
      <c r="B3553" s="2"/>
      <c r="C3553" s="1">
        <v>62.985385809999997</v>
      </c>
      <c r="D3553" s="1">
        <v>2.4272649610000001</v>
      </c>
      <c r="E3553" s="1"/>
      <c r="H3553" s="2">
        <v>23.9112011</v>
      </c>
      <c r="I3553" s="2">
        <v>9.6389348300000002</v>
      </c>
      <c r="J3553" s="2">
        <v>76.580229399999993</v>
      </c>
      <c r="L3553" s="2"/>
      <c r="M3553" s="2"/>
    </row>
    <row r="3554" spans="2:13">
      <c r="B3554" s="2"/>
      <c r="C3554" s="1">
        <v>14.22484365</v>
      </c>
      <c r="D3554" s="1">
        <v>0.82447858699999998</v>
      </c>
      <c r="E3554" s="1"/>
      <c r="H3554" s="2">
        <v>39.863897899999998</v>
      </c>
      <c r="I3554" s="2">
        <v>119.491699</v>
      </c>
      <c r="J3554" s="2">
        <v>11.4713916</v>
      </c>
      <c r="L3554" s="2"/>
      <c r="M3554" s="2"/>
    </row>
    <row r="3555" spans="2:13">
      <c r="B3555" s="2"/>
      <c r="C3555" s="1">
        <v>43.477546320000002</v>
      </c>
      <c r="D3555" s="1">
        <v>36.560678469999999</v>
      </c>
      <c r="E3555" s="1"/>
      <c r="H3555" s="2">
        <v>12.931082399999999</v>
      </c>
      <c r="I3555" s="2">
        <v>21.127923299999999</v>
      </c>
      <c r="J3555" s="2">
        <v>55.757915500000003</v>
      </c>
      <c r="L3555" s="2"/>
      <c r="M3555" s="2"/>
    </row>
    <row r="3556" spans="2:13">
      <c r="B3556" s="2"/>
      <c r="C3556" s="1">
        <v>11.7191942</v>
      </c>
      <c r="D3556" s="1">
        <v>2.6383314790000001</v>
      </c>
      <c r="E3556" s="1"/>
      <c r="H3556" s="2">
        <v>97.542235399999996</v>
      </c>
      <c r="I3556" s="2">
        <v>66.213263600000005</v>
      </c>
      <c r="J3556" s="2">
        <v>14.1828114</v>
      </c>
      <c r="L3556" s="2"/>
      <c r="M3556" s="2"/>
    </row>
    <row r="3557" spans="2:13">
      <c r="B3557" s="2"/>
      <c r="C3557" s="1">
        <v>74.112884469999997</v>
      </c>
      <c r="D3557" s="1">
        <v>5.4877294760000002</v>
      </c>
      <c r="E3557" s="1"/>
      <c r="H3557" s="2">
        <v>13.067887799999999</v>
      </c>
      <c r="I3557" s="2">
        <v>9.0326147399999996</v>
      </c>
      <c r="J3557" s="2">
        <v>6.2918844800000002</v>
      </c>
      <c r="L3557" s="2"/>
      <c r="M3557" s="2"/>
    </row>
    <row r="3558" spans="2:13">
      <c r="B3558" s="2"/>
      <c r="C3558" s="1">
        <v>12.68522772</v>
      </c>
      <c r="D3558" s="1">
        <v>3.5023850379999999</v>
      </c>
      <c r="E3558" s="1"/>
      <c r="H3558" s="2">
        <v>68.188559499999997</v>
      </c>
      <c r="I3558" s="2">
        <v>5.67453421</v>
      </c>
      <c r="J3558" s="2">
        <v>32.676085200000003</v>
      </c>
      <c r="L3558" s="2"/>
      <c r="M3558" s="2"/>
    </row>
    <row r="3559" spans="2:13">
      <c r="B3559" s="2"/>
      <c r="C3559" s="1">
        <v>20.642928879999999</v>
      </c>
      <c r="D3559" s="1">
        <v>91.728189700000001</v>
      </c>
      <c r="E3559" s="1"/>
      <c r="H3559" s="2">
        <v>14.632227500000001</v>
      </c>
      <c r="I3559" s="2">
        <v>52.936408200000002</v>
      </c>
      <c r="J3559" s="2">
        <v>5.8747429699999998</v>
      </c>
      <c r="L3559" s="2"/>
      <c r="M3559" s="2"/>
    </row>
    <row r="3560" spans="2:13">
      <c r="B3560" s="2"/>
      <c r="C3560" s="1">
        <v>28.40138563</v>
      </c>
      <c r="D3560" s="1">
        <v>5.5009211340000004</v>
      </c>
      <c r="E3560" s="1"/>
      <c r="H3560" s="2">
        <v>7.4886074999999996</v>
      </c>
      <c r="I3560" s="2">
        <v>16.992509299999998</v>
      </c>
      <c r="J3560" s="2">
        <v>47.588894199999999</v>
      </c>
      <c r="L3560" s="2"/>
      <c r="M3560" s="2"/>
    </row>
    <row r="3561" spans="2:13">
      <c r="B3561" s="2"/>
      <c r="C3561" s="1">
        <v>14.587106220000001</v>
      </c>
      <c r="D3561" s="1">
        <v>1.121290879</v>
      </c>
      <c r="E3561" s="1"/>
      <c r="H3561" s="2">
        <v>38.085428</v>
      </c>
      <c r="I3561" s="2">
        <v>66.337637000000001</v>
      </c>
      <c r="J3561" s="2">
        <v>28.226575700000001</v>
      </c>
      <c r="L3561" s="2"/>
      <c r="M3561" s="2"/>
    </row>
    <row r="3562" spans="2:13">
      <c r="B3562" s="2"/>
      <c r="C3562" s="1">
        <v>67.839704269999999</v>
      </c>
      <c r="D3562" s="1">
        <v>0.56064543899999997</v>
      </c>
      <c r="E3562" s="1"/>
      <c r="H3562" s="2">
        <v>11.9734447</v>
      </c>
      <c r="I3562" s="2">
        <v>19.7909097</v>
      </c>
      <c r="J3562" s="2">
        <v>62.188847199999998</v>
      </c>
      <c r="L3562" s="2"/>
      <c r="M3562" s="2"/>
    </row>
    <row r="3563" spans="2:13">
      <c r="B3563" s="2"/>
      <c r="C3563" s="1">
        <v>16.144835279999999</v>
      </c>
      <c r="D3563" s="1">
        <v>0.93001184599999998</v>
      </c>
      <c r="E3563" s="1"/>
      <c r="H3563" s="2">
        <v>57.1132718</v>
      </c>
      <c r="I3563" s="2">
        <v>61.580356199999997</v>
      </c>
      <c r="J3563" s="2">
        <v>31.807040300000001</v>
      </c>
      <c r="L3563" s="2"/>
      <c r="M3563" s="2"/>
    </row>
    <row r="3564" spans="2:13">
      <c r="B3564" s="2"/>
      <c r="C3564" s="1">
        <v>42.795285139999997</v>
      </c>
      <c r="D3564" s="1">
        <v>0.80469110099999996</v>
      </c>
      <c r="E3564" s="1"/>
      <c r="H3564" s="2">
        <v>41.469874099999998</v>
      </c>
      <c r="I3564" s="2">
        <v>32.725738399999997</v>
      </c>
      <c r="J3564" s="2">
        <v>21.5870733</v>
      </c>
      <c r="L3564" s="2"/>
      <c r="M3564" s="2"/>
    </row>
    <row r="3565" spans="2:13">
      <c r="B3565" s="2"/>
      <c r="C3565" s="1">
        <v>48.784692999999997</v>
      </c>
      <c r="D3565" s="1">
        <v>0.19787486100000001</v>
      </c>
      <c r="E3565" s="1"/>
      <c r="H3565" s="2">
        <v>53.062643000000001</v>
      </c>
      <c r="I3565" s="2">
        <v>24.657017199999999</v>
      </c>
      <c r="J3565" s="2">
        <v>33.788462500000001</v>
      </c>
      <c r="L3565" s="2"/>
      <c r="M3565" s="2"/>
    </row>
    <row r="3566" spans="2:13">
      <c r="B3566" s="2"/>
      <c r="C3566" s="1">
        <v>80.464554899999996</v>
      </c>
      <c r="D3566" s="1">
        <v>1.21363248</v>
      </c>
      <c r="E3566" s="1"/>
      <c r="H3566" s="2">
        <v>41.600731400000001</v>
      </c>
      <c r="I3566" s="2">
        <v>31.513098200000002</v>
      </c>
      <c r="J3566" s="2">
        <v>16.164233599999999</v>
      </c>
      <c r="L3566" s="2"/>
      <c r="M3566" s="2"/>
    </row>
    <row r="3567" spans="2:13">
      <c r="B3567" s="2"/>
      <c r="C3567" s="1">
        <v>12.504096430000001</v>
      </c>
      <c r="D3567" s="1">
        <v>0.93660767499999997</v>
      </c>
      <c r="E3567" s="1"/>
      <c r="H3567" s="2">
        <v>23.036836300000001</v>
      </c>
      <c r="I3567" s="2">
        <v>21.127923299999999</v>
      </c>
      <c r="J3567" s="2">
        <v>3.54570286</v>
      </c>
      <c r="L3567" s="2"/>
      <c r="M3567" s="2"/>
    </row>
    <row r="3568" spans="2:13">
      <c r="B3568" s="2"/>
      <c r="C3568" s="1">
        <v>16.018043380000002</v>
      </c>
      <c r="D3568" s="1">
        <v>1.1146950499999999</v>
      </c>
      <c r="E3568" s="1"/>
      <c r="H3568" s="2">
        <v>35.90249</v>
      </c>
      <c r="I3568" s="2">
        <v>2.5185603900000002</v>
      </c>
      <c r="J3568" s="2">
        <v>26.245153500000001</v>
      </c>
      <c r="L3568" s="2"/>
      <c r="M3568" s="2"/>
    </row>
    <row r="3569" spans="2:13">
      <c r="B3569" s="2"/>
      <c r="C3569" s="1">
        <v>34.209662190000003</v>
      </c>
      <c r="D3569" s="1">
        <v>2.6976939369999999</v>
      </c>
      <c r="E3569" s="1"/>
      <c r="H3569" s="2">
        <v>24.660656599999999</v>
      </c>
      <c r="I3569" s="2">
        <v>35.757338900000001</v>
      </c>
      <c r="J3569" s="2">
        <v>22.143262</v>
      </c>
      <c r="L3569" s="2"/>
      <c r="M3569" s="2"/>
    </row>
    <row r="3570" spans="2:13">
      <c r="B3570" s="2"/>
      <c r="C3570" s="1">
        <v>19.061048979999999</v>
      </c>
      <c r="D3570" s="1">
        <v>0.46830383799999997</v>
      </c>
      <c r="E3570" s="1"/>
      <c r="H3570" s="2">
        <v>4.4848372200000002</v>
      </c>
      <c r="I3570" s="2">
        <v>15.173549</v>
      </c>
      <c r="J3570" s="2">
        <v>17.867561500000001</v>
      </c>
      <c r="L3570" s="2"/>
      <c r="M3570" s="2"/>
    </row>
    <row r="3571" spans="2:13">
      <c r="B3571" s="2"/>
      <c r="C3571" s="1">
        <v>2.2158393969999999</v>
      </c>
      <c r="D3571" s="1">
        <v>13.60059877</v>
      </c>
      <c r="E3571" s="1"/>
      <c r="H3571" s="2">
        <v>39.245299699999997</v>
      </c>
      <c r="I3571" s="2">
        <v>17.396722700000002</v>
      </c>
      <c r="J3571" s="2">
        <v>33.997033299999998</v>
      </c>
      <c r="L3571" s="2"/>
      <c r="M3571" s="2"/>
    </row>
    <row r="3572" spans="2:13">
      <c r="B3572" s="2"/>
      <c r="C3572" s="1">
        <v>21.415755699999998</v>
      </c>
      <c r="D3572" s="1">
        <v>2.803227197</v>
      </c>
      <c r="E3572" s="1"/>
      <c r="H3572" s="2">
        <v>22.709693000000001</v>
      </c>
      <c r="I3572" s="2">
        <v>26.615897499999999</v>
      </c>
      <c r="J3572" s="2">
        <v>6.2918844800000002</v>
      </c>
      <c r="L3572" s="2"/>
      <c r="M3572" s="2"/>
    </row>
    <row r="3573" spans="2:13">
      <c r="B3573" s="2"/>
      <c r="C3573" s="1">
        <v>32.525141230000003</v>
      </c>
      <c r="D3573" s="1">
        <v>1.787469577</v>
      </c>
      <c r="E3573" s="1"/>
      <c r="H3573" s="2">
        <v>22.120835</v>
      </c>
      <c r="I3573" s="2">
        <v>9.4679214700000003</v>
      </c>
      <c r="J3573" s="2">
        <v>159.765199</v>
      </c>
      <c r="L3573" s="2"/>
      <c r="M3573" s="2"/>
    </row>
    <row r="3574" spans="2:13">
      <c r="B3574" s="2"/>
      <c r="C3574" s="1">
        <v>25.4066817</v>
      </c>
      <c r="D3574" s="1">
        <v>5.7581584530000001</v>
      </c>
      <c r="E3574" s="1"/>
      <c r="H3574" s="2">
        <v>36.080931800000002</v>
      </c>
      <c r="I3574" s="2">
        <v>149.04591600000001</v>
      </c>
      <c r="J3574" s="2">
        <v>22.873259600000001</v>
      </c>
      <c r="L3574" s="2"/>
      <c r="M3574" s="2"/>
    </row>
    <row r="3575" spans="2:13">
      <c r="B3575" s="2"/>
      <c r="C3575" s="1">
        <v>62.411803399999997</v>
      </c>
      <c r="D3575" s="1">
        <v>0.45511217999999998</v>
      </c>
      <c r="E3575" s="1"/>
      <c r="H3575" s="2">
        <v>6.3644241700000004</v>
      </c>
      <c r="I3575" s="2">
        <v>23.351096999999999</v>
      </c>
      <c r="J3575" s="2">
        <v>38.029401200000002</v>
      </c>
      <c r="L3575" s="2"/>
      <c r="M3575" s="2"/>
    </row>
    <row r="3576" spans="2:13">
      <c r="B3576" s="2"/>
      <c r="C3576" s="1">
        <v>8.4165670840000004</v>
      </c>
      <c r="D3576" s="1">
        <v>0.37596223600000001</v>
      </c>
      <c r="E3576" s="1"/>
      <c r="H3576" s="2">
        <v>144.442688</v>
      </c>
      <c r="I3576" s="2">
        <v>52.361181500000001</v>
      </c>
      <c r="J3576" s="2">
        <v>40.949391800000001</v>
      </c>
      <c r="L3576" s="2"/>
      <c r="M3576" s="2"/>
    </row>
    <row r="3577" spans="2:13">
      <c r="B3577" s="2"/>
      <c r="C3577" s="1">
        <v>188.6844605</v>
      </c>
      <c r="D3577" s="1">
        <v>1.9787486E-2</v>
      </c>
      <c r="E3577" s="1"/>
      <c r="H3577" s="2">
        <v>29.674871199999998</v>
      </c>
      <c r="I3577" s="2">
        <v>27.921817699999998</v>
      </c>
      <c r="J3577" s="2">
        <v>8.3775920500000005</v>
      </c>
      <c r="L3577" s="2"/>
      <c r="M3577" s="2"/>
    </row>
    <row r="3578" spans="2:13">
      <c r="B3578" s="2"/>
      <c r="C3578" s="1">
        <v>22.22480878</v>
      </c>
      <c r="D3578" s="1">
        <v>0.620007898</v>
      </c>
      <c r="E3578" s="1"/>
      <c r="H3578" s="2">
        <v>37.443037500000003</v>
      </c>
      <c r="I3578" s="2">
        <v>6.2964009799999996</v>
      </c>
      <c r="J3578" s="2">
        <v>8.8990189399999995</v>
      </c>
      <c r="L3578" s="2"/>
      <c r="M3578" s="2"/>
    </row>
    <row r="3579" spans="2:13">
      <c r="B3579" s="2"/>
      <c r="C3579" s="1">
        <v>42.348494639999998</v>
      </c>
      <c r="D3579" s="1">
        <v>8.4492565620000004</v>
      </c>
      <c r="E3579" s="1"/>
      <c r="H3579" s="2">
        <v>36.045243399999997</v>
      </c>
      <c r="I3579" s="2">
        <v>18.329522799999999</v>
      </c>
      <c r="J3579" s="2">
        <v>1.7380896400000001</v>
      </c>
      <c r="L3579" s="2"/>
      <c r="M3579" s="2"/>
    </row>
    <row r="3580" spans="2:13">
      <c r="B3580" s="2"/>
      <c r="C3580" s="1">
        <v>11.169762629999999</v>
      </c>
      <c r="D3580" s="1">
        <v>2.915356284</v>
      </c>
      <c r="E3580" s="1"/>
      <c r="H3580" s="2">
        <v>7.6789454199999998</v>
      </c>
      <c r="I3580" s="2">
        <v>1.85005362</v>
      </c>
      <c r="J3580" s="2">
        <v>25.549917700000002</v>
      </c>
      <c r="L3580" s="2"/>
      <c r="M3580" s="2"/>
    </row>
    <row r="3581" spans="2:13">
      <c r="B3581" s="2"/>
      <c r="C3581" s="1">
        <v>6.6112919339999996</v>
      </c>
      <c r="D3581" s="1">
        <v>61.934831469999999</v>
      </c>
      <c r="E3581" s="1"/>
      <c r="H3581" s="2">
        <v>13.359342699999999</v>
      </c>
      <c r="I3581" s="2">
        <v>15.360109100000001</v>
      </c>
      <c r="J3581" s="2">
        <v>146.59048000000001</v>
      </c>
      <c r="L3581" s="2"/>
      <c r="M3581" s="2"/>
    </row>
    <row r="3582" spans="2:13">
      <c r="B3582" s="2"/>
      <c r="C3582" s="1">
        <v>8.1931718310000008</v>
      </c>
      <c r="D3582" s="1">
        <v>1.279590767</v>
      </c>
      <c r="E3582" s="1"/>
      <c r="H3582" s="2">
        <v>2.3911201100000001</v>
      </c>
      <c r="I3582" s="2">
        <v>87.838680299999993</v>
      </c>
      <c r="J3582" s="2">
        <v>45.016521599999997</v>
      </c>
      <c r="L3582" s="2"/>
      <c r="M3582" s="2"/>
    </row>
    <row r="3583" spans="2:13">
      <c r="B3583" s="2"/>
      <c r="C3583" s="1">
        <v>1.056599168</v>
      </c>
      <c r="D3583" s="1">
        <v>2.7174814230000002</v>
      </c>
      <c r="E3583" s="1"/>
      <c r="H3583" s="2">
        <v>31.1856784</v>
      </c>
      <c r="I3583" s="2">
        <v>42.722246599999998</v>
      </c>
      <c r="J3583" s="2">
        <v>5.1795071200000002</v>
      </c>
      <c r="L3583" s="2"/>
      <c r="M3583" s="2"/>
    </row>
    <row r="3584" spans="2:13">
      <c r="B3584" s="2"/>
      <c r="C3584" s="1">
        <v>9.5093925079999995</v>
      </c>
      <c r="D3584" s="1">
        <v>426.624796</v>
      </c>
      <c r="E3584" s="1"/>
      <c r="H3584" s="2">
        <v>115.86226000000001</v>
      </c>
      <c r="I3584" s="2">
        <v>8.9704280599999997</v>
      </c>
      <c r="J3584" s="2">
        <v>15.086618</v>
      </c>
      <c r="L3584" s="2"/>
      <c r="M3584" s="2"/>
    </row>
    <row r="3585" spans="2:13">
      <c r="B3585" s="2"/>
      <c r="C3585" s="1">
        <v>169.71397719999999</v>
      </c>
      <c r="D3585" s="1">
        <v>0.79809527199999997</v>
      </c>
      <c r="E3585" s="1"/>
      <c r="H3585" s="2">
        <v>43.402993600000002</v>
      </c>
      <c r="I3585" s="2">
        <v>20.490509800000002</v>
      </c>
      <c r="J3585" s="2">
        <v>43.000337600000002</v>
      </c>
      <c r="L3585" s="2"/>
      <c r="M3585" s="2"/>
    </row>
    <row r="3586" spans="2:13">
      <c r="B3586" s="2"/>
      <c r="C3586" s="1">
        <v>28.437611879999999</v>
      </c>
      <c r="D3586" s="1">
        <v>0.35617474999999998</v>
      </c>
      <c r="E3586" s="1"/>
      <c r="H3586" s="2">
        <v>6.12650177</v>
      </c>
      <c r="I3586" s="2">
        <v>58.160088999999999</v>
      </c>
      <c r="J3586" s="2">
        <v>84.749250700000005</v>
      </c>
      <c r="L3586" s="2"/>
      <c r="M3586" s="2"/>
    </row>
    <row r="3587" spans="2:13">
      <c r="B3587" s="2"/>
      <c r="C3587" s="1">
        <v>10.421086649999999</v>
      </c>
      <c r="D3587" s="1">
        <v>12.36717881</v>
      </c>
      <c r="E3587" s="1"/>
      <c r="H3587" s="2">
        <v>18.879142300000002</v>
      </c>
      <c r="I3587" s="2">
        <v>109.02879</v>
      </c>
      <c r="J3587" s="2">
        <v>39.1765404</v>
      </c>
      <c r="L3587" s="2"/>
      <c r="M3587" s="2"/>
    </row>
    <row r="3588" spans="2:13">
      <c r="B3588" s="2"/>
      <c r="C3588" s="1">
        <v>17.986336690000002</v>
      </c>
      <c r="D3588" s="1">
        <v>0.12532074500000001</v>
      </c>
      <c r="E3588" s="1"/>
      <c r="H3588" s="2">
        <v>48.672974699999997</v>
      </c>
      <c r="I3588" s="2">
        <v>56.5276888</v>
      </c>
      <c r="J3588" s="2">
        <v>12.6532926</v>
      </c>
      <c r="L3588" s="2"/>
      <c r="M3588" s="2"/>
    </row>
    <row r="3589" spans="2:13">
      <c r="B3589" s="2"/>
      <c r="C3589" s="1">
        <v>54.46617766</v>
      </c>
      <c r="D3589" s="1">
        <v>2.7438647380000001</v>
      </c>
      <c r="E3589" s="1"/>
      <c r="H3589" s="2">
        <v>82.636397200000005</v>
      </c>
      <c r="I3589" s="2">
        <v>40.763366300000001</v>
      </c>
      <c r="J3589" s="2">
        <v>18.354226600000001</v>
      </c>
      <c r="L3589" s="2"/>
      <c r="M3589" s="2"/>
    </row>
    <row r="3590" spans="2:13">
      <c r="B3590" s="2"/>
      <c r="C3590" s="1">
        <v>77.361172199999999</v>
      </c>
      <c r="D3590" s="1">
        <v>3.0802520019999999</v>
      </c>
      <c r="E3590" s="1"/>
      <c r="H3590" s="2">
        <v>34.998384899999998</v>
      </c>
      <c r="I3590" s="2">
        <v>19.3711497</v>
      </c>
      <c r="J3590" s="2">
        <v>4.0671297500000003</v>
      </c>
      <c r="L3590" s="2"/>
      <c r="M3590" s="2"/>
    </row>
    <row r="3591" spans="2:13">
      <c r="B3591" s="2"/>
      <c r="C3591" s="1">
        <v>19.942554569999999</v>
      </c>
      <c r="D3591" s="1">
        <v>250.1731867</v>
      </c>
      <c r="E3591" s="1"/>
      <c r="H3591" s="2">
        <v>20.455378199999998</v>
      </c>
      <c r="I3591" s="2">
        <v>5.5035208500000001</v>
      </c>
      <c r="J3591" s="2">
        <v>22.942783200000001</v>
      </c>
      <c r="L3591" s="2"/>
      <c r="M3591" s="2"/>
    </row>
    <row r="3592" spans="2:13">
      <c r="B3592" s="2"/>
      <c r="C3592" s="1">
        <v>11.332780789999999</v>
      </c>
      <c r="D3592" s="1">
        <v>34.938104610000003</v>
      </c>
      <c r="E3592" s="1"/>
      <c r="H3592" s="2">
        <v>37.086153899999999</v>
      </c>
      <c r="I3592" s="2">
        <v>35.415312200000002</v>
      </c>
      <c r="J3592" s="2">
        <v>74.598807199999996</v>
      </c>
      <c r="L3592" s="2"/>
      <c r="M3592" s="2"/>
    </row>
    <row r="3593" spans="2:13">
      <c r="B3593" s="2"/>
      <c r="C3593" s="1">
        <v>74.879673580000002</v>
      </c>
      <c r="D3593" s="1">
        <v>0.164895717</v>
      </c>
      <c r="E3593" s="1"/>
      <c r="H3593" s="2">
        <v>5.3592020299999996</v>
      </c>
      <c r="I3593" s="2">
        <v>59.419369199999998</v>
      </c>
      <c r="J3593" s="2">
        <v>25.480394100000002</v>
      </c>
      <c r="L3593" s="2"/>
      <c r="M3593" s="2"/>
    </row>
    <row r="3594" spans="2:13">
      <c r="B3594" s="2"/>
      <c r="C3594" s="1">
        <v>4.5343198559999998</v>
      </c>
      <c r="D3594" s="1">
        <v>0.50128298100000002</v>
      </c>
      <c r="E3594" s="1"/>
      <c r="H3594" s="2">
        <v>33.065265400000001</v>
      </c>
      <c r="I3594" s="2">
        <v>33.565258499999999</v>
      </c>
      <c r="J3594" s="2">
        <v>212.98550399999999</v>
      </c>
      <c r="L3594" s="2"/>
      <c r="M3594" s="2"/>
    </row>
    <row r="3595" spans="2:13">
      <c r="B3595" s="2"/>
      <c r="C3595" s="1">
        <v>47.359793549999999</v>
      </c>
      <c r="D3595" s="1">
        <v>0.41553720799999999</v>
      </c>
      <c r="E3595" s="1"/>
      <c r="H3595" s="2">
        <v>63.073227899999999</v>
      </c>
      <c r="I3595" s="2">
        <v>103.183243</v>
      </c>
      <c r="J3595" s="2">
        <v>3.5804646500000001</v>
      </c>
      <c r="L3595" s="2"/>
      <c r="M3595" s="2"/>
    </row>
    <row r="3596" spans="2:13">
      <c r="B3596" s="2"/>
      <c r="C3596" s="1">
        <v>67.912156780000004</v>
      </c>
      <c r="D3596" s="1">
        <v>1.576403059</v>
      </c>
      <c r="E3596" s="1"/>
      <c r="H3596" s="2">
        <v>20.199611699999998</v>
      </c>
      <c r="I3596" s="2">
        <v>3.59128056</v>
      </c>
      <c r="J3596" s="2">
        <v>8.9337807300000005</v>
      </c>
      <c r="L3596" s="2"/>
      <c r="M3596" s="2"/>
    </row>
    <row r="3597" spans="2:13">
      <c r="B3597" s="2"/>
      <c r="C3597" s="1">
        <v>19.151614630000001</v>
      </c>
      <c r="D3597" s="1">
        <v>2.7240772519999998</v>
      </c>
      <c r="E3597" s="1"/>
      <c r="H3597" s="2">
        <v>225.13407000000001</v>
      </c>
      <c r="I3597" s="2">
        <v>8.2708279499999993</v>
      </c>
      <c r="J3597" s="2">
        <v>9.4899694199999995</v>
      </c>
      <c r="L3597" s="2"/>
      <c r="M3597" s="2"/>
    </row>
    <row r="3598" spans="2:13">
      <c r="B3598" s="2"/>
      <c r="C3598" s="1">
        <v>238.71895939999999</v>
      </c>
      <c r="D3598" s="1">
        <v>7.2554116000000002E-2</v>
      </c>
      <c r="E3598" s="1"/>
      <c r="H3598" s="2">
        <v>5.3175656099999999</v>
      </c>
      <c r="I3598" s="2">
        <v>12.841548700000001</v>
      </c>
      <c r="J3598" s="2">
        <v>31.181328100000002</v>
      </c>
      <c r="L3598" s="2"/>
      <c r="M3598" s="2"/>
    </row>
    <row r="3599" spans="2:13">
      <c r="B3599" s="2"/>
      <c r="C3599" s="1">
        <v>6.967516797</v>
      </c>
      <c r="D3599" s="1">
        <v>0.58702875399999999</v>
      </c>
      <c r="E3599" s="1"/>
      <c r="H3599" s="2">
        <v>10.997962899999999</v>
      </c>
      <c r="I3599" s="2">
        <v>35.570778900000001</v>
      </c>
      <c r="J3599" s="2">
        <v>29.860379999999999</v>
      </c>
      <c r="L3599" s="2"/>
      <c r="M3599" s="2"/>
    </row>
    <row r="3600" spans="2:13">
      <c r="B3600" s="2"/>
      <c r="C3600" s="1">
        <v>10.72297212</v>
      </c>
      <c r="D3600" s="1">
        <v>1.9523652949999999</v>
      </c>
      <c r="E3600" s="1"/>
      <c r="H3600" s="2">
        <v>12.592043</v>
      </c>
      <c r="I3600" s="2">
        <v>32.476991699999999</v>
      </c>
      <c r="J3600" s="2">
        <v>2.7114198300000001</v>
      </c>
      <c r="L3600" s="2"/>
      <c r="M3600" s="2"/>
    </row>
    <row r="3601" spans="2:13">
      <c r="B3601" s="2"/>
      <c r="C3601" s="1">
        <v>13.33126264</v>
      </c>
      <c r="D3601" s="1">
        <v>0.50787881000000001</v>
      </c>
      <c r="E3601" s="1"/>
      <c r="H3601" s="2">
        <v>36.836335400000003</v>
      </c>
      <c r="I3601" s="2">
        <v>1.43029356</v>
      </c>
      <c r="J3601" s="2">
        <v>9.1423514899999994</v>
      </c>
      <c r="L3601" s="2"/>
      <c r="M3601" s="2"/>
    </row>
    <row r="3602" spans="2:13">
      <c r="B3602" s="2"/>
      <c r="C3602" s="1">
        <v>35.362864709999997</v>
      </c>
      <c r="D3602" s="1">
        <v>0.12532074500000001</v>
      </c>
      <c r="E3602" s="1"/>
      <c r="H3602" s="2">
        <v>42.522680700000002</v>
      </c>
      <c r="I3602" s="2">
        <v>12.468428599999999</v>
      </c>
      <c r="J3602" s="2">
        <v>58.191240999999998</v>
      </c>
      <c r="L3602" s="2"/>
      <c r="M3602" s="2"/>
    </row>
    <row r="3603" spans="2:13">
      <c r="B3603" s="2"/>
      <c r="C3603" s="1">
        <v>79.540785339999999</v>
      </c>
      <c r="D3603" s="1">
        <v>8.2184025569999992</v>
      </c>
      <c r="E3603" s="1"/>
      <c r="H3603" s="2">
        <v>2.7004192300000001</v>
      </c>
      <c r="I3603" s="2">
        <v>58.284462400000002</v>
      </c>
      <c r="J3603" s="2">
        <v>5.9095047599999999</v>
      </c>
      <c r="L3603" s="2"/>
      <c r="M3603" s="2"/>
    </row>
    <row r="3604" spans="2:13">
      <c r="B3604" s="2"/>
      <c r="C3604" s="1">
        <v>1.962255597</v>
      </c>
      <c r="D3604" s="1">
        <v>0.56724126799999997</v>
      </c>
      <c r="E3604" s="1"/>
      <c r="H3604" s="2">
        <v>12.889446</v>
      </c>
      <c r="I3604" s="2">
        <v>8.3641079600000001</v>
      </c>
      <c r="J3604" s="2">
        <v>3.3718938899999999</v>
      </c>
      <c r="L3604" s="2"/>
      <c r="M3604" s="2"/>
    </row>
    <row r="3605" spans="2:13">
      <c r="B3605" s="2"/>
      <c r="C3605" s="1">
        <v>10.994669050000001</v>
      </c>
      <c r="D3605" s="1">
        <v>6.5628495539999996</v>
      </c>
      <c r="E3605" s="1"/>
      <c r="H3605" s="2">
        <v>62.936422499999999</v>
      </c>
      <c r="I3605" s="2">
        <v>3.9177606100000002</v>
      </c>
      <c r="J3605" s="2">
        <v>85.861627999999996</v>
      </c>
      <c r="L3605" s="2"/>
      <c r="M3605" s="2"/>
    </row>
    <row r="3606" spans="2:13">
      <c r="B3606" s="2"/>
      <c r="C3606" s="1">
        <v>41.485102179999998</v>
      </c>
      <c r="D3606" s="1">
        <v>1.352144883</v>
      </c>
      <c r="E3606" s="1"/>
      <c r="H3606" s="2">
        <v>8.9101938399999998</v>
      </c>
      <c r="I3606" s="2">
        <v>64.503129999999999</v>
      </c>
      <c r="J3606" s="2">
        <v>21.169931800000001</v>
      </c>
      <c r="L3606" s="2"/>
      <c r="M3606" s="2"/>
    </row>
    <row r="3607" spans="2:13">
      <c r="B3607" s="2"/>
      <c r="C3607" s="1">
        <v>5.9652570149999997</v>
      </c>
      <c r="D3607" s="1">
        <v>4.2147345380000001</v>
      </c>
      <c r="E3607" s="1"/>
      <c r="H3607" s="2">
        <v>4.6097464800000001</v>
      </c>
      <c r="I3607" s="2">
        <v>22.791416900000002</v>
      </c>
      <c r="J3607" s="2">
        <v>56.731245700000002</v>
      </c>
      <c r="L3607" s="2"/>
      <c r="M3607" s="2"/>
    </row>
    <row r="3608" spans="2:13">
      <c r="B3608" s="2"/>
      <c r="C3608" s="1">
        <v>4.576583823</v>
      </c>
      <c r="D3608" s="1">
        <v>8.3437233030000009</v>
      </c>
      <c r="E3608" s="1"/>
      <c r="H3608" s="2">
        <v>105.566168</v>
      </c>
      <c r="I3608" s="2">
        <v>35.337578800000003</v>
      </c>
      <c r="J3608" s="2">
        <v>15.3994742</v>
      </c>
      <c r="L3608" s="2"/>
      <c r="M3608" s="2"/>
    </row>
    <row r="3609" spans="2:13">
      <c r="B3609" s="2"/>
      <c r="C3609" s="1">
        <v>229.4088113</v>
      </c>
      <c r="D3609" s="1">
        <v>7.7566945479999996</v>
      </c>
      <c r="E3609" s="1"/>
      <c r="H3609" s="2">
        <v>25.677774899999999</v>
      </c>
      <c r="I3609" s="2">
        <v>12.826002000000001</v>
      </c>
      <c r="J3609" s="2">
        <v>79.8825997</v>
      </c>
      <c r="L3609" s="2"/>
      <c r="M3609" s="2"/>
    </row>
    <row r="3610" spans="2:13">
      <c r="B3610" s="2"/>
      <c r="C3610" s="1">
        <v>7.6980796500000004</v>
      </c>
      <c r="D3610" s="1">
        <v>1.6027863739999999</v>
      </c>
      <c r="E3610" s="1"/>
      <c r="H3610" s="2">
        <v>66.201907500000004</v>
      </c>
      <c r="I3610" s="2">
        <v>59.186169200000002</v>
      </c>
      <c r="J3610" s="2">
        <v>101.539197</v>
      </c>
      <c r="L3610" s="2"/>
      <c r="M3610" s="2"/>
    </row>
    <row r="3611" spans="2:13">
      <c r="B3611" s="2"/>
      <c r="C3611" s="1">
        <v>76.467591189999993</v>
      </c>
      <c r="D3611" s="1">
        <v>0.56064543899999997</v>
      </c>
      <c r="E3611" s="1"/>
      <c r="H3611" s="2">
        <v>19.0873244</v>
      </c>
      <c r="I3611" s="2">
        <v>94.492654700000003</v>
      </c>
      <c r="J3611" s="2">
        <v>94.969217700000002</v>
      </c>
      <c r="L3611" s="2"/>
      <c r="M3611" s="2"/>
    </row>
    <row r="3612" spans="2:13">
      <c r="B3612" s="2"/>
      <c r="C3612" s="1">
        <v>32.748536489999999</v>
      </c>
      <c r="D3612" s="1">
        <v>3.2781268629999998</v>
      </c>
      <c r="E3612" s="1"/>
      <c r="H3612" s="2">
        <v>78.300261399999997</v>
      </c>
      <c r="I3612" s="2">
        <v>92.300574299999994</v>
      </c>
      <c r="J3612" s="2">
        <v>36.882262099999998</v>
      </c>
      <c r="L3612" s="2"/>
      <c r="M3612" s="2"/>
    </row>
    <row r="3613" spans="2:13">
      <c r="B3613" s="2"/>
      <c r="C3613" s="1">
        <v>86.894715540000007</v>
      </c>
      <c r="D3613" s="1">
        <v>1.0289492769999999</v>
      </c>
      <c r="E3613" s="1"/>
      <c r="H3613" s="2">
        <v>110.74692899999999</v>
      </c>
      <c r="I3613" s="2">
        <v>44.541206899999999</v>
      </c>
      <c r="J3613" s="2">
        <v>16.581375099999999</v>
      </c>
      <c r="L3613" s="2"/>
      <c r="M3613" s="2"/>
    </row>
    <row r="3614" spans="2:13">
      <c r="B3614" s="2"/>
      <c r="C3614" s="1">
        <v>138.040153</v>
      </c>
      <c r="D3614" s="1">
        <v>11.19971713</v>
      </c>
      <c r="E3614" s="1"/>
      <c r="H3614" s="2">
        <v>117.56935300000001</v>
      </c>
      <c r="I3614" s="2">
        <v>12.0642152</v>
      </c>
      <c r="J3614" s="2">
        <v>74.876901500000002</v>
      </c>
      <c r="L3614" s="2"/>
      <c r="M3614" s="2"/>
    </row>
    <row r="3615" spans="2:13">
      <c r="B3615" s="2"/>
      <c r="C3615" s="1">
        <v>63.583119050000001</v>
      </c>
      <c r="D3615" s="1">
        <v>412.37780600000002</v>
      </c>
      <c r="E3615" s="1"/>
      <c r="H3615" s="2">
        <v>49.398638099999999</v>
      </c>
      <c r="I3615" s="2">
        <v>110.085964</v>
      </c>
      <c r="J3615" s="2">
        <v>22.838497799999999</v>
      </c>
      <c r="L3615" s="2"/>
      <c r="M3615" s="2"/>
    </row>
    <row r="3616" spans="2:13">
      <c r="B3616" s="2"/>
      <c r="C3616" s="1">
        <v>29.337230600000002</v>
      </c>
      <c r="D3616" s="1">
        <v>0.57383709699999996</v>
      </c>
      <c r="E3616" s="1"/>
      <c r="H3616" s="2">
        <v>15.5601249</v>
      </c>
      <c r="I3616" s="2">
        <v>27.486510899999999</v>
      </c>
      <c r="J3616" s="2">
        <v>73.451667999999998</v>
      </c>
      <c r="L3616" s="2"/>
      <c r="M3616" s="2"/>
    </row>
    <row r="3617" spans="2:13">
      <c r="B3617" s="2"/>
      <c r="C3617" s="1">
        <v>22.94329621</v>
      </c>
      <c r="D3617" s="1">
        <v>3.4100434370000001</v>
      </c>
      <c r="E3617" s="1"/>
      <c r="H3617" s="2">
        <v>99.237432499999997</v>
      </c>
      <c r="I3617" s="2">
        <v>88.771480400000002</v>
      </c>
      <c r="J3617" s="2">
        <v>36.4303588</v>
      </c>
      <c r="L3617" s="2"/>
      <c r="M3617" s="2"/>
    </row>
    <row r="3618" spans="2:13">
      <c r="B3618" s="2"/>
      <c r="C3618" s="1">
        <v>24.344044820000001</v>
      </c>
      <c r="D3618" s="1">
        <v>0.67277452699999996</v>
      </c>
      <c r="E3618" s="1"/>
      <c r="H3618" s="2">
        <v>25.814580299999999</v>
      </c>
      <c r="I3618" s="2">
        <v>31.3109915</v>
      </c>
      <c r="J3618" s="2">
        <v>14.321858600000001</v>
      </c>
      <c r="L3618" s="2"/>
      <c r="M3618" s="2"/>
    </row>
    <row r="3619" spans="2:13">
      <c r="B3619" s="2"/>
      <c r="C3619" s="1">
        <v>35.000602139999998</v>
      </c>
      <c r="D3619" s="1">
        <v>265.31061349999999</v>
      </c>
      <c r="E3619" s="1"/>
      <c r="H3619" s="2">
        <v>84.254269500000007</v>
      </c>
      <c r="I3619" s="2">
        <v>12.328508599999999</v>
      </c>
      <c r="J3619" s="2">
        <v>44.842712599999999</v>
      </c>
      <c r="L3619" s="2"/>
      <c r="M3619" s="2"/>
    </row>
    <row r="3620" spans="2:13">
      <c r="B3620" s="2"/>
      <c r="C3620" s="1">
        <v>192.85651780000001</v>
      </c>
      <c r="D3620" s="1">
        <v>7.2554116000000002E-2</v>
      </c>
      <c r="E3620" s="1"/>
      <c r="H3620" s="2">
        <v>38.8586758</v>
      </c>
      <c r="I3620" s="2">
        <v>50.682141199999997</v>
      </c>
      <c r="J3620" s="2">
        <v>18.4932737</v>
      </c>
      <c r="L3620" s="2"/>
      <c r="M3620" s="2"/>
    </row>
    <row r="3621" spans="2:13">
      <c r="B3621" s="2"/>
      <c r="C3621" s="1">
        <v>46.242817279999997</v>
      </c>
      <c r="D3621" s="1">
        <v>0.68596618499999995</v>
      </c>
      <c r="E3621" s="1"/>
      <c r="H3621" s="2">
        <v>18.498466499999999</v>
      </c>
      <c r="I3621" s="2">
        <v>15.8109625</v>
      </c>
      <c r="J3621" s="2">
        <v>40.254156000000002</v>
      </c>
      <c r="L3621" s="2"/>
      <c r="M3621" s="2"/>
    </row>
    <row r="3622" spans="2:13">
      <c r="B3622" s="2"/>
      <c r="C3622" s="1">
        <v>6.6052542250000004</v>
      </c>
      <c r="D3622" s="1">
        <v>3.0406770299999999</v>
      </c>
      <c r="E3622" s="1"/>
      <c r="H3622" s="2">
        <v>63.923800499999999</v>
      </c>
      <c r="I3622" s="2">
        <v>35.430858800000003</v>
      </c>
      <c r="J3622" s="2">
        <v>0.66047405999999997</v>
      </c>
      <c r="L3622" s="2"/>
      <c r="M3622" s="2"/>
    </row>
    <row r="3623" spans="2:13">
      <c r="B3623" s="2"/>
      <c r="C3623" s="1">
        <v>55.951454210000001</v>
      </c>
      <c r="D3623" s="1">
        <v>3.2121685759999998</v>
      </c>
      <c r="E3623" s="1"/>
      <c r="H3623" s="2">
        <v>19.735662999999999</v>
      </c>
      <c r="I3623" s="2">
        <v>0.85506680000000002</v>
      </c>
      <c r="J3623" s="2">
        <v>27.844196</v>
      </c>
      <c r="L3623" s="2"/>
      <c r="M3623" s="2"/>
    </row>
    <row r="3624" spans="2:13">
      <c r="B3624" s="2"/>
      <c r="C3624" s="1">
        <v>7.2754399830000001</v>
      </c>
      <c r="D3624" s="1">
        <v>1.6753404890000001</v>
      </c>
      <c r="E3624" s="1"/>
      <c r="H3624" s="2">
        <v>55.8701273</v>
      </c>
      <c r="I3624" s="2">
        <v>13.261308700000001</v>
      </c>
      <c r="J3624" s="2">
        <v>46.1984225</v>
      </c>
      <c r="L3624" s="2"/>
      <c r="M3624" s="2"/>
    </row>
    <row r="3625" spans="2:13">
      <c r="B3625" s="2"/>
      <c r="C3625" s="1">
        <v>48.84507009</v>
      </c>
      <c r="D3625" s="1">
        <v>3.363872636</v>
      </c>
      <c r="E3625" s="1"/>
      <c r="H3625" s="2">
        <v>0.92194929999999997</v>
      </c>
      <c r="I3625" s="2">
        <v>23.879683700000001</v>
      </c>
      <c r="J3625" s="2">
        <v>44.460332899999997</v>
      </c>
      <c r="L3625" s="2"/>
      <c r="M3625" s="2"/>
    </row>
    <row r="3626" spans="2:13">
      <c r="B3626" s="2"/>
      <c r="C3626" s="1">
        <v>1.5094273819999999</v>
      </c>
      <c r="D3626" s="1">
        <v>1.0949075640000001</v>
      </c>
      <c r="E3626" s="1"/>
      <c r="H3626" s="2">
        <v>28.378194100000002</v>
      </c>
      <c r="I3626" s="2">
        <v>40.607899600000003</v>
      </c>
      <c r="J3626" s="2">
        <v>32.9889413</v>
      </c>
      <c r="L3626" s="2"/>
      <c r="M3626" s="2"/>
    </row>
    <row r="3627" spans="2:13">
      <c r="B3627" s="2"/>
      <c r="C3627" s="1">
        <v>9.2678841270000003</v>
      </c>
      <c r="D3627" s="1">
        <v>0.95639516099999999</v>
      </c>
      <c r="E3627" s="1"/>
      <c r="H3627" s="2">
        <v>47.703440999999998</v>
      </c>
      <c r="I3627" s="2">
        <v>30.424831399999999</v>
      </c>
      <c r="J3627" s="2">
        <v>62.362656200000004</v>
      </c>
      <c r="L3627" s="2"/>
      <c r="M3627" s="2"/>
    </row>
    <row r="3628" spans="2:13">
      <c r="B3628" s="2"/>
      <c r="C3628" s="1">
        <v>25.01423058</v>
      </c>
      <c r="D3628" s="1">
        <v>13.58081129</v>
      </c>
      <c r="E3628" s="1"/>
      <c r="H3628" s="2">
        <v>46.912348999999999</v>
      </c>
      <c r="I3628" s="2">
        <v>94.523747999999998</v>
      </c>
      <c r="J3628" s="2">
        <v>20.683266700000001</v>
      </c>
      <c r="L3628" s="2"/>
      <c r="M3628" s="2"/>
    </row>
    <row r="3629" spans="2:13">
      <c r="B3629" s="2"/>
      <c r="C3629" s="1">
        <v>77.234380299999998</v>
      </c>
      <c r="D3629" s="1">
        <v>8.2579775289999997</v>
      </c>
      <c r="E3629" s="1"/>
      <c r="H3629" s="2">
        <v>34.576072600000003</v>
      </c>
      <c r="I3629" s="2">
        <v>23.164536900000002</v>
      </c>
      <c r="J3629" s="2">
        <v>25.0980144</v>
      </c>
      <c r="L3629" s="2"/>
      <c r="M3629" s="2"/>
    </row>
    <row r="3630" spans="2:13">
      <c r="B3630" s="2"/>
      <c r="C3630" s="1">
        <v>24.579515489999999</v>
      </c>
      <c r="D3630" s="1">
        <v>6.2528456050000001</v>
      </c>
      <c r="E3630" s="1"/>
      <c r="H3630" s="2">
        <v>66.671804199999997</v>
      </c>
      <c r="I3630" s="2">
        <v>25.527630599999998</v>
      </c>
      <c r="J3630" s="2">
        <v>106.614418</v>
      </c>
      <c r="L3630" s="2"/>
      <c r="M3630" s="2"/>
    </row>
    <row r="3631" spans="2:13">
      <c r="B3631" s="2"/>
      <c r="C3631" s="1">
        <v>24.078385600000001</v>
      </c>
      <c r="D3631" s="1">
        <v>4.1619679080000003</v>
      </c>
      <c r="E3631" s="1"/>
      <c r="H3631" s="2">
        <v>29.7165076</v>
      </c>
      <c r="I3631" s="2">
        <v>68.809557299999994</v>
      </c>
      <c r="J3631" s="2">
        <v>149.37142299999999</v>
      </c>
      <c r="L3631" s="2"/>
      <c r="M3631" s="2"/>
    </row>
    <row r="3632" spans="2:13">
      <c r="B3632" s="2"/>
      <c r="C3632" s="1">
        <v>29.464022499999999</v>
      </c>
      <c r="D3632" s="1">
        <v>0.42872886500000001</v>
      </c>
      <c r="E3632" s="1"/>
      <c r="H3632" s="2">
        <v>27.943985699999999</v>
      </c>
      <c r="I3632" s="2">
        <v>118.216872</v>
      </c>
      <c r="J3632" s="2">
        <v>130.600055</v>
      </c>
      <c r="L3632" s="2"/>
      <c r="M3632" s="2"/>
    </row>
    <row r="3633" spans="2:13">
      <c r="B3633" s="2"/>
      <c r="C3633" s="1">
        <v>23.196880010000001</v>
      </c>
      <c r="D3633" s="1">
        <v>1.2729949389999999</v>
      </c>
      <c r="E3633" s="1"/>
      <c r="H3633" s="2">
        <v>124.927104</v>
      </c>
      <c r="I3633" s="2">
        <v>81.169159300000004</v>
      </c>
      <c r="J3633" s="2">
        <v>66.881689199999997</v>
      </c>
      <c r="L3633" s="2"/>
      <c r="M3633" s="2"/>
    </row>
    <row r="3634" spans="2:13">
      <c r="B3634" s="2"/>
      <c r="C3634" s="1">
        <v>129.76849089999999</v>
      </c>
      <c r="D3634" s="1">
        <v>1.207036652</v>
      </c>
      <c r="E3634" s="1"/>
      <c r="H3634" s="2">
        <v>140.42179999999999</v>
      </c>
      <c r="I3634" s="2">
        <v>47.9148341</v>
      </c>
      <c r="J3634" s="2">
        <v>9.1075897000000001</v>
      </c>
      <c r="L3634" s="2"/>
      <c r="M3634" s="2"/>
    </row>
    <row r="3635" spans="2:13">
      <c r="B3635" s="2"/>
      <c r="C3635" s="1">
        <v>166.56229279999999</v>
      </c>
      <c r="D3635" s="1">
        <v>2.38109416</v>
      </c>
      <c r="E3635" s="1"/>
      <c r="H3635" s="2">
        <v>130.898956</v>
      </c>
      <c r="I3635" s="2">
        <v>5.8610942399999999</v>
      </c>
      <c r="J3635" s="2">
        <v>18.667082700000002</v>
      </c>
      <c r="L3635" s="2"/>
      <c r="M3635" s="2"/>
    </row>
    <row r="3636" spans="2:13">
      <c r="B3636" s="2"/>
      <c r="C3636" s="1">
        <v>95.027510280000001</v>
      </c>
      <c r="D3636" s="1">
        <v>0.481495495</v>
      </c>
      <c r="E3636" s="1"/>
      <c r="H3636" s="2">
        <v>88.346534700000007</v>
      </c>
      <c r="I3636" s="2">
        <v>12.5461619</v>
      </c>
      <c r="J3636" s="2">
        <v>30.555615800000002</v>
      </c>
      <c r="L3636" s="2"/>
      <c r="M3636" s="2"/>
    </row>
    <row r="3637" spans="2:13">
      <c r="B3637" s="2"/>
      <c r="C3637" s="1">
        <v>86.11585101</v>
      </c>
      <c r="D3637" s="1">
        <v>2.9219521130000001</v>
      </c>
      <c r="E3637" s="1"/>
      <c r="H3637" s="2">
        <v>10.5578064</v>
      </c>
      <c r="I3637" s="2">
        <v>15.562215699999999</v>
      </c>
      <c r="J3637" s="2">
        <v>41.123200799999999</v>
      </c>
      <c r="L3637" s="2"/>
      <c r="M3637" s="2"/>
    </row>
    <row r="3638" spans="2:13">
      <c r="B3638" s="2"/>
      <c r="C3638" s="1">
        <v>12.975037779999999</v>
      </c>
      <c r="D3638" s="1">
        <v>0.34957892099999999</v>
      </c>
      <c r="E3638" s="1"/>
      <c r="H3638" s="2">
        <v>35.361216499999998</v>
      </c>
      <c r="I3638" s="2">
        <v>44.805500299999999</v>
      </c>
      <c r="J3638" s="2">
        <v>6.6047406200000003</v>
      </c>
      <c r="L3638" s="2"/>
      <c r="M3638" s="2"/>
    </row>
    <row r="3639" spans="2:13">
      <c r="B3639" s="2"/>
      <c r="C3639" s="1">
        <v>22.568958219999999</v>
      </c>
      <c r="D3639" s="1">
        <v>6.2528456050000001</v>
      </c>
      <c r="E3639" s="1"/>
      <c r="H3639" s="2">
        <v>37.443037500000003</v>
      </c>
      <c r="I3639" s="2">
        <v>5.1304008000000003</v>
      </c>
      <c r="J3639" s="2">
        <v>56.487913200000001</v>
      </c>
      <c r="L3639" s="2"/>
      <c r="M3639" s="2"/>
    </row>
    <row r="3640" spans="2:13">
      <c r="B3640" s="2"/>
      <c r="C3640" s="1">
        <v>13.258810130000001</v>
      </c>
      <c r="D3640" s="1">
        <v>2.9285479419999998</v>
      </c>
      <c r="E3640" s="1"/>
      <c r="H3640" s="2">
        <v>46.567361499999997</v>
      </c>
      <c r="I3640" s="2">
        <v>49.842621100000002</v>
      </c>
      <c r="J3640" s="2">
        <v>1.21666275</v>
      </c>
      <c r="L3640" s="2"/>
      <c r="M3640" s="2"/>
    </row>
    <row r="3641" spans="2:13">
      <c r="B3641" s="2"/>
      <c r="C3641" s="1">
        <v>70.055543670000006</v>
      </c>
      <c r="D3641" s="1">
        <v>0.29021646299999998</v>
      </c>
      <c r="E3641" s="1"/>
      <c r="H3641" s="2">
        <v>7.6432570599999998</v>
      </c>
      <c r="I3641" s="2">
        <v>4.0265872900000002</v>
      </c>
      <c r="J3641" s="2">
        <v>97.506828600000006</v>
      </c>
      <c r="L3641" s="2"/>
      <c r="M3641" s="2"/>
    </row>
    <row r="3642" spans="2:13">
      <c r="B3642" s="2"/>
      <c r="C3642" s="1">
        <v>6.6716690300000003</v>
      </c>
      <c r="D3642" s="1">
        <v>1.101503393</v>
      </c>
      <c r="E3642" s="1"/>
      <c r="H3642" s="2">
        <v>73.833268399999994</v>
      </c>
      <c r="I3642" s="2">
        <v>88.507187099999996</v>
      </c>
      <c r="J3642" s="2">
        <v>54.9931561</v>
      </c>
      <c r="L3642" s="2"/>
      <c r="M3642" s="2"/>
    </row>
    <row r="3643" spans="2:13">
      <c r="B3643" s="2"/>
      <c r="C3643" s="1">
        <v>36.033050469999999</v>
      </c>
      <c r="D3643" s="1">
        <v>0.164895717</v>
      </c>
      <c r="E3643" s="1"/>
      <c r="H3643" s="2">
        <v>3.72348554</v>
      </c>
      <c r="I3643" s="2">
        <v>31.606378200000002</v>
      </c>
      <c r="J3643" s="2">
        <v>20.266125200000001</v>
      </c>
      <c r="L3643" s="2"/>
      <c r="M3643" s="2"/>
    </row>
    <row r="3644" spans="2:13">
      <c r="B3644" s="2"/>
      <c r="C3644" s="1">
        <v>8.7063771410000008</v>
      </c>
      <c r="D3644" s="1">
        <v>1.893002836</v>
      </c>
      <c r="E3644" s="1"/>
      <c r="H3644" s="2">
        <v>95.621012100000002</v>
      </c>
      <c r="I3644" s="2">
        <v>16.0597092</v>
      </c>
      <c r="J3644" s="2">
        <v>7.9952123300000002</v>
      </c>
      <c r="L3644" s="2"/>
      <c r="M3644" s="2"/>
    </row>
    <row r="3645" spans="2:13">
      <c r="B3645" s="2"/>
      <c r="C3645" s="1">
        <v>95.739959999999996</v>
      </c>
      <c r="D3645" s="1">
        <v>2.2227942710000002</v>
      </c>
      <c r="E3645" s="1"/>
      <c r="H3645" s="2">
        <v>62.888838100000001</v>
      </c>
      <c r="I3645" s="2">
        <v>15.468935699999999</v>
      </c>
      <c r="J3645" s="2">
        <v>5.6314104199999999</v>
      </c>
      <c r="L3645" s="2"/>
      <c r="M3645" s="2"/>
    </row>
    <row r="3646" spans="2:13">
      <c r="B3646" s="2"/>
      <c r="C3646" s="1">
        <v>51.091098039999999</v>
      </c>
      <c r="D3646" s="1">
        <v>3.086847831</v>
      </c>
      <c r="E3646" s="1"/>
      <c r="H3646" s="2">
        <v>18.165375099999999</v>
      </c>
      <c r="I3646" s="2">
        <v>5.4568808500000001</v>
      </c>
      <c r="J3646" s="2">
        <v>10.289490600000001</v>
      </c>
      <c r="L3646" s="2"/>
      <c r="M3646" s="2"/>
    </row>
    <row r="3647" spans="2:13">
      <c r="B3647" s="2"/>
      <c r="C3647" s="1">
        <v>21.69349034</v>
      </c>
      <c r="D3647" s="1">
        <v>1.9391736369999999</v>
      </c>
      <c r="E3647" s="1"/>
      <c r="H3647" s="2">
        <v>15.5363326</v>
      </c>
      <c r="I3647" s="2">
        <v>9.4368281300000003</v>
      </c>
      <c r="J3647" s="2">
        <v>55.5493448</v>
      </c>
      <c r="L3647" s="2"/>
      <c r="M3647" s="2"/>
    </row>
    <row r="3648" spans="2:13">
      <c r="B3648" s="2"/>
      <c r="C3648" s="1">
        <v>33.346269730000003</v>
      </c>
      <c r="D3648" s="1">
        <v>0.244045662</v>
      </c>
      <c r="E3648" s="1"/>
      <c r="H3648" s="2">
        <v>7.76221826</v>
      </c>
      <c r="I3648" s="2">
        <v>58.844142499999997</v>
      </c>
      <c r="J3648" s="2">
        <v>52.351259900000002</v>
      </c>
      <c r="L3648" s="2"/>
      <c r="M3648" s="2"/>
    </row>
    <row r="3649" spans="2:13">
      <c r="B3649" s="2"/>
      <c r="C3649" s="1">
        <v>2.2098016880000002</v>
      </c>
      <c r="D3649" s="1">
        <v>4.1223929359999998</v>
      </c>
      <c r="E3649" s="1"/>
      <c r="H3649" s="2">
        <v>14.3229284</v>
      </c>
      <c r="I3649" s="2">
        <v>55.423875299999999</v>
      </c>
      <c r="J3649" s="2">
        <v>14.530429399999999</v>
      </c>
      <c r="L3649" s="2"/>
      <c r="M3649" s="2"/>
    </row>
    <row r="3650" spans="2:13">
      <c r="B3650" s="2"/>
      <c r="C3650" s="1">
        <v>10.197691389999999</v>
      </c>
      <c r="D3650" s="1">
        <v>296.23185849999999</v>
      </c>
      <c r="E3650" s="1"/>
      <c r="H3650" s="2">
        <v>58.606234899999997</v>
      </c>
      <c r="I3650" s="2">
        <v>10.2297083</v>
      </c>
      <c r="J3650" s="2">
        <v>4.4147476799999996</v>
      </c>
      <c r="L3650" s="2"/>
      <c r="M3650" s="2"/>
    </row>
    <row r="3651" spans="2:13">
      <c r="B3651" s="2"/>
      <c r="C3651" s="1">
        <v>61.149922109999999</v>
      </c>
      <c r="D3651" s="1">
        <v>1.8138528920000001</v>
      </c>
      <c r="E3651" s="1"/>
      <c r="H3651" s="2">
        <v>72.816150199999996</v>
      </c>
      <c r="I3651" s="2">
        <v>5.67453421</v>
      </c>
      <c r="J3651" s="2">
        <v>112.245829</v>
      </c>
      <c r="L3651" s="2"/>
      <c r="M3651" s="2"/>
    </row>
    <row r="3652" spans="2:13">
      <c r="B3652" s="2"/>
      <c r="C3652" s="1">
        <v>84.358877539999995</v>
      </c>
      <c r="D3652" s="1">
        <v>76.663316949999995</v>
      </c>
      <c r="E3652" s="1"/>
      <c r="H3652" s="2">
        <v>19.8248839</v>
      </c>
      <c r="I3652" s="2">
        <v>105.655163</v>
      </c>
      <c r="J3652" s="2">
        <v>41.818436699999999</v>
      </c>
      <c r="L3652" s="2"/>
      <c r="M3652" s="2"/>
    </row>
    <row r="3653" spans="2:13">
      <c r="B3653" s="2"/>
      <c r="C3653" s="1">
        <v>23.818764089999998</v>
      </c>
      <c r="D3653" s="1">
        <v>0.31659977700000003</v>
      </c>
      <c r="E3653" s="1"/>
      <c r="H3653" s="2">
        <v>7.1614642000000002</v>
      </c>
      <c r="I3653" s="2">
        <v>33.798458599999996</v>
      </c>
      <c r="J3653" s="2">
        <v>20.613743100000001</v>
      </c>
      <c r="L3653" s="2"/>
      <c r="M3653" s="2"/>
    </row>
    <row r="3654" spans="2:13">
      <c r="B3654" s="2"/>
      <c r="C3654" s="1">
        <v>7.5652500399999996</v>
      </c>
      <c r="D3654" s="1">
        <v>0.29021646299999998</v>
      </c>
      <c r="E3654" s="1"/>
      <c r="H3654" s="2">
        <v>111.460696</v>
      </c>
      <c r="I3654" s="2">
        <v>17.676562700000002</v>
      </c>
      <c r="J3654" s="2">
        <v>54.263158500000003</v>
      </c>
      <c r="L3654" s="2"/>
      <c r="M3654" s="2"/>
    </row>
    <row r="3655" spans="2:13">
      <c r="B3655" s="2"/>
      <c r="C3655" s="1">
        <v>100.8418246</v>
      </c>
      <c r="D3655" s="1">
        <v>0.620007898</v>
      </c>
      <c r="E3655" s="1"/>
      <c r="H3655" s="2">
        <v>60.366860600000003</v>
      </c>
      <c r="I3655" s="2">
        <v>55.703715299999999</v>
      </c>
      <c r="J3655" s="2">
        <v>14.426144000000001</v>
      </c>
      <c r="L3655" s="2"/>
      <c r="M3655" s="2"/>
    </row>
    <row r="3656" spans="2:13">
      <c r="B3656" s="2"/>
      <c r="C3656" s="1">
        <v>100.8539</v>
      </c>
      <c r="D3656" s="1">
        <v>2.7900355389999998</v>
      </c>
      <c r="E3656" s="1"/>
      <c r="H3656" s="2">
        <v>25.362527700000001</v>
      </c>
      <c r="I3656" s="2">
        <v>9.8876815300000001</v>
      </c>
      <c r="J3656" s="2">
        <v>8.5861628000000003</v>
      </c>
      <c r="L3656" s="2"/>
      <c r="M3656" s="2"/>
    </row>
    <row r="3657" spans="2:13">
      <c r="B3657" s="2"/>
      <c r="C3657" s="1">
        <v>17.91992188</v>
      </c>
      <c r="D3657" s="1">
        <v>0.19127903199999999</v>
      </c>
      <c r="E3657" s="1"/>
      <c r="H3657" s="2">
        <v>50.011288200000003</v>
      </c>
      <c r="I3657" s="2">
        <v>9.8099481900000001</v>
      </c>
      <c r="J3657" s="2">
        <v>10.984726500000001</v>
      </c>
      <c r="L3657" s="2"/>
      <c r="M3657" s="2"/>
    </row>
    <row r="3658" spans="2:13">
      <c r="B3658" s="2"/>
      <c r="C3658" s="1">
        <v>56.458621809999997</v>
      </c>
      <c r="D3658" s="1">
        <v>1.0553325920000001</v>
      </c>
      <c r="E3658" s="1"/>
      <c r="H3658" s="2">
        <v>14.316980300000001</v>
      </c>
      <c r="I3658" s="2">
        <v>10.167521600000001</v>
      </c>
      <c r="J3658" s="2">
        <v>32.2937054</v>
      </c>
      <c r="L3658" s="2"/>
      <c r="M3658" s="2"/>
    </row>
    <row r="3659" spans="2:13">
      <c r="B3659" s="2"/>
      <c r="C3659" s="1">
        <v>13.971259849999999</v>
      </c>
      <c r="D3659" s="1">
        <v>3.2847226909999998</v>
      </c>
      <c r="E3659" s="1"/>
      <c r="H3659" s="2">
        <v>11.4500154</v>
      </c>
      <c r="I3659" s="2">
        <v>40.265872899999998</v>
      </c>
      <c r="J3659" s="2">
        <v>2.8504670000000001</v>
      </c>
      <c r="L3659" s="2"/>
      <c r="M3659" s="2"/>
    </row>
    <row r="3660" spans="2:13">
      <c r="B3660" s="2"/>
      <c r="C3660" s="1">
        <v>7.341854788</v>
      </c>
      <c r="D3660" s="1">
        <v>3.2385518910000002</v>
      </c>
      <c r="E3660" s="1"/>
      <c r="H3660" s="2">
        <v>14.983163100000001</v>
      </c>
      <c r="I3660" s="2">
        <v>5.5501608600000001</v>
      </c>
      <c r="J3660" s="2">
        <v>9.6985401699999993</v>
      </c>
      <c r="L3660" s="2"/>
      <c r="M3660" s="2"/>
    </row>
    <row r="3661" spans="2:13">
      <c r="B3661" s="2"/>
      <c r="C3661" s="1">
        <v>10.20976681</v>
      </c>
      <c r="D3661" s="1">
        <v>0.81128692999999996</v>
      </c>
      <c r="E3661" s="1"/>
      <c r="H3661" s="2">
        <v>37.056413599999999</v>
      </c>
      <c r="I3661" s="2">
        <v>12.1108552</v>
      </c>
      <c r="J3661" s="2">
        <v>51.4126914</v>
      </c>
      <c r="L3661" s="2"/>
      <c r="M3661" s="2"/>
    </row>
    <row r="3662" spans="2:13">
      <c r="B3662" s="2"/>
      <c r="C3662" s="1">
        <v>69.32498081</v>
      </c>
      <c r="D3662" s="1">
        <v>1.41810317</v>
      </c>
      <c r="E3662" s="1"/>
      <c r="H3662" s="2">
        <v>5.17481217</v>
      </c>
      <c r="I3662" s="2">
        <v>70.768437599999999</v>
      </c>
      <c r="J3662" s="2">
        <v>28.956573299999999</v>
      </c>
      <c r="L3662" s="2"/>
      <c r="M3662" s="2"/>
    </row>
    <row r="3663" spans="2:13">
      <c r="B3663" s="2"/>
      <c r="C3663" s="1">
        <v>2.8075349310000002</v>
      </c>
      <c r="D3663" s="1">
        <v>0.230854004</v>
      </c>
      <c r="E3663" s="1"/>
      <c r="H3663" s="2">
        <v>9.5287920699999997</v>
      </c>
      <c r="I3663" s="2">
        <v>24.066243700000001</v>
      </c>
      <c r="J3663" s="2">
        <v>12.40996</v>
      </c>
      <c r="L3663" s="2"/>
      <c r="M3663" s="2"/>
    </row>
    <row r="3664" spans="2:13">
      <c r="B3664" s="2"/>
      <c r="C3664" s="1">
        <v>32.923630060000001</v>
      </c>
      <c r="D3664" s="1">
        <v>0.31659977700000003</v>
      </c>
      <c r="E3664" s="1"/>
      <c r="H3664" s="2">
        <v>66.154323000000005</v>
      </c>
      <c r="I3664" s="2">
        <v>21.5943234</v>
      </c>
      <c r="J3664" s="2">
        <v>26.697056799999999</v>
      </c>
      <c r="L3664" s="2"/>
      <c r="M3664" s="2"/>
    </row>
    <row r="3665" spans="2:13">
      <c r="B3665" s="2"/>
      <c r="C3665" s="1">
        <v>68.135552039999993</v>
      </c>
      <c r="D3665" s="1">
        <v>0.20447069000000001</v>
      </c>
      <c r="E3665" s="1"/>
      <c r="H3665" s="2">
        <v>47.447674399999997</v>
      </c>
      <c r="I3665" s="2">
        <v>23.024616900000002</v>
      </c>
      <c r="J3665" s="2">
        <v>7.2999764699999998</v>
      </c>
      <c r="L3665" s="2"/>
      <c r="M3665" s="2"/>
    </row>
    <row r="3666" spans="2:13">
      <c r="B3666" s="2"/>
      <c r="C3666" s="1">
        <v>85.976983700000005</v>
      </c>
      <c r="D3666" s="1">
        <v>0.118724917</v>
      </c>
      <c r="E3666" s="1"/>
      <c r="H3666" s="2">
        <v>16.309580400000002</v>
      </c>
      <c r="I3666" s="2">
        <v>5.7833608999999999</v>
      </c>
      <c r="J3666" s="2">
        <v>3.8585589900000001</v>
      </c>
      <c r="L3666" s="2"/>
      <c r="M3666" s="2"/>
    </row>
    <row r="3667" spans="2:13">
      <c r="B3667" s="2"/>
      <c r="C3667" s="1">
        <v>23.78253784</v>
      </c>
      <c r="D3667" s="1">
        <v>0.94320350399999997</v>
      </c>
      <c r="E3667" s="1"/>
      <c r="H3667" s="2">
        <v>34.796150799999999</v>
      </c>
      <c r="I3667" s="2">
        <v>5.1925874700000003</v>
      </c>
      <c r="J3667" s="2">
        <v>6.8828349600000003</v>
      </c>
      <c r="L3667" s="2"/>
      <c r="M3667" s="2"/>
    </row>
    <row r="3668" spans="2:13">
      <c r="B3668" s="2"/>
      <c r="C3668" s="1">
        <v>34.734942920000002</v>
      </c>
      <c r="D3668" s="1">
        <v>3.7266432140000001</v>
      </c>
      <c r="E3668" s="1"/>
      <c r="H3668" s="2">
        <v>8.7020117399999997</v>
      </c>
      <c r="I3668" s="2">
        <v>9.7166681700000002</v>
      </c>
      <c r="J3668" s="2">
        <v>4.1366533299999997</v>
      </c>
      <c r="L3668" s="2"/>
      <c r="M3668" s="2"/>
    </row>
    <row r="3669" spans="2:13">
      <c r="B3669" s="2"/>
      <c r="C3669" s="1">
        <v>5.5486550570000004</v>
      </c>
      <c r="D3669" s="1">
        <v>1.8798111790000001</v>
      </c>
      <c r="E3669" s="1"/>
      <c r="H3669" s="2">
        <v>6.9770743399999997</v>
      </c>
      <c r="I3669" s="2">
        <v>4.9593874400000004</v>
      </c>
      <c r="J3669" s="2">
        <v>18.249941199999999</v>
      </c>
      <c r="L3669" s="2"/>
      <c r="M3669" s="2"/>
    </row>
    <row r="3670" spans="2:13">
      <c r="B3670" s="2"/>
      <c r="C3670" s="1">
        <v>4.6248854990000003</v>
      </c>
      <c r="D3670" s="1">
        <v>0.474899666</v>
      </c>
      <c r="E3670" s="1"/>
      <c r="H3670" s="2">
        <v>7.2268928600000004</v>
      </c>
      <c r="I3670" s="2">
        <v>14.4117622</v>
      </c>
      <c r="J3670" s="2">
        <v>13.869955300000001</v>
      </c>
      <c r="L3670" s="2"/>
      <c r="M3670" s="2"/>
    </row>
    <row r="3671" spans="2:13">
      <c r="B3671" s="2"/>
      <c r="C3671" s="1">
        <v>8.3139260220000004</v>
      </c>
      <c r="D3671" s="1">
        <v>519.52704319999998</v>
      </c>
      <c r="E3671" s="1"/>
      <c r="H3671" s="2">
        <v>5.6209166699999997</v>
      </c>
      <c r="I3671" s="2">
        <v>16.805949300000002</v>
      </c>
      <c r="J3671" s="2">
        <v>32.780370499999997</v>
      </c>
      <c r="L3671" s="2"/>
      <c r="M3671" s="2"/>
    </row>
    <row r="3672" spans="2:13">
      <c r="B3672" s="2"/>
      <c r="C3672" s="1">
        <v>9.1169413890000008</v>
      </c>
      <c r="D3672" s="1">
        <v>1.787469577</v>
      </c>
      <c r="E3672" s="1"/>
      <c r="H3672" s="2">
        <v>20.4613263</v>
      </c>
      <c r="I3672" s="2">
        <v>30.424831399999999</v>
      </c>
      <c r="J3672" s="2">
        <v>9.6290165900000009</v>
      </c>
      <c r="L3672" s="2"/>
      <c r="M3672" s="2"/>
    </row>
    <row r="3673" spans="2:13">
      <c r="B3673" s="2"/>
      <c r="C3673" s="1">
        <v>23.166691459999999</v>
      </c>
      <c r="D3673" s="1">
        <v>5.9230541710000004</v>
      </c>
      <c r="E3673" s="1"/>
      <c r="H3673" s="2">
        <v>17.576517200000001</v>
      </c>
      <c r="I3673" s="2">
        <v>13.230215400000001</v>
      </c>
      <c r="J3673" s="2">
        <v>66.255976899999993</v>
      </c>
      <c r="L3673" s="2"/>
      <c r="M3673" s="2"/>
    </row>
    <row r="3674" spans="2:13">
      <c r="B3674" s="2"/>
      <c r="C3674" s="1">
        <v>18.904068540000001</v>
      </c>
      <c r="D3674" s="1">
        <v>3.5353641819999999</v>
      </c>
      <c r="E3674" s="1"/>
      <c r="H3674" s="2">
        <v>43.034213899999997</v>
      </c>
      <c r="I3674" s="2">
        <v>43.328566700000003</v>
      </c>
      <c r="J3674" s="2">
        <v>27.844196</v>
      </c>
      <c r="L3674" s="2"/>
      <c r="M3674" s="2"/>
    </row>
    <row r="3675" spans="2:13">
      <c r="B3675" s="2"/>
      <c r="C3675" s="1">
        <v>64.404247549999994</v>
      </c>
      <c r="D3675" s="1">
        <v>1.4312948270000001</v>
      </c>
      <c r="E3675" s="1"/>
      <c r="H3675" s="2">
        <v>12.8180692</v>
      </c>
      <c r="I3675" s="2">
        <v>22.293923499999998</v>
      </c>
      <c r="J3675" s="2">
        <v>67.2293071</v>
      </c>
      <c r="L3675" s="2"/>
      <c r="M3675" s="2"/>
    </row>
    <row r="3676" spans="2:13">
      <c r="B3676" s="2"/>
      <c r="C3676" s="1">
        <v>16.16898612</v>
      </c>
      <c r="D3676" s="1">
        <v>0.481495495</v>
      </c>
      <c r="E3676" s="1"/>
      <c r="H3676" s="2">
        <v>78.151559899999995</v>
      </c>
      <c r="I3676" s="2">
        <v>78.635052200000004</v>
      </c>
      <c r="J3676" s="2">
        <v>43.5912881</v>
      </c>
      <c r="L3676" s="2"/>
      <c r="M3676" s="2"/>
    </row>
    <row r="3677" spans="2:13">
      <c r="B3677" s="2"/>
      <c r="C3677" s="1">
        <v>76.509855150000007</v>
      </c>
      <c r="D3677" s="1">
        <v>0.89043687400000004</v>
      </c>
      <c r="E3677" s="1"/>
      <c r="H3677" s="2">
        <v>26.468866899999998</v>
      </c>
      <c r="I3677" s="2">
        <v>41.431873099999997</v>
      </c>
      <c r="J3677" s="2">
        <v>23.1861158</v>
      </c>
      <c r="L3677" s="2"/>
      <c r="M3677" s="2"/>
    </row>
    <row r="3678" spans="2:13">
      <c r="B3678" s="2"/>
      <c r="C3678" s="1">
        <v>45.017162249999998</v>
      </c>
      <c r="D3678" s="1">
        <v>1.0553325920000001</v>
      </c>
      <c r="E3678" s="1"/>
      <c r="H3678" s="2">
        <v>70.841394199999996</v>
      </c>
      <c r="I3678" s="2">
        <v>17.272349299999998</v>
      </c>
      <c r="J3678" s="2">
        <v>6.5699788300000002</v>
      </c>
      <c r="L3678" s="2"/>
      <c r="M3678" s="2"/>
    </row>
    <row r="3679" spans="2:13">
      <c r="B3679" s="2"/>
      <c r="C3679" s="1">
        <v>150.0008555</v>
      </c>
      <c r="D3679" s="1">
        <v>0.42213303699999999</v>
      </c>
      <c r="E3679" s="1"/>
      <c r="H3679" s="2">
        <v>41.487718299999997</v>
      </c>
      <c r="I3679" s="2">
        <v>15.717682399999999</v>
      </c>
      <c r="J3679" s="2">
        <v>8.8990189399999995</v>
      </c>
      <c r="L3679" s="2"/>
      <c r="M3679" s="2"/>
    </row>
    <row r="3680" spans="2:13">
      <c r="B3680" s="2"/>
      <c r="C3680" s="1">
        <v>52.54014832</v>
      </c>
      <c r="D3680" s="1">
        <v>0.69256201299999998</v>
      </c>
      <c r="E3680" s="1"/>
      <c r="H3680" s="2">
        <v>32.500199700000003</v>
      </c>
      <c r="I3680" s="2">
        <v>13.059202000000001</v>
      </c>
      <c r="J3680" s="2">
        <v>28.921811600000002</v>
      </c>
      <c r="L3680" s="2"/>
      <c r="M3680" s="2"/>
    </row>
    <row r="3681" spans="2:13">
      <c r="B3681" s="2"/>
      <c r="C3681" s="1">
        <v>27.187806009999999</v>
      </c>
      <c r="D3681" s="1">
        <v>294.54332629999999</v>
      </c>
      <c r="E3681" s="1"/>
      <c r="H3681" s="2">
        <v>8.9458821900000007</v>
      </c>
      <c r="I3681" s="2">
        <v>17.256802700000001</v>
      </c>
      <c r="J3681" s="2">
        <v>13.730908100000001</v>
      </c>
      <c r="L3681" s="2"/>
      <c r="M3681" s="2"/>
    </row>
    <row r="3682" spans="2:13">
      <c r="B3682" s="2"/>
      <c r="C3682" s="1">
        <v>5.8263896959999997</v>
      </c>
      <c r="D3682" s="1">
        <v>0.70575367099999997</v>
      </c>
      <c r="E3682" s="1"/>
      <c r="H3682" s="2">
        <v>10.6886638</v>
      </c>
      <c r="I3682" s="2">
        <v>13.074748700000001</v>
      </c>
      <c r="J3682" s="2">
        <v>14.426144000000001</v>
      </c>
      <c r="L3682" s="2"/>
      <c r="M3682" s="2"/>
    </row>
    <row r="3683" spans="2:13">
      <c r="B3683" s="2"/>
      <c r="C3683" s="1">
        <v>20.473873009999998</v>
      </c>
      <c r="D3683" s="1">
        <v>0.39574972200000003</v>
      </c>
      <c r="E3683" s="1"/>
      <c r="H3683" s="2">
        <v>32.5953686</v>
      </c>
      <c r="I3683" s="2">
        <v>15.671042399999999</v>
      </c>
      <c r="J3683" s="2">
        <v>36.917023899999997</v>
      </c>
      <c r="L3683" s="2"/>
      <c r="M3683" s="2"/>
    </row>
    <row r="3684" spans="2:13">
      <c r="B3684" s="2"/>
      <c r="C3684" s="1">
        <v>19.544065750000001</v>
      </c>
      <c r="D3684" s="1">
        <v>4.7819758060000002</v>
      </c>
      <c r="E3684" s="1"/>
      <c r="H3684" s="2">
        <v>16.803269400000001</v>
      </c>
      <c r="I3684" s="2">
        <v>42.939900000000002</v>
      </c>
      <c r="J3684" s="2">
        <v>16.198995400000001</v>
      </c>
      <c r="L3684" s="2"/>
      <c r="M3684" s="2"/>
    </row>
    <row r="3685" spans="2:13">
      <c r="B3685" s="2"/>
      <c r="C3685" s="1">
        <v>4.8603561710000003</v>
      </c>
      <c r="D3685" s="1">
        <v>279.35972870000001</v>
      </c>
      <c r="E3685" s="1"/>
      <c r="H3685" s="2">
        <v>14.4299935</v>
      </c>
      <c r="I3685" s="2">
        <v>18.687096199999999</v>
      </c>
      <c r="J3685" s="2">
        <v>8.9337807300000005</v>
      </c>
      <c r="L3685" s="2"/>
      <c r="M3685" s="2"/>
    </row>
    <row r="3686" spans="2:13">
      <c r="B3686" s="2"/>
      <c r="C3686" s="1">
        <v>18.276146740000002</v>
      </c>
      <c r="D3686" s="1">
        <v>0.36277057800000001</v>
      </c>
      <c r="E3686" s="1"/>
      <c r="H3686" s="2">
        <v>33.344824199999998</v>
      </c>
      <c r="I3686" s="2">
        <v>6.1875742899999997</v>
      </c>
      <c r="J3686" s="2">
        <v>41.401295099999999</v>
      </c>
      <c r="L3686" s="2"/>
      <c r="M3686" s="2"/>
    </row>
    <row r="3687" spans="2:13">
      <c r="B3687" s="2"/>
      <c r="C3687" s="1">
        <v>51.791472339999999</v>
      </c>
      <c r="D3687" s="1">
        <v>0.79149944400000005</v>
      </c>
      <c r="E3687" s="1"/>
      <c r="H3687" s="2">
        <v>20.044962099999999</v>
      </c>
      <c r="I3687" s="2">
        <v>37.265365799999998</v>
      </c>
      <c r="J3687" s="2">
        <v>59.998854299999998</v>
      </c>
      <c r="L3687" s="2"/>
      <c r="M3687" s="2"/>
    </row>
    <row r="3688" spans="2:13">
      <c r="B3688" s="2"/>
      <c r="C3688" s="1">
        <v>17.310113220000002</v>
      </c>
      <c r="D3688" s="1">
        <v>6.5958287000000004E-2</v>
      </c>
      <c r="E3688" s="1"/>
      <c r="H3688" s="2">
        <v>11.699833999999999</v>
      </c>
      <c r="I3688" s="2">
        <v>52.143528099999997</v>
      </c>
      <c r="J3688" s="2">
        <v>9.7333019600000004</v>
      </c>
      <c r="L3688" s="2"/>
      <c r="M3688" s="2"/>
    </row>
    <row r="3689" spans="2:13">
      <c r="B3689" s="2"/>
      <c r="C3689" s="1">
        <v>5.4399762860000003</v>
      </c>
      <c r="D3689" s="1">
        <v>247.83826329999999</v>
      </c>
      <c r="E3689" s="1"/>
      <c r="H3689" s="2">
        <v>52.574902100000003</v>
      </c>
      <c r="I3689" s="2">
        <v>13.4945088</v>
      </c>
      <c r="J3689" s="2">
        <v>20.787552099999999</v>
      </c>
      <c r="L3689" s="2"/>
      <c r="M3689" s="2"/>
    </row>
    <row r="3690" spans="2:13">
      <c r="B3690" s="2"/>
      <c r="C3690" s="1">
        <v>83.151335639999999</v>
      </c>
      <c r="D3690" s="1">
        <v>0.310003949</v>
      </c>
      <c r="E3690" s="1"/>
      <c r="H3690" s="2">
        <v>52.485681200000002</v>
      </c>
      <c r="I3690" s="2">
        <v>23.0557102</v>
      </c>
      <c r="J3690" s="2">
        <v>2.3638019099999998</v>
      </c>
      <c r="L3690" s="2"/>
      <c r="M3690" s="2"/>
    </row>
    <row r="3691" spans="2:13">
      <c r="B3691" s="2"/>
      <c r="C3691" s="1">
        <v>54.115990510000003</v>
      </c>
      <c r="D3691" s="1">
        <v>2.1436443270000001</v>
      </c>
      <c r="E3691" s="1"/>
      <c r="H3691" s="2">
        <v>9.6655974499999999</v>
      </c>
      <c r="I3691" s="2">
        <v>3.4669072000000001</v>
      </c>
      <c r="J3691" s="2">
        <v>103.312048</v>
      </c>
      <c r="L3691" s="2"/>
      <c r="M3691" s="2"/>
    </row>
    <row r="3692" spans="2:13">
      <c r="B3692" s="2"/>
      <c r="C3692" s="1">
        <v>4.8241299140000002</v>
      </c>
      <c r="D3692" s="1">
        <v>0.58043292499999999</v>
      </c>
      <c r="E3692" s="1"/>
      <c r="H3692" s="2">
        <v>28.300869299999999</v>
      </c>
      <c r="I3692" s="2">
        <v>115.931511</v>
      </c>
      <c r="J3692" s="2">
        <v>4.51903305</v>
      </c>
      <c r="L3692" s="2"/>
      <c r="M3692" s="2"/>
    </row>
    <row r="3693" spans="2:13">
      <c r="B3693" s="2"/>
      <c r="C3693" s="1">
        <v>8.3803408269999995</v>
      </c>
      <c r="D3693" s="1">
        <v>0.36277057800000001</v>
      </c>
      <c r="E3693" s="1"/>
      <c r="H3693" s="2">
        <v>2.80748431</v>
      </c>
      <c r="I3693" s="2">
        <v>5.1614941300000003</v>
      </c>
      <c r="J3693" s="2">
        <v>37.994639499999998</v>
      </c>
      <c r="L3693" s="2"/>
      <c r="M3693" s="2"/>
    </row>
    <row r="3694" spans="2:13">
      <c r="B3694" s="2"/>
      <c r="C3694" s="1">
        <v>3.5380977840000001</v>
      </c>
      <c r="D3694" s="1">
        <v>0.19127903199999999</v>
      </c>
      <c r="E3694" s="1"/>
      <c r="H3694" s="2">
        <v>161.608789</v>
      </c>
      <c r="I3694" s="2">
        <v>35.632965499999997</v>
      </c>
      <c r="J3694" s="2">
        <v>17.6589907</v>
      </c>
      <c r="L3694" s="2"/>
      <c r="M3694" s="2"/>
    </row>
    <row r="3695" spans="2:13">
      <c r="B3695" s="2"/>
      <c r="C3695" s="1">
        <v>128.4401948</v>
      </c>
      <c r="D3695" s="1">
        <v>4.4719718569999998</v>
      </c>
      <c r="E3695" s="1"/>
      <c r="H3695" s="2">
        <v>6.00159251</v>
      </c>
      <c r="I3695" s="2">
        <v>16.401735899999998</v>
      </c>
      <c r="J3695" s="2">
        <v>13.4875756</v>
      </c>
      <c r="L3695" s="2"/>
      <c r="M3695" s="2"/>
    </row>
    <row r="3696" spans="2:13">
      <c r="B3696" s="2"/>
      <c r="C3696" s="1">
        <v>4.6671494659999997</v>
      </c>
      <c r="D3696" s="1">
        <v>1.2663991100000001</v>
      </c>
      <c r="E3696" s="1"/>
      <c r="H3696" s="2">
        <v>53.835890800000001</v>
      </c>
      <c r="I3696" s="2">
        <v>14.0852822</v>
      </c>
      <c r="J3696" s="2">
        <v>5.4576014600000002</v>
      </c>
      <c r="L3696" s="2"/>
      <c r="M3696" s="2"/>
    </row>
    <row r="3697" spans="2:13">
      <c r="B3697" s="2"/>
      <c r="C3697" s="1">
        <v>73.974017149999995</v>
      </c>
      <c r="D3697" s="1">
        <v>0.224258176</v>
      </c>
      <c r="E3697" s="1"/>
      <c r="H3697" s="2">
        <v>19.664286300000001</v>
      </c>
      <c r="I3697" s="2">
        <v>4.1509606400000001</v>
      </c>
      <c r="J3697" s="2">
        <v>35.978455500000003</v>
      </c>
      <c r="L3697" s="2"/>
      <c r="M3697" s="2"/>
    </row>
    <row r="3698" spans="2:13">
      <c r="B3698" s="2"/>
      <c r="C3698" s="1">
        <v>8.0543045119999999</v>
      </c>
      <c r="D3698" s="1">
        <v>1.2729949389999999</v>
      </c>
      <c r="E3698" s="1"/>
      <c r="H3698" s="2">
        <v>13.502096099999999</v>
      </c>
      <c r="I3698" s="2">
        <v>74.841664899999998</v>
      </c>
      <c r="J3698" s="2">
        <v>14.2175732</v>
      </c>
      <c r="L3698" s="2"/>
      <c r="M3698" s="2"/>
    </row>
    <row r="3699" spans="2:13">
      <c r="B3699" s="2"/>
      <c r="C3699" s="1">
        <v>3.4958338169999998</v>
      </c>
      <c r="D3699" s="1">
        <v>1.0553325920000001</v>
      </c>
      <c r="E3699" s="1"/>
      <c r="H3699" s="2">
        <v>7.9049716999999999</v>
      </c>
      <c r="I3699" s="2">
        <v>12.375148599999999</v>
      </c>
      <c r="J3699" s="2">
        <v>7.7518797800000003</v>
      </c>
      <c r="L3699" s="2"/>
      <c r="M3699" s="2"/>
    </row>
    <row r="3700" spans="2:13">
      <c r="B3700" s="2"/>
      <c r="C3700" s="1">
        <v>12.32296515</v>
      </c>
      <c r="D3700" s="1">
        <v>0.92341601799999995</v>
      </c>
      <c r="E3700" s="1"/>
      <c r="H3700" s="2">
        <v>43.266188200000002</v>
      </c>
      <c r="I3700" s="2">
        <v>11.0692284</v>
      </c>
      <c r="J3700" s="2">
        <v>26.279915299999999</v>
      </c>
      <c r="L3700" s="2"/>
      <c r="M3700" s="2"/>
    </row>
    <row r="3701" spans="2:13">
      <c r="B3701" s="2"/>
      <c r="C3701" s="1">
        <v>26.161395389999999</v>
      </c>
      <c r="D3701" s="1">
        <v>3.3836601220000002</v>
      </c>
      <c r="E3701" s="1"/>
      <c r="H3701" s="2">
        <v>16.226307599999998</v>
      </c>
      <c r="I3701" s="2">
        <v>22.154003400000001</v>
      </c>
      <c r="J3701" s="2">
        <v>32.397990800000002</v>
      </c>
      <c r="L3701" s="2"/>
      <c r="M3701" s="2"/>
    </row>
    <row r="3702" spans="2:13">
      <c r="B3702" s="2"/>
      <c r="C3702" s="1">
        <v>35.17569572</v>
      </c>
      <c r="D3702" s="1">
        <v>1.2400157949999999</v>
      </c>
      <c r="E3702" s="1"/>
      <c r="H3702" s="2">
        <v>11.3013139</v>
      </c>
      <c r="I3702" s="2">
        <v>39.333072799999997</v>
      </c>
      <c r="J3702" s="2">
        <v>11.645200600000001</v>
      </c>
      <c r="L3702" s="2"/>
      <c r="M3702" s="2"/>
    </row>
    <row r="3703" spans="2:13">
      <c r="B3703" s="2"/>
      <c r="C3703" s="1">
        <v>13.63314812</v>
      </c>
      <c r="D3703" s="1">
        <v>0.82447858699999998</v>
      </c>
      <c r="E3703" s="1"/>
      <c r="H3703" s="2">
        <v>24.511955100000002</v>
      </c>
      <c r="I3703" s="2">
        <v>11.8932018</v>
      </c>
      <c r="J3703" s="2">
        <v>81.551165699999999</v>
      </c>
      <c r="L3703" s="2"/>
      <c r="M3703" s="2"/>
    </row>
    <row r="3704" spans="2:13">
      <c r="B3704" s="2"/>
      <c r="C3704" s="1">
        <v>22.725938670000001</v>
      </c>
      <c r="D3704" s="1">
        <v>4.0366471629999996</v>
      </c>
      <c r="E3704" s="1"/>
      <c r="H3704" s="2">
        <v>35.611035000000001</v>
      </c>
      <c r="I3704" s="2">
        <v>80.500652500000001</v>
      </c>
      <c r="J3704" s="2">
        <v>34.761792700000001</v>
      </c>
      <c r="L3704" s="2"/>
      <c r="M3704" s="2"/>
    </row>
    <row r="3705" spans="2:13">
      <c r="B3705" s="2"/>
      <c r="C3705" s="1">
        <v>8.2595866359999999</v>
      </c>
      <c r="D3705" s="1">
        <v>0.158299889</v>
      </c>
      <c r="E3705" s="1"/>
      <c r="H3705" s="2">
        <v>15.090228099999999</v>
      </c>
      <c r="I3705" s="2">
        <v>37.700672500000003</v>
      </c>
      <c r="J3705" s="2">
        <v>12.40996</v>
      </c>
      <c r="L3705" s="2"/>
      <c r="M3705" s="2"/>
    </row>
    <row r="3706" spans="2:13">
      <c r="B3706" s="2"/>
      <c r="C3706" s="1">
        <v>16.392381369999999</v>
      </c>
      <c r="D3706" s="1">
        <v>0.12532074500000001</v>
      </c>
      <c r="E3706" s="1"/>
      <c r="H3706" s="2">
        <v>84.343490399999993</v>
      </c>
      <c r="I3706" s="2">
        <v>18.360616199999999</v>
      </c>
      <c r="J3706" s="2">
        <v>78.144510100000005</v>
      </c>
      <c r="L3706" s="2"/>
      <c r="M3706" s="2"/>
    </row>
    <row r="3707" spans="2:13">
      <c r="B3707" s="2"/>
      <c r="C3707" s="1">
        <v>33.364382859999999</v>
      </c>
      <c r="D3707" s="1">
        <v>1.985344438</v>
      </c>
      <c r="E3707" s="1"/>
      <c r="H3707" s="2">
        <v>38.430415500000002</v>
      </c>
      <c r="I3707" s="2">
        <v>59.201715900000004</v>
      </c>
      <c r="J3707" s="2">
        <v>1.4252335</v>
      </c>
      <c r="L3707" s="2"/>
      <c r="M3707" s="2"/>
    </row>
    <row r="3708" spans="2:13">
      <c r="B3708" s="2"/>
      <c r="C3708" s="1">
        <v>31.673824190000001</v>
      </c>
      <c r="D3708" s="1">
        <v>1.0553325920000001</v>
      </c>
      <c r="E3708" s="1"/>
      <c r="H3708" s="2">
        <v>16.755684899999999</v>
      </c>
      <c r="I3708" s="2">
        <v>1.41474689</v>
      </c>
      <c r="J3708" s="2">
        <v>4.7623655999999999</v>
      </c>
      <c r="L3708" s="2"/>
      <c r="M3708" s="2"/>
    </row>
    <row r="3709" spans="2:13">
      <c r="B3709" s="2"/>
      <c r="C3709" s="1">
        <v>15.45653639</v>
      </c>
      <c r="D3709" s="1">
        <v>11.443762789999999</v>
      </c>
      <c r="E3709" s="1"/>
      <c r="H3709" s="2">
        <v>77.503221400000001</v>
      </c>
      <c r="I3709" s="2">
        <v>3.8244805899999998</v>
      </c>
      <c r="J3709" s="2">
        <v>21.552311499999998</v>
      </c>
      <c r="L3709" s="2"/>
      <c r="M3709" s="2"/>
    </row>
    <row r="3710" spans="2:13">
      <c r="B3710" s="2"/>
      <c r="C3710" s="1">
        <v>90.269795169999995</v>
      </c>
      <c r="D3710" s="1">
        <v>1.0223534480000001</v>
      </c>
      <c r="E3710" s="1"/>
      <c r="H3710" s="2">
        <v>2.9978222200000002</v>
      </c>
      <c r="I3710" s="2">
        <v>16.1996292</v>
      </c>
      <c r="J3710" s="2">
        <v>6.9523589999999996E-2</v>
      </c>
      <c r="L3710" s="2"/>
      <c r="M3710" s="2"/>
    </row>
    <row r="3711" spans="2:13">
      <c r="B3711" s="2"/>
      <c r="C3711" s="1">
        <v>3.6769651030000001</v>
      </c>
      <c r="D3711" s="1">
        <v>0.40894137899999999</v>
      </c>
      <c r="E3711" s="1"/>
      <c r="H3711" s="2">
        <v>8.23806306</v>
      </c>
      <c r="I3711" s="2">
        <v>13.401228700000001</v>
      </c>
      <c r="J3711" s="2">
        <v>12.0275803</v>
      </c>
      <c r="L3711" s="2"/>
      <c r="M3711" s="2"/>
    </row>
    <row r="3712" spans="2:13">
      <c r="B3712" s="2"/>
      <c r="C3712" s="1">
        <v>4.715451142</v>
      </c>
      <c r="D3712" s="1">
        <v>148.60402060000001</v>
      </c>
      <c r="E3712" s="1"/>
      <c r="H3712" s="2">
        <v>25.094864999999999</v>
      </c>
      <c r="I3712" s="2">
        <v>42.178113199999999</v>
      </c>
      <c r="J3712" s="2">
        <v>31.980849299999999</v>
      </c>
      <c r="L3712" s="2"/>
      <c r="M3712" s="2"/>
    </row>
    <row r="3713" spans="2:13">
      <c r="B3713" s="2"/>
      <c r="C3713" s="1">
        <v>22.59310906</v>
      </c>
      <c r="D3713" s="1">
        <v>1.1146950499999999</v>
      </c>
      <c r="E3713" s="1"/>
      <c r="H3713" s="2">
        <v>5.9480600000000002E-2</v>
      </c>
      <c r="I3713" s="2">
        <v>15.655495800000001</v>
      </c>
      <c r="J3713" s="2">
        <v>16.789945899999999</v>
      </c>
      <c r="L3713" s="2"/>
      <c r="M3713" s="2"/>
    </row>
    <row r="3714" spans="2:13">
      <c r="B3714" s="2"/>
      <c r="C3714" s="1">
        <v>3.0188547999999999E-2</v>
      </c>
      <c r="D3714" s="1">
        <v>0.79809527199999997</v>
      </c>
      <c r="E3714" s="1"/>
      <c r="H3714" s="2">
        <v>20.092546599999999</v>
      </c>
      <c r="I3714" s="2">
        <v>16.634935899999999</v>
      </c>
      <c r="J3714" s="2">
        <v>15.8513775</v>
      </c>
      <c r="L3714" s="2"/>
      <c r="M3714" s="2"/>
    </row>
    <row r="3715" spans="2:13">
      <c r="B3715" s="2"/>
      <c r="C3715" s="1">
        <v>11.682967939999999</v>
      </c>
      <c r="D3715" s="1">
        <v>1.5170406000000001</v>
      </c>
      <c r="E3715" s="1"/>
      <c r="H3715" s="2">
        <v>32.125471900000001</v>
      </c>
      <c r="I3715" s="2">
        <v>7.3691211399999998</v>
      </c>
      <c r="J3715" s="2">
        <v>8.3775920500000005</v>
      </c>
      <c r="L3715" s="2"/>
      <c r="M3715" s="2"/>
    </row>
    <row r="3716" spans="2:13">
      <c r="B3716" s="2"/>
      <c r="C3716" s="1">
        <v>23.927442859999999</v>
      </c>
      <c r="D3716" s="1">
        <v>0.56724126799999997</v>
      </c>
      <c r="E3716" s="1"/>
      <c r="H3716" s="2">
        <v>20.842002099999998</v>
      </c>
      <c r="I3716" s="2">
        <v>22.4960302</v>
      </c>
      <c r="J3716" s="2">
        <v>25.897535600000001</v>
      </c>
      <c r="L3716" s="2"/>
      <c r="M3716" s="2"/>
    </row>
    <row r="3717" spans="2:13">
      <c r="B3717" s="2"/>
      <c r="C3717" s="1">
        <v>33.787022530000002</v>
      </c>
      <c r="D3717" s="1">
        <v>68.794493320000001</v>
      </c>
      <c r="E3717" s="1"/>
      <c r="H3717" s="2">
        <v>21.210781900000001</v>
      </c>
      <c r="I3717" s="2">
        <v>20.879176600000001</v>
      </c>
      <c r="J3717" s="2">
        <v>25.271823300000001</v>
      </c>
      <c r="L3717" s="2"/>
      <c r="M3717" s="2"/>
    </row>
    <row r="3718" spans="2:13">
      <c r="B3718" s="2"/>
      <c r="C3718" s="1">
        <v>3.9848882890000001</v>
      </c>
      <c r="D3718" s="1">
        <v>2.6713106230000001</v>
      </c>
      <c r="E3718" s="1"/>
      <c r="H3718" s="2">
        <v>12.6634197</v>
      </c>
      <c r="I3718" s="2">
        <v>20.3661365</v>
      </c>
      <c r="J3718" s="2">
        <v>25.549917700000002</v>
      </c>
      <c r="L3718" s="2"/>
      <c r="M3718" s="2"/>
    </row>
    <row r="3719" spans="2:13">
      <c r="B3719" s="2"/>
      <c r="C3719" s="1">
        <v>13.16824448</v>
      </c>
      <c r="D3719" s="1">
        <v>0.62660372600000003</v>
      </c>
      <c r="E3719" s="1"/>
      <c r="H3719" s="2">
        <v>23.500784899999999</v>
      </c>
      <c r="I3719" s="2">
        <v>11.4423484</v>
      </c>
      <c r="J3719" s="2">
        <v>9.9418727199999992</v>
      </c>
      <c r="L3719" s="2"/>
      <c r="M3719" s="2"/>
    </row>
    <row r="3720" spans="2:13">
      <c r="B3720" s="2"/>
      <c r="C3720" s="1">
        <v>21.735754310000001</v>
      </c>
      <c r="D3720" s="1">
        <v>0.58043292499999999</v>
      </c>
      <c r="E3720" s="1"/>
      <c r="H3720" s="2">
        <v>28.0867392</v>
      </c>
      <c r="I3720" s="2">
        <v>5.2081341400000003</v>
      </c>
      <c r="J3720" s="2">
        <v>8.6904481800000006</v>
      </c>
      <c r="L3720" s="2"/>
      <c r="M3720" s="2"/>
    </row>
    <row r="3721" spans="2:13">
      <c r="B3721" s="2"/>
      <c r="C3721" s="1">
        <v>26.976486179999998</v>
      </c>
      <c r="D3721" s="1">
        <v>15.40785584</v>
      </c>
      <c r="E3721" s="1"/>
      <c r="H3721" s="2">
        <v>29.918741600000001</v>
      </c>
      <c r="I3721" s="2">
        <v>22.4649368</v>
      </c>
      <c r="J3721" s="2">
        <v>28.643717200000001</v>
      </c>
      <c r="L3721" s="2"/>
      <c r="M3721" s="2"/>
    </row>
    <row r="3722" spans="2:13">
      <c r="B3722" s="2"/>
      <c r="C3722" s="1">
        <v>37.403610530000002</v>
      </c>
      <c r="D3722" s="1">
        <v>0.40234555100000002</v>
      </c>
      <c r="E3722" s="1"/>
      <c r="H3722" s="2">
        <v>13.603213200000001</v>
      </c>
      <c r="I3722" s="2">
        <v>21.982990099999999</v>
      </c>
      <c r="J3722" s="2">
        <v>10.6718704</v>
      </c>
      <c r="L3722" s="2"/>
      <c r="M3722" s="2"/>
    </row>
    <row r="3723" spans="2:13">
      <c r="B3723" s="2"/>
      <c r="C3723" s="1">
        <v>8.1388324450000002</v>
      </c>
      <c r="D3723" s="1">
        <v>0.98277847600000001</v>
      </c>
      <c r="E3723" s="1"/>
      <c r="H3723" s="2">
        <v>11.5154441</v>
      </c>
      <c r="I3723" s="2">
        <v>12.826002000000001</v>
      </c>
      <c r="J3723" s="2">
        <v>10.8456793</v>
      </c>
      <c r="L3723" s="2"/>
      <c r="M3723" s="2"/>
    </row>
    <row r="3724" spans="2:13">
      <c r="B3724" s="2"/>
      <c r="C3724" s="1">
        <v>5.2045056140000003</v>
      </c>
      <c r="D3724" s="1">
        <v>1.41810317</v>
      </c>
      <c r="E3724" s="1"/>
      <c r="H3724" s="2">
        <v>33.202070800000001</v>
      </c>
      <c r="I3724" s="2">
        <v>235.48539700000001</v>
      </c>
      <c r="J3724" s="2">
        <v>205.75505100000001</v>
      </c>
      <c r="L3724" s="2"/>
      <c r="M3724" s="2"/>
    </row>
    <row r="3725" spans="2:13">
      <c r="B3725" s="2"/>
      <c r="C3725" s="1">
        <v>19.90632832</v>
      </c>
      <c r="D3725" s="1">
        <v>0.69915784199999997</v>
      </c>
      <c r="E3725" s="1"/>
      <c r="H3725" s="2">
        <v>13.8768239</v>
      </c>
      <c r="I3725" s="2">
        <v>15.049175699999999</v>
      </c>
      <c r="J3725" s="2">
        <v>20.127078000000001</v>
      </c>
      <c r="L3725" s="2"/>
      <c r="M3725" s="2"/>
    </row>
    <row r="3726" spans="2:13">
      <c r="B3726" s="2"/>
      <c r="C3726" s="1">
        <v>9.1833561939999999</v>
      </c>
      <c r="D3726" s="1">
        <v>15.829988869999999</v>
      </c>
      <c r="E3726" s="1"/>
      <c r="H3726" s="2">
        <v>16.981711199999999</v>
      </c>
      <c r="I3726" s="2">
        <v>39.535179499999998</v>
      </c>
      <c r="J3726" s="2">
        <v>31.841802099999999</v>
      </c>
      <c r="L3726" s="2"/>
      <c r="M3726" s="2"/>
    </row>
    <row r="3727" spans="2:13">
      <c r="B3727" s="2"/>
      <c r="C3727" s="1">
        <v>12.90258526</v>
      </c>
      <c r="D3727" s="1">
        <v>1.312569911</v>
      </c>
      <c r="E3727" s="1"/>
      <c r="H3727" s="2">
        <v>200.60427100000001</v>
      </c>
      <c r="I3727" s="2">
        <v>13.3856821</v>
      </c>
      <c r="J3727" s="2">
        <v>21.830405800000001</v>
      </c>
      <c r="L3727" s="2"/>
      <c r="M3727" s="2"/>
    </row>
    <row r="3728" spans="2:13">
      <c r="B3728" s="2"/>
      <c r="C3728" s="1">
        <v>212.57567710000001</v>
      </c>
      <c r="D3728" s="1">
        <v>0.54745378200000006</v>
      </c>
      <c r="E3728" s="1"/>
      <c r="H3728" s="2">
        <v>19.931948999999999</v>
      </c>
      <c r="I3728" s="2">
        <v>18.267336199999999</v>
      </c>
      <c r="J3728" s="2">
        <v>17.728514300000001</v>
      </c>
      <c r="L3728" s="2"/>
      <c r="M3728" s="2"/>
    </row>
    <row r="3729" spans="2:13">
      <c r="B3729" s="2"/>
      <c r="C3729" s="1">
        <v>5.602994443</v>
      </c>
      <c r="D3729" s="1">
        <v>0.32319560600000002</v>
      </c>
      <c r="E3729" s="1"/>
      <c r="H3729" s="2">
        <v>36.824439300000002</v>
      </c>
      <c r="I3729" s="2">
        <v>3.9488539500000002</v>
      </c>
      <c r="J3729" s="2">
        <v>2.5028490799999998</v>
      </c>
      <c r="L3729" s="2"/>
      <c r="M3729" s="2"/>
    </row>
    <row r="3730" spans="2:13">
      <c r="B3730" s="2"/>
      <c r="C3730" s="1">
        <v>10.245993070000001</v>
      </c>
      <c r="D3730" s="1">
        <v>0.158299889</v>
      </c>
      <c r="E3730" s="1"/>
      <c r="H3730" s="2">
        <v>32.083835499999999</v>
      </c>
      <c r="I3730" s="2">
        <v>12.173041899999999</v>
      </c>
      <c r="J3730" s="2">
        <v>10.915202900000001</v>
      </c>
      <c r="L3730" s="2"/>
      <c r="M3730" s="2"/>
    </row>
    <row r="3731" spans="2:13">
      <c r="B3731" s="2"/>
      <c r="C3731" s="1">
        <v>12.39541766</v>
      </c>
      <c r="D3731" s="1">
        <v>1.299378253</v>
      </c>
      <c r="E3731" s="1"/>
      <c r="H3731" s="2">
        <v>25.683723000000001</v>
      </c>
      <c r="I3731" s="2">
        <v>19.666536399999998</v>
      </c>
      <c r="J3731" s="2">
        <v>13.800431700000001</v>
      </c>
      <c r="L3731" s="2"/>
      <c r="M3731" s="2"/>
    </row>
    <row r="3732" spans="2:13">
      <c r="B3732" s="2"/>
      <c r="C3732" s="1">
        <v>12.165984699999999</v>
      </c>
      <c r="D3732" s="1">
        <v>173.00199090000001</v>
      </c>
      <c r="E3732" s="1"/>
      <c r="H3732" s="2">
        <v>3.5747840399999999</v>
      </c>
      <c r="I3732" s="2">
        <v>6.4363210000000004</v>
      </c>
      <c r="J3732" s="2">
        <v>5.66617221</v>
      </c>
      <c r="L3732" s="2"/>
      <c r="M3732" s="2"/>
    </row>
    <row r="3733" spans="2:13">
      <c r="B3733" s="2"/>
      <c r="C3733" s="1">
        <v>8.1267570259999999</v>
      </c>
      <c r="D3733" s="1">
        <v>0.99597013300000004</v>
      </c>
      <c r="E3733" s="1"/>
      <c r="H3733" s="2">
        <v>15.2329816</v>
      </c>
      <c r="I3733" s="2">
        <v>2.4252803799999998</v>
      </c>
      <c r="J3733" s="2">
        <v>4.1018915399999996</v>
      </c>
      <c r="L3733" s="2"/>
      <c r="M3733" s="2"/>
    </row>
    <row r="3734" spans="2:13">
      <c r="B3734" s="2"/>
      <c r="C3734" s="1">
        <v>12.347115990000001</v>
      </c>
      <c r="D3734" s="1">
        <v>1.1608658510000001</v>
      </c>
      <c r="E3734" s="1"/>
      <c r="H3734" s="2">
        <v>17.796595400000001</v>
      </c>
      <c r="I3734" s="2">
        <v>13.9298155</v>
      </c>
      <c r="J3734" s="2">
        <v>16.789945899999999</v>
      </c>
      <c r="L3734" s="2"/>
      <c r="M3734" s="2"/>
    </row>
    <row r="3735" spans="2:13">
      <c r="B3735" s="2"/>
      <c r="C3735" s="1">
        <v>17.77501685</v>
      </c>
      <c r="D3735" s="1">
        <v>1.437890656</v>
      </c>
      <c r="E3735" s="1"/>
      <c r="H3735" s="2">
        <v>5.7577220499999999</v>
      </c>
      <c r="I3735" s="2">
        <v>42.364673199999999</v>
      </c>
      <c r="J3735" s="2">
        <v>65.491217500000005</v>
      </c>
      <c r="L3735" s="2"/>
      <c r="M3735" s="2"/>
    </row>
    <row r="3736" spans="2:13">
      <c r="B3736" s="2"/>
      <c r="C3736" s="1">
        <v>3.9848882890000001</v>
      </c>
      <c r="D3736" s="1">
        <v>0.481495495</v>
      </c>
      <c r="E3736" s="1"/>
      <c r="H3736" s="2">
        <v>4.0446807800000002</v>
      </c>
      <c r="I3736" s="2">
        <v>10.089788199999999</v>
      </c>
      <c r="J3736" s="2">
        <v>14.7042383</v>
      </c>
      <c r="L3736" s="2"/>
      <c r="M3736" s="2"/>
    </row>
    <row r="3737" spans="2:13">
      <c r="B3737" s="2"/>
      <c r="C3737" s="1">
        <v>4.7094134329999999</v>
      </c>
      <c r="D3737" s="1">
        <v>0.46170800899999997</v>
      </c>
      <c r="E3737" s="1"/>
      <c r="H3737" s="2">
        <v>24.3870459</v>
      </c>
      <c r="I3737" s="2">
        <v>26.833550800000001</v>
      </c>
      <c r="J3737" s="2">
        <v>36.221787999999997</v>
      </c>
      <c r="L3737" s="2"/>
      <c r="M3737" s="2"/>
    </row>
    <row r="3738" spans="2:13">
      <c r="B3738" s="2"/>
      <c r="C3738" s="1">
        <v>35.29644991</v>
      </c>
      <c r="D3738" s="1">
        <v>1.9193861510000001</v>
      </c>
      <c r="E3738" s="1"/>
      <c r="H3738" s="2">
        <v>63.596657200000003</v>
      </c>
      <c r="I3738" s="2">
        <v>64.067823300000001</v>
      </c>
      <c r="J3738" s="2">
        <v>46.3374697</v>
      </c>
      <c r="L3738" s="2"/>
      <c r="M3738" s="2"/>
    </row>
    <row r="3739" spans="2:13">
      <c r="B3739" s="2"/>
      <c r="C3739" s="1">
        <v>97.684102469999999</v>
      </c>
      <c r="D3739" s="1">
        <v>2.6383315000000001E-2</v>
      </c>
      <c r="E3739" s="1"/>
      <c r="H3739" s="2">
        <v>18.290284400000001</v>
      </c>
      <c r="I3739" s="2">
        <v>10.136428199999999</v>
      </c>
      <c r="J3739" s="2">
        <v>11.019488300000001</v>
      </c>
      <c r="L3739" s="2"/>
      <c r="M3739" s="2"/>
    </row>
    <row r="3740" spans="2:13">
      <c r="B3740" s="2"/>
      <c r="C3740" s="1">
        <v>17.455018249999998</v>
      </c>
      <c r="D3740" s="1">
        <v>0.79809527199999997</v>
      </c>
      <c r="E3740" s="1"/>
      <c r="H3740" s="2">
        <v>43.712292699999999</v>
      </c>
      <c r="I3740" s="2">
        <v>14.3029356</v>
      </c>
      <c r="J3740" s="2">
        <v>16.477089800000002</v>
      </c>
      <c r="L3740" s="2"/>
      <c r="M3740" s="2"/>
    </row>
    <row r="3741" spans="2:13">
      <c r="B3741" s="2"/>
      <c r="C3741" s="1">
        <v>8.7788296549999991</v>
      </c>
      <c r="D3741" s="1">
        <v>0.98937430500000001</v>
      </c>
      <c r="E3741" s="1"/>
      <c r="H3741" s="2">
        <v>52.985318200000002</v>
      </c>
      <c r="I3741" s="2">
        <v>26.025124000000002</v>
      </c>
      <c r="J3741" s="2">
        <v>29.234667699999999</v>
      </c>
      <c r="L3741" s="2"/>
      <c r="M3741" s="2"/>
    </row>
    <row r="3742" spans="2:13">
      <c r="B3742" s="2"/>
      <c r="C3742" s="1">
        <v>39.112282329999999</v>
      </c>
      <c r="D3742" s="1">
        <v>0.19787486100000001</v>
      </c>
      <c r="E3742" s="1"/>
      <c r="H3742" s="2">
        <v>11.4321713</v>
      </c>
      <c r="I3742" s="2">
        <v>1.2126401899999999</v>
      </c>
      <c r="J3742" s="2">
        <v>0.52142688999999998</v>
      </c>
      <c r="L3742" s="2"/>
      <c r="M3742" s="2"/>
    </row>
    <row r="3743" spans="2:13">
      <c r="B3743" s="2"/>
      <c r="C3743" s="1">
        <v>12.679190009999999</v>
      </c>
      <c r="D3743" s="1">
        <v>4.3994177409999997</v>
      </c>
      <c r="E3743" s="1"/>
      <c r="H3743" s="2">
        <v>13.960096699999999</v>
      </c>
      <c r="I3743" s="2">
        <v>15.437842399999999</v>
      </c>
      <c r="J3743" s="2">
        <v>7.05664392</v>
      </c>
      <c r="L3743" s="2"/>
      <c r="M3743" s="2"/>
    </row>
    <row r="3744" spans="2:13">
      <c r="B3744" s="2"/>
      <c r="C3744" s="1">
        <v>10.873914859999999</v>
      </c>
      <c r="D3744" s="1">
        <v>0.93001184599999998</v>
      </c>
      <c r="E3744" s="1"/>
      <c r="H3744" s="2">
        <v>33.356720299999999</v>
      </c>
      <c r="I3744" s="2">
        <v>24.5015505</v>
      </c>
      <c r="J3744" s="2">
        <v>20.439934099999999</v>
      </c>
      <c r="L3744" s="2"/>
      <c r="M3744" s="2"/>
    </row>
    <row r="3745" spans="2:13">
      <c r="B3745" s="2"/>
      <c r="C3745" s="1">
        <v>24.555364659999999</v>
      </c>
      <c r="D3745" s="1">
        <v>163.6359142</v>
      </c>
      <c r="E3745" s="1"/>
      <c r="H3745" s="2">
        <v>1.1301313900000001</v>
      </c>
      <c r="I3745" s="2">
        <v>8.0842679200000003</v>
      </c>
      <c r="J3745" s="2">
        <v>5.4923632500000004</v>
      </c>
      <c r="L3745" s="2"/>
      <c r="M3745" s="2"/>
    </row>
    <row r="3746" spans="2:13">
      <c r="B3746" s="2"/>
      <c r="C3746" s="1">
        <v>1.67244554</v>
      </c>
      <c r="D3746" s="1">
        <v>1.4049115130000001</v>
      </c>
      <c r="E3746" s="1"/>
      <c r="H3746" s="2">
        <v>11.0574435</v>
      </c>
      <c r="I3746" s="2">
        <v>75.867745099999993</v>
      </c>
      <c r="J3746" s="2">
        <v>68.897873200000006</v>
      </c>
      <c r="L3746" s="2"/>
      <c r="M3746" s="2"/>
    </row>
    <row r="3747" spans="2:13">
      <c r="B3747" s="2"/>
      <c r="C3747" s="1">
        <v>11.465610399999999</v>
      </c>
      <c r="D3747" s="1">
        <v>4.491759343</v>
      </c>
      <c r="E3747" s="1"/>
      <c r="H3747" s="2">
        <v>22.442030299999999</v>
      </c>
      <c r="I3747" s="2">
        <v>27.812991</v>
      </c>
      <c r="J3747" s="2">
        <v>27.5661016</v>
      </c>
      <c r="L3747" s="2"/>
      <c r="M3747" s="2"/>
    </row>
    <row r="3748" spans="2:13">
      <c r="B3748" s="2"/>
      <c r="C3748" s="1">
        <v>15.426347850000001</v>
      </c>
      <c r="D3748" s="1">
        <v>84.881719509999996</v>
      </c>
      <c r="E3748" s="1"/>
      <c r="H3748" s="2">
        <v>7.3993865999999997</v>
      </c>
      <c r="I3748" s="2">
        <v>47.059767299999997</v>
      </c>
      <c r="J3748" s="2">
        <v>55.340774000000003</v>
      </c>
      <c r="L3748" s="2"/>
      <c r="M3748" s="2"/>
    </row>
    <row r="3749" spans="2:13">
      <c r="B3749" s="2"/>
      <c r="C3749" s="1">
        <v>2.7954595119999999</v>
      </c>
      <c r="D3749" s="1">
        <v>3.086847831</v>
      </c>
      <c r="E3749" s="1"/>
      <c r="H3749" s="2">
        <v>86.371778800000001</v>
      </c>
      <c r="I3749" s="2">
        <v>34.078298599999997</v>
      </c>
      <c r="J3749" s="2">
        <v>30.1732361</v>
      </c>
      <c r="L3749" s="2"/>
      <c r="M3749" s="2"/>
    </row>
    <row r="3750" spans="2:13">
      <c r="B3750" s="2"/>
      <c r="C3750" s="1">
        <v>94.429777040000005</v>
      </c>
      <c r="D3750" s="1">
        <v>3.2451477190000002</v>
      </c>
      <c r="E3750" s="1"/>
      <c r="H3750" s="2">
        <v>28.7529219</v>
      </c>
      <c r="I3750" s="2">
        <v>81.542279300000004</v>
      </c>
      <c r="J3750" s="2">
        <v>72.443575999999993</v>
      </c>
      <c r="L3750" s="2"/>
      <c r="M3750" s="2"/>
    </row>
    <row r="3751" spans="2:13">
      <c r="B3751" s="2"/>
      <c r="C3751" s="1">
        <v>20.304817150000002</v>
      </c>
      <c r="D3751" s="1">
        <v>5.6658168509999998</v>
      </c>
      <c r="E3751" s="1"/>
      <c r="H3751" s="2">
        <v>51.908719400000003</v>
      </c>
      <c r="I3751" s="2">
        <v>16.2462692</v>
      </c>
      <c r="J3751" s="2">
        <v>15.3647124</v>
      </c>
      <c r="L3751" s="2"/>
      <c r="M3751" s="2"/>
    </row>
    <row r="3752" spans="2:13">
      <c r="B3752" s="2"/>
      <c r="C3752" s="1">
        <v>55.226929060000003</v>
      </c>
      <c r="D3752" s="1">
        <v>4.9270840370000002</v>
      </c>
      <c r="E3752" s="1"/>
      <c r="H3752" s="2">
        <v>40.220781500000001</v>
      </c>
      <c r="I3752" s="2">
        <v>80.842679200000006</v>
      </c>
      <c r="J3752" s="2">
        <v>109.91678899999999</v>
      </c>
      <c r="L3752" s="2"/>
      <c r="M3752" s="2"/>
    </row>
    <row r="3753" spans="2:13">
      <c r="B3753" s="2"/>
      <c r="C3753" s="1">
        <v>11.139574079999999</v>
      </c>
      <c r="D3753" s="1">
        <v>1.510444772</v>
      </c>
      <c r="E3753" s="1"/>
      <c r="H3753" s="2">
        <v>89.500458399999999</v>
      </c>
      <c r="I3753" s="2">
        <v>34.2182186</v>
      </c>
      <c r="J3753" s="2">
        <v>48.2493683</v>
      </c>
      <c r="L3753" s="2"/>
      <c r="M3753" s="2"/>
    </row>
    <row r="3754" spans="2:13">
      <c r="B3754" s="2"/>
      <c r="C3754" s="1">
        <v>111.9753609</v>
      </c>
      <c r="D3754" s="1">
        <v>3.508980867</v>
      </c>
      <c r="E3754" s="1"/>
      <c r="H3754" s="2">
        <v>22.965459500000001</v>
      </c>
      <c r="I3754" s="2">
        <v>57.382755600000003</v>
      </c>
      <c r="J3754" s="2">
        <v>98.7234914</v>
      </c>
      <c r="L3754" s="2"/>
      <c r="M3754" s="2"/>
    </row>
    <row r="3755" spans="2:13">
      <c r="B3755" s="2"/>
      <c r="C3755" s="1">
        <v>16.06634506</v>
      </c>
      <c r="D3755" s="1">
        <v>1.21363248</v>
      </c>
      <c r="E3755" s="1"/>
      <c r="H3755" s="2">
        <v>100.944526</v>
      </c>
      <c r="I3755" s="2">
        <v>57.0718222</v>
      </c>
      <c r="J3755" s="2">
        <v>59.338380200000003</v>
      </c>
      <c r="L3755" s="2"/>
      <c r="M3755" s="2"/>
    </row>
    <row r="3756" spans="2:13">
      <c r="B3756" s="2"/>
      <c r="C3756" s="1">
        <v>60.509924900000001</v>
      </c>
      <c r="D3756" s="1">
        <v>567.73595520000003</v>
      </c>
      <c r="E3756" s="1"/>
      <c r="H3756" s="2">
        <v>58.3266761</v>
      </c>
      <c r="I3756" s="2">
        <v>36.969979100000003</v>
      </c>
      <c r="J3756" s="2">
        <v>39.837014500000002</v>
      </c>
      <c r="L3756" s="2"/>
      <c r="M3756" s="2"/>
    </row>
    <row r="3757" spans="2:13">
      <c r="B3757" s="2"/>
      <c r="C3757" s="1">
        <v>52.159772619999998</v>
      </c>
      <c r="D3757" s="1">
        <v>3.5881308120000002</v>
      </c>
      <c r="E3757" s="1"/>
      <c r="H3757" s="2">
        <v>94.812075899999996</v>
      </c>
      <c r="I3757" s="2">
        <v>68.358703899999995</v>
      </c>
      <c r="J3757" s="2">
        <v>47.971274000000001</v>
      </c>
      <c r="L3757" s="2"/>
      <c r="M3757" s="2"/>
    </row>
    <row r="3758" spans="2:13">
      <c r="B3758" s="2"/>
      <c r="C3758" s="1">
        <v>128.2167996</v>
      </c>
      <c r="D3758" s="1">
        <v>5.5866669069999997</v>
      </c>
      <c r="E3758" s="1"/>
      <c r="H3758" s="2">
        <v>71.787135800000001</v>
      </c>
      <c r="I3758" s="2">
        <v>8.9548813900000006</v>
      </c>
      <c r="J3758" s="2">
        <v>10.915202900000001</v>
      </c>
      <c r="L3758" s="2"/>
      <c r="M3758" s="2"/>
    </row>
    <row r="3759" spans="2:13">
      <c r="B3759" s="2"/>
      <c r="C3759" s="1">
        <v>119.8424964</v>
      </c>
      <c r="D3759" s="1">
        <v>5.0260214679999997</v>
      </c>
      <c r="E3759" s="1"/>
      <c r="H3759" s="2">
        <v>46.222374000000002</v>
      </c>
      <c r="I3759" s="2">
        <v>75.712278400000002</v>
      </c>
      <c r="J3759" s="2">
        <v>166.787082</v>
      </c>
      <c r="L3759" s="2"/>
      <c r="M3759" s="2"/>
    </row>
    <row r="3760" spans="2:13">
      <c r="B3760" s="2"/>
      <c r="C3760" s="1">
        <v>35.942484829999998</v>
      </c>
      <c r="D3760" s="1">
        <v>5.9362458E-2</v>
      </c>
      <c r="E3760" s="1"/>
      <c r="H3760" s="2">
        <v>53.431422699999999</v>
      </c>
      <c r="I3760" s="2">
        <v>43.437393399999998</v>
      </c>
      <c r="J3760" s="2">
        <v>41.088439000000001</v>
      </c>
      <c r="L3760" s="2"/>
      <c r="M3760" s="2"/>
    </row>
    <row r="3761" spans="2:13">
      <c r="B3761" s="2"/>
      <c r="C3761" s="1">
        <v>72.754399829999997</v>
      </c>
      <c r="D3761" s="1">
        <v>141.4211631</v>
      </c>
      <c r="E3761" s="1"/>
      <c r="H3761" s="2">
        <v>15.6433977</v>
      </c>
      <c r="I3761" s="2">
        <v>14.4739489</v>
      </c>
      <c r="J3761" s="2">
        <v>11.401868</v>
      </c>
      <c r="L3761" s="2"/>
      <c r="M3761" s="2"/>
    </row>
    <row r="3762" spans="2:13">
      <c r="B3762" s="2"/>
      <c r="C3762" s="1">
        <v>8.1267570259999999</v>
      </c>
      <c r="D3762" s="1">
        <v>78.866323739999999</v>
      </c>
      <c r="E3762" s="1"/>
      <c r="H3762" s="2">
        <v>136.35332700000001</v>
      </c>
      <c r="I3762" s="2">
        <v>64.580863399999998</v>
      </c>
      <c r="J3762" s="2">
        <v>66.777403800000002</v>
      </c>
      <c r="L3762" s="2"/>
      <c r="M3762" s="2"/>
    </row>
    <row r="3763" spans="2:13">
      <c r="B3763" s="2"/>
      <c r="C3763" s="1">
        <v>114.82515979999999</v>
      </c>
      <c r="D3763" s="1">
        <v>0.17808737499999999</v>
      </c>
      <c r="E3763" s="1"/>
      <c r="H3763" s="2">
        <v>55.495399499999998</v>
      </c>
      <c r="I3763" s="2">
        <v>2.2387203499999999</v>
      </c>
      <c r="J3763" s="2">
        <v>1.1123773699999999</v>
      </c>
      <c r="L3763" s="2"/>
      <c r="M3763" s="2"/>
    </row>
    <row r="3764" spans="2:13">
      <c r="B3764" s="2"/>
      <c r="C3764" s="1">
        <v>75.670613529999997</v>
      </c>
      <c r="D3764" s="1">
        <v>0.65958287000000004</v>
      </c>
      <c r="E3764" s="1"/>
      <c r="H3764" s="2">
        <v>18.1177907</v>
      </c>
      <c r="I3764" s="2">
        <v>6.6073343600000003</v>
      </c>
      <c r="J3764" s="2">
        <v>5.1795071200000002</v>
      </c>
      <c r="L3764" s="2"/>
      <c r="M3764" s="2"/>
    </row>
    <row r="3765" spans="2:13">
      <c r="B3765" s="2"/>
      <c r="C3765" s="1">
        <v>24.6459303</v>
      </c>
      <c r="D3765" s="1">
        <v>2.2491775860000001</v>
      </c>
      <c r="E3765" s="1"/>
      <c r="H3765" s="2">
        <v>62.365408799999997</v>
      </c>
      <c r="I3765" s="2">
        <v>11.5356285</v>
      </c>
      <c r="J3765" s="2">
        <v>12.40996</v>
      </c>
      <c r="L3765" s="2"/>
      <c r="M3765" s="2"/>
    </row>
    <row r="3766" spans="2:13">
      <c r="B3766" s="2"/>
      <c r="C3766" s="1">
        <v>73.617792289999997</v>
      </c>
      <c r="D3766" s="1">
        <v>5.9362458E-2</v>
      </c>
      <c r="E3766" s="1"/>
      <c r="H3766" s="2">
        <v>2.4624968300000001</v>
      </c>
      <c r="I3766" s="2">
        <v>4.25978733</v>
      </c>
      <c r="J3766" s="2">
        <v>2.3638019099999998</v>
      </c>
      <c r="L3766" s="2"/>
      <c r="M3766" s="2"/>
    </row>
    <row r="3767" spans="2:13">
      <c r="B3767" s="2"/>
      <c r="C3767" s="1">
        <v>4.5282821469999996</v>
      </c>
      <c r="D3767" s="1">
        <v>76.531400379999994</v>
      </c>
      <c r="E3767" s="1"/>
      <c r="H3767" s="2">
        <v>7.2982695800000004</v>
      </c>
      <c r="I3767" s="2">
        <v>8.6128546700000008</v>
      </c>
      <c r="J3767" s="2">
        <v>8.9685425199999997</v>
      </c>
      <c r="L3767" s="2"/>
      <c r="M3767" s="2"/>
    </row>
    <row r="3768" spans="2:13">
      <c r="B3768" s="2"/>
      <c r="C3768" s="1">
        <v>16.700304559999999</v>
      </c>
      <c r="D3768" s="1">
        <v>122.6098597</v>
      </c>
      <c r="E3768" s="1"/>
      <c r="H3768" s="2">
        <v>11.8961199</v>
      </c>
      <c r="I3768" s="2">
        <v>40.2814196</v>
      </c>
      <c r="J3768" s="2">
        <v>26.071344499999999</v>
      </c>
      <c r="L3768" s="2"/>
      <c r="M3768" s="2"/>
    </row>
    <row r="3769" spans="2:13">
      <c r="B3769" s="2"/>
      <c r="C3769" s="1">
        <v>9.8052402749999992</v>
      </c>
      <c r="D3769" s="1">
        <v>0.34957892099999999</v>
      </c>
      <c r="E3769" s="1"/>
      <c r="H3769" s="2">
        <v>3.6580568800000002</v>
      </c>
      <c r="I3769" s="2">
        <v>2.5185603900000002</v>
      </c>
      <c r="J3769" s="2">
        <v>2.5028490799999998</v>
      </c>
      <c r="L3769" s="2"/>
      <c r="M3769" s="2"/>
    </row>
    <row r="3770" spans="2:13">
      <c r="B3770" s="2"/>
      <c r="C3770" s="1">
        <v>5.5184665099999997</v>
      </c>
      <c r="D3770" s="1">
        <v>2.2030067849999999</v>
      </c>
      <c r="E3770" s="1"/>
      <c r="H3770" s="2">
        <v>11.8306913</v>
      </c>
      <c r="I3770" s="2">
        <v>10.012054900000001</v>
      </c>
      <c r="J3770" s="2">
        <v>11.054250100000001</v>
      </c>
      <c r="L3770" s="2"/>
      <c r="M3770" s="2"/>
    </row>
    <row r="3771" spans="2:13">
      <c r="B3771" s="2"/>
      <c r="C3771" s="1">
        <v>8.4829818889999995</v>
      </c>
      <c r="D3771" s="1">
        <v>0.41553720799999999</v>
      </c>
      <c r="E3771" s="1"/>
      <c r="H3771" s="2">
        <v>33.576798500000002</v>
      </c>
      <c r="I3771" s="2">
        <v>225.146862</v>
      </c>
      <c r="J3771" s="2">
        <v>212.32503</v>
      </c>
      <c r="L3771" s="2"/>
      <c r="M3771" s="2"/>
    </row>
    <row r="3772" spans="2:13">
      <c r="B3772" s="2"/>
      <c r="C3772" s="1">
        <v>33.4549485</v>
      </c>
      <c r="D3772" s="1">
        <v>1.41810317</v>
      </c>
      <c r="E3772" s="1"/>
      <c r="H3772" s="2">
        <v>3.5450437400000001</v>
      </c>
      <c r="I3772" s="2">
        <v>8.8305080399999998</v>
      </c>
      <c r="J3772" s="2">
        <v>3.0590377599999998</v>
      </c>
      <c r="L3772" s="2"/>
      <c r="M3772" s="2"/>
    </row>
    <row r="3773" spans="2:13">
      <c r="B3773" s="2"/>
      <c r="C3773" s="1">
        <v>3.1516843739999998</v>
      </c>
      <c r="D3773" s="1">
        <v>0.19787486100000001</v>
      </c>
      <c r="E3773" s="1"/>
      <c r="H3773" s="2">
        <v>16.9341267</v>
      </c>
      <c r="I3773" s="2">
        <v>33.549711899999998</v>
      </c>
      <c r="J3773" s="2">
        <v>35.769884699999999</v>
      </c>
      <c r="L3773" s="2"/>
      <c r="M3773" s="2"/>
    </row>
    <row r="3774" spans="2:13">
      <c r="B3774" s="2"/>
      <c r="C3774" s="1">
        <v>22.091979169999998</v>
      </c>
      <c r="D3774" s="1">
        <v>0.67277452699999996</v>
      </c>
      <c r="E3774" s="1"/>
      <c r="H3774" s="2">
        <v>240.14102500000001</v>
      </c>
      <c r="I3774" s="2">
        <v>4.5396273699999998</v>
      </c>
      <c r="J3774" s="2">
        <v>7.5085472299999996</v>
      </c>
      <c r="L3774" s="2"/>
      <c r="M3774" s="2"/>
    </row>
    <row r="3775" spans="2:13">
      <c r="B3775" s="2"/>
      <c r="C3775" s="1">
        <v>331.34949899999998</v>
      </c>
      <c r="D3775" s="1">
        <v>0.34957892099999999</v>
      </c>
      <c r="E3775" s="1"/>
      <c r="H3775" s="2">
        <v>4.5205255800000002</v>
      </c>
      <c r="I3775" s="2">
        <v>34.684618700000001</v>
      </c>
      <c r="J3775" s="2">
        <v>26.870865800000001</v>
      </c>
      <c r="L3775" s="2"/>
      <c r="M3775" s="2"/>
    </row>
    <row r="3776" spans="2:13">
      <c r="B3776" s="2"/>
      <c r="C3776" s="1">
        <v>3.6286634270000002</v>
      </c>
      <c r="D3776" s="1">
        <v>2.9879104000000001</v>
      </c>
      <c r="E3776" s="1"/>
      <c r="H3776" s="2">
        <v>44.348735099999999</v>
      </c>
      <c r="I3776" s="2">
        <v>2.79840043</v>
      </c>
      <c r="J3776" s="2">
        <v>2.1899929400000002</v>
      </c>
      <c r="L3776" s="2"/>
      <c r="M3776" s="2"/>
    </row>
    <row r="3777" spans="2:13">
      <c r="B3777" s="2"/>
      <c r="C3777" s="1">
        <v>43.30245274</v>
      </c>
      <c r="D3777" s="1">
        <v>1.154270022</v>
      </c>
      <c r="E3777" s="1"/>
      <c r="H3777" s="2">
        <v>9.0291550300000001</v>
      </c>
      <c r="I3777" s="2">
        <v>22.931336900000002</v>
      </c>
      <c r="J3777" s="2">
        <v>22.525641700000001</v>
      </c>
      <c r="L3777" s="2"/>
      <c r="M3777" s="2"/>
    </row>
    <row r="3778" spans="2:13">
      <c r="B3778" s="2"/>
      <c r="C3778" s="1">
        <v>7.8007207120000004</v>
      </c>
      <c r="D3778" s="1">
        <v>0.79149944400000005</v>
      </c>
      <c r="E3778" s="1"/>
      <c r="H3778" s="2">
        <v>35.224411099999998</v>
      </c>
      <c r="I3778" s="2">
        <v>8.0842679200000003</v>
      </c>
      <c r="J3778" s="2">
        <v>9.0033043199999998</v>
      </c>
      <c r="L3778" s="2"/>
      <c r="M3778" s="2"/>
    </row>
    <row r="3779" spans="2:13">
      <c r="B3779" s="2"/>
      <c r="C3779" s="1">
        <v>24.73045823</v>
      </c>
      <c r="D3779" s="1">
        <v>0.53426212500000003</v>
      </c>
      <c r="E3779" s="1"/>
      <c r="H3779" s="2">
        <v>2.6349905699999998</v>
      </c>
      <c r="I3779" s="2">
        <v>27.610884299999999</v>
      </c>
      <c r="J3779" s="2">
        <v>42.270339999999997</v>
      </c>
      <c r="L3779" s="2"/>
      <c r="M3779" s="2"/>
    </row>
    <row r="3780" spans="2:13">
      <c r="B3780" s="2"/>
      <c r="C3780" s="1">
        <v>4.4256410849999996</v>
      </c>
      <c r="D3780" s="1">
        <v>1.701723804</v>
      </c>
      <c r="E3780" s="1"/>
      <c r="H3780" s="2">
        <v>30.727677799999999</v>
      </c>
      <c r="I3780" s="2">
        <v>5.9854675999999998</v>
      </c>
      <c r="J3780" s="2">
        <v>8.0994977099999996</v>
      </c>
      <c r="L3780" s="2"/>
      <c r="M3780" s="2"/>
    </row>
    <row r="3781" spans="2:13">
      <c r="B3781" s="2"/>
      <c r="C3781" s="1">
        <v>7.5652500399999996</v>
      </c>
      <c r="D3781" s="1">
        <v>0.481495495</v>
      </c>
      <c r="E3781" s="1"/>
      <c r="H3781" s="2">
        <v>10.7303002</v>
      </c>
      <c r="I3781" s="2">
        <v>19.7287231</v>
      </c>
      <c r="J3781" s="2">
        <v>22.525641700000001</v>
      </c>
      <c r="L3781" s="2"/>
      <c r="M3781" s="2"/>
    </row>
    <row r="3782" spans="2:13">
      <c r="B3782" s="2"/>
      <c r="C3782" s="1">
        <v>7.6437402639999998</v>
      </c>
      <c r="D3782" s="1">
        <v>1.21363248</v>
      </c>
      <c r="E3782" s="1"/>
      <c r="H3782" s="2">
        <v>41.523406700000002</v>
      </c>
      <c r="I3782" s="2">
        <v>8.2863746200000001</v>
      </c>
      <c r="J3782" s="2">
        <v>8.2385448799999992</v>
      </c>
      <c r="L3782" s="2"/>
      <c r="M3782" s="2"/>
    </row>
    <row r="3783" spans="2:13">
      <c r="B3783" s="2"/>
      <c r="C3783" s="1">
        <v>16.585588080000001</v>
      </c>
      <c r="D3783" s="1">
        <v>3.469405895</v>
      </c>
      <c r="E3783" s="1"/>
      <c r="H3783" s="2">
        <v>10.266351500000001</v>
      </c>
      <c r="I3783" s="2">
        <v>36.6590457</v>
      </c>
      <c r="J3783" s="2">
        <v>19.362318599999998</v>
      </c>
      <c r="L3783" s="2"/>
      <c r="M3783" s="2"/>
    </row>
    <row r="3784" spans="2:13">
      <c r="B3784" s="2"/>
      <c r="C3784" s="1">
        <v>11.09731011</v>
      </c>
      <c r="D3784" s="1">
        <v>0.63319955500000003</v>
      </c>
      <c r="E3784" s="1"/>
      <c r="H3784" s="2">
        <v>35.747840400000001</v>
      </c>
      <c r="I3784" s="2">
        <v>14.4117622</v>
      </c>
      <c r="J3784" s="2">
        <v>9.3161604499999999</v>
      </c>
      <c r="L3784" s="2"/>
      <c r="M3784" s="2"/>
    </row>
    <row r="3785" spans="2:13">
      <c r="B3785" s="2"/>
      <c r="C3785" s="1">
        <v>10.04674866</v>
      </c>
      <c r="D3785" s="1">
        <v>0.50128298100000002</v>
      </c>
      <c r="E3785" s="1"/>
      <c r="H3785" s="2">
        <v>12.942978500000001</v>
      </c>
      <c r="I3785" s="2">
        <v>24.657017199999999</v>
      </c>
      <c r="J3785" s="2">
        <v>22.838497799999999</v>
      </c>
      <c r="L3785" s="2"/>
      <c r="M3785" s="2"/>
    </row>
    <row r="3786" spans="2:13">
      <c r="B3786" s="2"/>
      <c r="C3786" s="1">
        <v>8.1629832830000009</v>
      </c>
      <c r="D3786" s="1">
        <v>0.50787881000000001</v>
      </c>
      <c r="E3786" s="1"/>
      <c r="H3786" s="2">
        <v>35.682411799999997</v>
      </c>
      <c r="I3786" s="2">
        <v>39.612912799999997</v>
      </c>
      <c r="J3786" s="2">
        <v>33.510368200000002</v>
      </c>
      <c r="L3786" s="2"/>
      <c r="M3786" s="2"/>
    </row>
    <row r="3787" spans="2:13">
      <c r="B3787" s="2"/>
      <c r="C3787" s="1">
        <v>23.78253784</v>
      </c>
      <c r="D3787" s="1">
        <v>7.0575367069999997</v>
      </c>
      <c r="E3787" s="1"/>
      <c r="H3787" s="2">
        <v>12.2054191</v>
      </c>
      <c r="I3787" s="2">
        <v>14.6294156</v>
      </c>
      <c r="J3787" s="2">
        <v>10.532823199999999</v>
      </c>
      <c r="L3787" s="2"/>
      <c r="M3787" s="2"/>
    </row>
    <row r="3788" spans="2:13">
      <c r="B3788" s="2"/>
      <c r="C3788" s="1">
        <v>20.818022460000002</v>
      </c>
      <c r="D3788" s="1">
        <v>0.310003949</v>
      </c>
      <c r="E3788" s="1"/>
      <c r="H3788" s="2">
        <v>26.278528900000001</v>
      </c>
      <c r="I3788" s="2">
        <v>7.3846678099999998</v>
      </c>
      <c r="J3788" s="2">
        <v>10.1504435</v>
      </c>
      <c r="L3788" s="2"/>
      <c r="M3788" s="2"/>
    </row>
    <row r="3789" spans="2:13">
      <c r="B3789" s="2"/>
      <c r="C3789" s="1">
        <v>12.7335294</v>
      </c>
      <c r="D3789" s="1">
        <v>3.0011020570000002</v>
      </c>
      <c r="E3789" s="1"/>
      <c r="H3789" s="2">
        <v>44.9554373</v>
      </c>
      <c r="I3789" s="2">
        <v>17.754296100000001</v>
      </c>
      <c r="J3789" s="2">
        <v>12.792339699999999</v>
      </c>
      <c r="L3789" s="2"/>
      <c r="M3789" s="2"/>
    </row>
    <row r="3790" spans="2:13">
      <c r="B3790" s="2"/>
      <c r="C3790" s="1">
        <v>66.825369069999994</v>
      </c>
      <c r="D3790" s="1">
        <v>2.0447068960000001</v>
      </c>
      <c r="E3790" s="1"/>
      <c r="H3790" s="2">
        <v>14.2099153</v>
      </c>
      <c r="I3790" s="2">
        <v>24.828030500000001</v>
      </c>
      <c r="J3790" s="2">
        <v>11.4366298</v>
      </c>
      <c r="L3790" s="2"/>
      <c r="M3790" s="2"/>
    </row>
    <row r="3791" spans="2:13">
      <c r="B3791" s="2"/>
      <c r="C3791" s="1">
        <v>4.8120544949999999</v>
      </c>
      <c r="D3791" s="1">
        <v>0.21766234700000001</v>
      </c>
      <c r="E3791" s="1"/>
      <c r="H3791" s="2">
        <v>9.5882726700000003</v>
      </c>
      <c r="I3791" s="2">
        <v>5.1148541300000003</v>
      </c>
      <c r="J3791" s="2">
        <v>4.7971273999999999</v>
      </c>
      <c r="L3791" s="2"/>
      <c r="M3791" s="2"/>
    </row>
    <row r="3792" spans="2:13">
      <c r="B3792" s="2"/>
      <c r="C3792" s="1">
        <v>8.1388324450000002</v>
      </c>
      <c r="D3792" s="1">
        <v>1.437890656</v>
      </c>
      <c r="E3792" s="1"/>
      <c r="H3792" s="2">
        <v>20.532703000000001</v>
      </c>
      <c r="I3792" s="2">
        <v>41.618433099999997</v>
      </c>
      <c r="J3792" s="2">
        <v>73.451667999999998</v>
      </c>
      <c r="L3792" s="2"/>
      <c r="M3792" s="2"/>
    </row>
    <row r="3793" spans="2:13">
      <c r="B3793" s="2"/>
      <c r="C3793" s="1">
        <v>4.4196033750000003</v>
      </c>
      <c r="D3793" s="1">
        <v>408.49945869999999</v>
      </c>
      <c r="E3793" s="1"/>
      <c r="H3793" s="2">
        <v>17.273166199999999</v>
      </c>
      <c r="I3793" s="2">
        <v>29.787417999999999</v>
      </c>
      <c r="J3793" s="2">
        <v>35.874170100000001</v>
      </c>
      <c r="L3793" s="2"/>
      <c r="M3793" s="2"/>
    </row>
    <row r="3794" spans="2:13">
      <c r="B3794" s="2"/>
      <c r="C3794" s="1">
        <v>32.519103520000002</v>
      </c>
      <c r="D3794" s="1">
        <v>6.7739160729999996</v>
      </c>
      <c r="E3794" s="1"/>
      <c r="H3794" s="2">
        <v>6.5012295499999997</v>
      </c>
      <c r="I3794" s="2">
        <v>5.3169608300000002</v>
      </c>
      <c r="J3794" s="2">
        <v>3.6499882399999999</v>
      </c>
      <c r="L3794" s="2"/>
      <c r="M3794" s="2"/>
    </row>
    <row r="3795" spans="2:13">
      <c r="B3795" s="2"/>
      <c r="C3795" s="1">
        <v>12.06938135</v>
      </c>
      <c r="D3795" s="1">
        <v>2.5459898769999998</v>
      </c>
      <c r="E3795" s="1"/>
      <c r="H3795" s="2">
        <v>74.136619499999995</v>
      </c>
      <c r="I3795" s="2">
        <v>34.9333654</v>
      </c>
      <c r="J3795" s="2">
        <v>35.630837499999998</v>
      </c>
      <c r="L3795" s="2"/>
      <c r="M3795" s="2"/>
    </row>
    <row r="3796" spans="2:13">
      <c r="B3796" s="2"/>
      <c r="C3796" s="1">
        <v>32.784762739999998</v>
      </c>
      <c r="D3796" s="1">
        <v>11.9054708</v>
      </c>
      <c r="E3796" s="1"/>
      <c r="H3796" s="2">
        <v>44.205981700000002</v>
      </c>
      <c r="I3796" s="2">
        <v>93.342201200000005</v>
      </c>
      <c r="J3796" s="2">
        <v>48.318891899999997</v>
      </c>
      <c r="L3796" s="2"/>
      <c r="M3796" s="2"/>
    </row>
    <row r="3797" spans="2:13">
      <c r="B3797" s="2"/>
      <c r="C3797" s="1">
        <v>46.043572869999998</v>
      </c>
      <c r="D3797" s="1">
        <v>0.73213698500000002</v>
      </c>
      <c r="E3797" s="1"/>
      <c r="H3797" s="2">
        <v>5.22834471</v>
      </c>
      <c r="I3797" s="2">
        <v>157.92306500000001</v>
      </c>
      <c r="J3797" s="2">
        <v>95.0039795</v>
      </c>
      <c r="L3797" s="2"/>
      <c r="M3797" s="2"/>
    </row>
    <row r="3798" spans="2:13">
      <c r="B3798" s="2"/>
      <c r="C3798" s="1">
        <v>3.278476274</v>
      </c>
      <c r="D3798" s="1">
        <v>0.105533259</v>
      </c>
      <c r="E3798" s="1"/>
      <c r="H3798" s="2">
        <v>40.310002400000002</v>
      </c>
      <c r="I3798" s="2">
        <v>61.222782799999997</v>
      </c>
      <c r="J3798" s="2">
        <v>49.014127700000003</v>
      </c>
      <c r="L3798" s="2"/>
      <c r="M3798" s="2"/>
    </row>
    <row r="3799" spans="2:13">
      <c r="B3799" s="2"/>
      <c r="C3799" s="1">
        <v>19.157652339999999</v>
      </c>
      <c r="D3799" s="1">
        <v>0.21766234700000001</v>
      </c>
      <c r="E3799" s="1"/>
      <c r="H3799" s="2">
        <v>61.764654700000001</v>
      </c>
      <c r="I3799" s="2">
        <v>200.163364</v>
      </c>
      <c r="J3799" s="2">
        <v>146.38190900000001</v>
      </c>
      <c r="L3799" s="2"/>
      <c r="M3799" s="2"/>
    </row>
    <row r="3800" spans="2:13">
      <c r="B3800" s="2"/>
      <c r="C3800" s="1">
        <v>51.586190219999999</v>
      </c>
      <c r="D3800" s="1">
        <v>3.6540890990000001</v>
      </c>
      <c r="E3800" s="1"/>
      <c r="H3800" s="2">
        <v>103.335646</v>
      </c>
      <c r="I3800" s="2">
        <v>11.2557884</v>
      </c>
      <c r="J3800" s="2">
        <v>11.019488300000001</v>
      </c>
      <c r="L3800" s="2"/>
      <c r="M3800" s="2"/>
    </row>
    <row r="3801" spans="2:13">
      <c r="B3801" s="2"/>
      <c r="C3801" s="1">
        <v>69.246490589999993</v>
      </c>
      <c r="D3801" s="1">
        <v>4.7424008339999997</v>
      </c>
      <c r="E3801" s="1"/>
      <c r="H3801" s="2">
        <v>51.551835799999999</v>
      </c>
      <c r="I3801" s="2">
        <v>5.5812542000000001</v>
      </c>
      <c r="J3801" s="2">
        <v>3.6152264399999998</v>
      </c>
      <c r="L3801" s="2"/>
      <c r="M3801" s="2"/>
    </row>
    <row r="3802" spans="2:13">
      <c r="B3802" s="2"/>
      <c r="C3802" s="1">
        <v>99.767112260000005</v>
      </c>
      <c r="D3802" s="1">
        <v>0.17808737499999999</v>
      </c>
      <c r="E3802" s="1"/>
      <c r="H3802" s="2">
        <v>168.25872000000001</v>
      </c>
      <c r="I3802" s="2">
        <v>9.5301081500000002</v>
      </c>
      <c r="J3802" s="2">
        <v>4.9709363599999996</v>
      </c>
      <c r="L3802" s="2"/>
      <c r="M3802" s="2"/>
    </row>
    <row r="3803" spans="2:13">
      <c r="B3803" s="2"/>
      <c r="C3803" s="1">
        <v>191.3893544</v>
      </c>
      <c r="D3803" s="1">
        <v>92.862672230000001</v>
      </c>
      <c r="E3803" s="1"/>
      <c r="H3803" s="2">
        <v>15.173501</v>
      </c>
      <c r="I3803" s="2">
        <v>48.210220800000002</v>
      </c>
      <c r="J3803" s="2">
        <v>73.973094900000007</v>
      </c>
      <c r="L3803" s="2"/>
      <c r="M3803" s="2"/>
    </row>
    <row r="3804" spans="2:13">
      <c r="B3804" s="2"/>
      <c r="C3804" s="1">
        <v>13.276923249999999</v>
      </c>
      <c r="D3804" s="1">
        <v>0.77830778599999995</v>
      </c>
      <c r="E3804" s="1"/>
      <c r="H3804" s="2">
        <v>5.2878253099999997</v>
      </c>
      <c r="I3804" s="2">
        <v>58.517662399999999</v>
      </c>
      <c r="J3804" s="2">
        <v>75.572137400000003</v>
      </c>
      <c r="L3804" s="2"/>
      <c r="M3804" s="2"/>
    </row>
    <row r="3805" spans="2:13">
      <c r="B3805" s="2"/>
      <c r="C3805" s="1">
        <v>1.7026340870000001</v>
      </c>
      <c r="D3805" s="1">
        <v>0.81788275899999996</v>
      </c>
      <c r="E3805" s="1"/>
      <c r="H3805" s="2">
        <v>8.8150248799999993</v>
      </c>
      <c r="I3805" s="2">
        <v>5.7833608999999999</v>
      </c>
      <c r="J3805" s="2">
        <v>3.7195118200000001</v>
      </c>
      <c r="L3805" s="2"/>
      <c r="M3805" s="2"/>
    </row>
    <row r="3806" spans="2:13">
      <c r="B3806" s="2"/>
      <c r="C3806" s="1">
        <v>5.2829958379999997</v>
      </c>
      <c r="D3806" s="1">
        <v>2.2557734150000002</v>
      </c>
      <c r="E3806" s="1"/>
      <c r="H3806" s="2">
        <v>81.6430711</v>
      </c>
      <c r="I3806" s="2">
        <v>13.7588021</v>
      </c>
      <c r="J3806" s="2">
        <v>9.2118750699999996</v>
      </c>
      <c r="L3806" s="2"/>
      <c r="M3806" s="2"/>
    </row>
    <row r="3807" spans="2:13">
      <c r="B3807" s="2"/>
      <c r="C3807" s="1">
        <v>38.345493220000002</v>
      </c>
      <c r="D3807" s="1">
        <v>0.17149154599999999</v>
      </c>
      <c r="E3807" s="1"/>
      <c r="H3807" s="2">
        <v>79.900289599999994</v>
      </c>
      <c r="I3807" s="2">
        <v>14.4739489</v>
      </c>
      <c r="J3807" s="2">
        <v>17.137563799999999</v>
      </c>
      <c r="L3807" s="2"/>
      <c r="M3807" s="2"/>
    </row>
    <row r="3808" spans="2:13">
      <c r="B3808" s="2"/>
      <c r="C3808" s="1">
        <v>107.2659475</v>
      </c>
      <c r="D3808" s="1">
        <v>1.2400157949999999</v>
      </c>
      <c r="E3808" s="1"/>
      <c r="H3808" s="2">
        <v>5.5495399499999998</v>
      </c>
      <c r="I3808" s="2">
        <v>15.391202399999999</v>
      </c>
      <c r="J3808" s="2">
        <v>16.233757199999999</v>
      </c>
      <c r="L3808" s="2"/>
      <c r="M3808" s="2"/>
    </row>
    <row r="3809" spans="2:13">
      <c r="B3809" s="2"/>
      <c r="C3809" s="1">
        <v>6.7018575770000002</v>
      </c>
      <c r="D3809" s="1">
        <v>346.51845650000001</v>
      </c>
      <c r="E3809" s="1"/>
      <c r="H3809" s="2">
        <v>9.7905067100000007</v>
      </c>
      <c r="I3809" s="2">
        <v>55.641528600000001</v>
      </c>
      <c r="J3809" s="2">
        <v>44.286523899999999</v>
      </c>
      <c r="L3809" s="2"/>
      <c r="M3809" s="2"/>
    </row>
    <row r="3810" spans="2:13">
      <c r="B3810" s="2"/>
      <c r="C3810" s="1">
        <v>4.0754539320000003</v>
      </c>
      <c r="D3810" s="1">
        <v>0.84426607300000001</v>
      </c>
      <c r="E3810" s="1"/>
      <c r="H3810" s="2">
        <v>18.748284999999999</v>
      </c>
      <c r="I3810" s="2">
        <v>8.3485613000000001</v>
      </c>
      <c r="J3810" s="2">
        <v>8.6209246000000004</v>
      </c>
      <c r="L3810" s="2"/>
      <c r="M3810" s="2"/>
    </row>
    <row r="3811" spans="2:13">
      <c r="B3811" s="2"/>
      <c r="C3811" s="1">
        <v>28.866289259999999</v>
      </c>
      <c r="D3811" s="1">
        <v>4.7489966619999997</v>
      </c>
      <c r="E3811" s="1"/>
      <c r="H3811" s="2">
        <v>19.795143599999999</v>
      </c>
      <c r="I3811" s="2">
        <v>13.2457621</v>
      </c>
      <c r="J3811" s="2">
        <v>16.198995400000001</v>
      </c>
      <c r="L3811" s="2"/>
      <c r="M3811" s="2"/>
    </row>
    <row r="3812" spans="2:13">
      <c r="B3812" s="2"/>
      <c r="C3812" s="1">
        <v>8.0965684790000001</v>
      </c>
      <c r="D3812" s="1">
        <v>1.9193861510000001</v>
      </c>
      <c r="E3812" s="1"/>
      <c r="H3812" s="2">
        <v>45.169567399999998</v>
      </c>
      <c r="I3812" s="2">
        <v>49.966994399999997</v>
      </c>
      <c r="J3812" s="2">
        <v>43.208908399999999</v>
      </c>
      <c r="L3812" s="2"/>
      <c r="M3812" s="2"/>
    </row>
    <row r="3813" spans="2:13">
      <c r="B3813" s="2"/>
      <c r="C3813" s="1">
        <v>47.474510029999998</v>
      </c>
      <c r="D3813" s="1">
        <v>2.4734357619999998</v>
      </c>
      <c r="E3813" s="1"/>
      <c r="H3813" s="2">
        <v>9.6358571499999996</v>
      </c>
      <c r="I3813" s="2">
        <v>23.537656999999999</v>
      </c>
      <c r="J3813" s="2">
        <v>12.236151</v>
      </c>
      <c r="L3813" s="2"/>
      <c r="M3813" s="2"/>
    </row>
    <row r="3814" spans="2:13">
      <c r="B3814" s="2"/>
      <c r="C3814" s="1">
        <v>6.2007276859999996</v>
      </c>
      <c r="D3814" s="1">
        <v>0.83767024499999998</v>
      </c>
      <c r="E3814" s="1"/>
      <c r="H3814" s="2">
        <v>19.598857599999999</v>
      </c>
      <c r="I3814" s="2">
        <v>50.9153412</v>
      </c>
      <c r="J3814" s="2">
        <v>39.558920100000002</v>
      </c>
      <c r="L3814" s="2"/>
      <c r="M3814" s="2"/>
    </row>
    <row r="3815" spans="2:13">
      <c r="B3815" s="2"/>
      <c r="C3815" s="1">
        <v>11.803722130000001</v>
      </c>
      <c r="D3815" s="1">
        <v>4.7753799770000001</v>
      </c>
      <c r="E3815" s="1"/>
      <c r="H3815" s="2">
        <v>50.873756899999997</v>
      </c>
      <c r="I3815" s="2">
        <v>35.384218799999999</v>
      </c>
      <c r="J3815" s="2">
        <v>21.065646399999999</v>
      </c>
      <c r="L3815" s="2"/>
      <c r="M3815" s="2"/>
    </row>
    <row r="3816" spans="2:13">
      <c r="B3816" s="2"/>
      <c r="C3816" s="1">
        <v>16.45879618</v>
      </c>
      <c r="D3816" s="1">
        <v>18.24406218</v>
      </c>
      <c r="E3816" s="1"/>
      <c r="H3816" s="2">
        <v>14.447837699999999</v>
      </c>
      <c r="I3816" s="2">
        <v>48.381234200000002</v>
      </c>
      <c r="J3816" s="2">
        <v>29.4084766</v>
      </c>
      <c r="L3816" s="2"/>
      <c r="M3816" s="2"/>
    </row>
    <row r="3817" spans="2:13">
      <c r="B3817" s="2"/>
      <c r="C3817" s="1">
        <v>20.455759879999999</v>
      </c>
      <c r="D3817" s="1">
        <v>5.6592210229999997</v>
      </c>
      <c r="E3817" s="1"/>
      <c r="H3817" s="2">
        <v>48.661078600000003</v>
      </c>
      <c r="I3817" s="2">
        <v>14.4117622</v>
      </c>
      <c r="J3817" s="2">
        <v>22.490879899999999</v>
      </c>
      <c r="L3817" s="2"/>
      <c r="M3817" s="2"/>
    </row>
    <row r="3818" spans="2:13">
      <c r="B3818" s="2"/>
      <c r="C3818" s="1">
        <v>63.61934531</v>
      </c>
      <c r="D3818" s="1">
        <v>0.224258176</v>
      </c>
      <c r="E3818" s="1"/>
      <c r="H3818" s="2">
        <v>38.0259474</v>
      </c>
      <c r="I3818" s="2">
        <v>87.310093600000002</v>
      </c>
      <c r="J3818" s="2">
        <v>80.543073800000002</v>
      </c>
      <c r="L3818" s="2"/>
      <c r="M3818" s="2"/>
    </row>
    <row r="3819" spans="2:13">
      <c r="B3819" s="2"/>
      <c r="C3819" s="1">
        <v>37.904740420000003</v>
      </c>
      <c r="D3819" s="1">
        <v>186.82025200000001</v>
      </c>
      <c r="E3819" s="1"/>
      <c r="H3819" s="2">
        <v>47.0015699</v>
      </c>
      <c r="I3819" s="2">
        <v>78.246385500000002</v>
      </c>
      <c r="J3819" s="2">
        <v>71.505007599999999</v>
      </c>
      <c r="L3819" s="2"/>
      <c r="M3819" s="2"/>
    </row>
    <row r="3820" spans="2:13">
      <c r="B3820" s="2"/>
      <c r="C3820" s="1">
        <v>97.448631800000001</v>
      </c>
      <c r="D3820" s="1">
        <v>2.460244104</v>
      </c>
      <c r="E3820" s="1"/>
      <c r="H3820" s="2">
        <v>26.813854299999999</v>
      </c>
      <c r="I3820" s="2">
        <v>130.91849999999999</v>
      </c>
      <c r="J3820" s="2">
        <v>94.413029100000003</v>
      </c>
      <c r="L3820" s="2"/>
      <c r="M3820" s="2"/>
    </row>
    <row r="3821" spans="2:13">
      <c r="B3821" s="2"/>
      <c r="C3821" s="1">
        <v>19.097275239999998</v>
      </c>
      <c r="D3821" s="1">
        <v>0.620007898</v>
      </c>
      <c r="E3821" s="1"/>
      <c r="H3821" s="2">
        <v>83.3263721</v>
      </c>
      <c r="I3821" s="2">
        <v>4.9593874400000004</v>
      </c>
      <c r="J3821" s="2">
        <v>2.7461816300000002</v>
      </c>
      <c r="L3821" s="2"/>
      <c r="M3821" s="2"/>
    </row>
    <row r="3822" spans="2:13">
      <c r="B3822" s="2"/>
      <c r="C3822" s="1">
        <v>77.155890069999998</v>
      </c>
      <c r="D3822" s="1">
        <v>0.77830778599999995</v>
      </c>
      <c r="E3822" s="1"/>
      <c r="H3822" s="2">
        <v>84.426763199999996</v>
      </c>
      <c r="I3822" s="2">
        <v>77.779985400000001</v>
      </c>
      <c r="J3822" s="2">
        <v>143.14906199999999</v>
      </c>
      <c r="L3822" s="2"/>
      <c r="M3822" s="2"/>
    </row>
    <row r="3823" spans="2:13">
      <c r="B3823" s="2"/>
      <c r="C3823" s="1">
        <v>103.86671699999999</v>
      </c>
      <c r="D3823" s="1">
        <v>9.8937430000000007E-2</v>
      </c>
      <c r="E3823" s="1"/>
      <c r="H3823" s="2">
        <v>104.40034900000001</v>
      </c>
      <c r="I3823" s="2">
        <v>44.774406900000002</v>
      </c>
      <c r="J3823" s="2">
        <v>30.833710199999999</v>
      </c>
      <c r="L3823" s="2"/>
      <c r="M3823" s="2"/>
    </row>
    <row r="3824" spans="2:13">
      <c r="B3824" s="2"/>
      <c r="C3824" s="1">
        <v>87.564901300000002</v>
      </c>
      <c r="D3824" s="1">
        <v>1.8534278639999999</v>
      </c>
      <c r="E3824" s="1"/>
      <c r="H3824" s="2">
        <v>6.47743731</v>
      </c>
      <c r="I3824" s="2">
        <v>22.0451768</v>
      </c>
      <c r="J3824" s="2">
        <v>12.3404364</v>
      </c>
      <c r="L3824" s="2"/>
      <c r="M3824" s="2"/>
    </row>
    <row r="3825" spans="2:13">
      <c r="B3825" s="2"/>
      <c r="C3825" s="1">
        <v>9.7448631799999994</v>
      </c>
      <c r="D3825" s="1">
        <v>22.432413400000002</v>
      </c>
      <c r="E3825" s="1"/>
      <c r="H3825" s="2">
        <v>127.21115899999999</v>
      </c>
      <c r="I3825" s="2">
        <v>9.3901881199999995</v>
      </c>
      <c r="J3825" s="2">
        <v>16.720422299999999</v>
      </c>
      <c r="L3825" s="2"/>
      <c r="M3825" s="2"/>
    </row>
    <row r="3826" spans="2:13">
      <c r="B3826" s="2"/>
      <c r="C3826" s="1">
        <v>170.05812660000001</v>
      </c>
      <c r="D3826" s="1">
        <v>7.0443450490000004</v>
      </c>
      <c r="E3826" s="1"/>
      <c r="H3826" s="2">
        <v>49.089338900000001</v>
      </c>
      <c r="I3826" s="2">
        <v>5.5346141900000001</v>
      </c>
      <c r="J3826" s="2">
        <v>6.5352170300000001</v>
      </c>
      <c r="L3826" s="2"/>
      <c r="M3826" s="2"/>
    </row>
    <row r="3827" spans="2:13">
      <c r="B3827" s="2"/>
      <c r="C3827" s="1">
        <v>27.640634219999999</v>
      </c>
      <c r="D3827" s="1">
        <v>1.582998887</v>
      </c>
      <c r="E3827" s="1"/>
      <c r="H3827" s="2">
        <v>19.8308319</v>
      </c>
      <c r="I3827" s="2">
        <v>30.502564700000001</v>
      </c>
      <c r="J3827" s="2">
        <v>18.806129899999998</v>
      </c>
      <c r="L3827" s="2"/>
      <c r="M3827" s="2"/>
    </row>
    <row r="3828" spans="2:13">
      <c r="B3828" s="2"/>
      <c r="C3828" s="1">
        <v>24.15083812</v>
      </c>
      <c r="D3828" s="1">
        <v>1.292782425</v>
      </c>
      <c r="E3828" s="1"/>
      <c r="H3828" s="2">
        <v>15.768307</v>
      </c>
      <c r="I3828" s="2">
        <v>145.703383</v>
      </c>
      <c r="J3828" s="2">
        <v>255.67298600000001</v>
      </c>
      <c r="L3828" s="2"/>
      <c r="M3828" s="2"/>
    </row>
    <row r="3829" spans="2:13">
      <c r="B3829" s="2"/>
      <c r="C3829" s="1">
        <v>22.405940059999999</v>
      </c>
      <c r="D3829" s="1">
        <v>0.55404961100000005</v>
      </c>
      <c r="E3829" s="1"/>
      <c r="H3829" s="2">
        <v>7.5005036199999999</v>
      </c>
      <c r="I3829" s="2">
        <v>69.742357499999997</v>
      </c>
      <c r="J3829" s="2">
        <v>104.389664</v>
      </c>
      <c r="L3829" s="2"/>
      <c r="M3829" s="2"/>
    </row>
    <row r="3830" spans="2:13">
      <c r="B3830" s="2"/>
      <c r="C3830" s="1">
        <v>5.874691372</v>
      </c>
      <c r="D3830" s="1">
        <v>1.906194494</v>
      </c>
      <c r="E3830" s="1"/>
      <c r="H3830" s="2">
        <v>25.891905000000001</v>
      </c>
      <c r="I3830" s="2">
        <v>23.3200036</v>
      </c>
      <c r="J3830" s="2">
        <v>54.9931561</v>
      </c>
      <c r="L3830" s="2"/>
      <c r="M3830" s="2"/>
    </row>
    <row r="3831" spans="2:13">
      <c r="B3831" s="2"/>
      <c r="C3831" s="1">
        <v>30.442131450000002</v>
      </c>
      <c r="D3831" s="1">
        <v>22.504967520000001</v>
      </c>
      <c r="E3831" s="1"/>
      <c r="H3831" s="2">
        <v>217.841748</v>
      </c>
      <c r="I3831" s="2">
        <v>19.6976297</v>
      </c>
      <c r="J3831" s="2">
        <v>18.354226600000001</v>
      </c>
      <c r="L3831" s="2"/>
      <c r="M3831" s="2"/>
    </row>
    <row r="3832" spans="2:13">
      <c r="B3832" s="2"/>
      <c r="C3832" s="1">
        <v>131.98433030000001</v>
      </c>
      <c r="D3832" s="1">
        <v>0.46830383799999997</v>
      </c>
      <c r="E3832" s="1"/>
      <c r="H3832" s="2">
        <v>103.37728199999999</v>
      </c>
      <c r="I3832" s="2">
        <v>13.463415400000001</v>
      </c>
      <c r="J3832" s="2">
        <v>13.418051999999999</v>
      </c>
      <c r="L3832" s="2"/>
      <c r="M3832" s="2"/>
    </row>
    <row r="3833" spans="2:13">
      <c r="B3833" s="2"/>
      <c r="C3833" s="1">
        <v>80.313612160000005</v>
      </c>
      <c r="D3833" s="1">
        <v>1.9787486089999999</v>
      </c>
      <c r="E3833" s="1"/>
      <c r="H3833" s="2">
        <v>46.4246081</v>
      </c>
      <c r="I3833" s="2">
        <v>37.529659199999998</v>
      </c>
      <c r="J3833" s="2">
        <v>42.722243300000002</v>
      </c>
      <c r="L3833" s="2"/>
      <c r="M3833" s="2"/>
    </row>
    <row r="3834" spans="2:13">
      <c r="B3834" s="2"/>
      <c r="C3834" s="1">
        <v>41.678308880000003</v>
      </c>
      <c r="D3834" s="1">
        <v>0.96958681899999999</v>
      </c>
      <c r="E3834" s="1"/>
      <c r="H3834" s="2">
        <v>17.088776299999999</v>
      </c>
      <c r="I3834" s="2">
        <v>100.462576</v>
      </c>
      <c r="J3834" s="2">
        <v>100.287772</v>
      </c>
      <c r="L3834" s="2"/>
      <c r="M3834" s="2"/>
    </row>
    <row r="3835" spans="2:13">
      <c r="B3835" s="2"/>
      <c r="C3835" s="1">
        <v>30.768167760000001</v>
      </c>
      <c r="D3835" s="1">
        <v>0.48809132399999999</v>
      </c>
      <c r="E3835" s="1"/>
      <c r="H3835" s="2">
        <v>16.476126099999998</v>
      </c>
      <c r="I3835" s="2">
        <v>18.438349500000001</v>
      </c>
      <c r="J3835" s="2">
        <v>13.244243000000001</v>
      </c>
      <c r="L3835" s="2"/>
      <c r="M3835" s="2"/>
    </row>
    <row r="3836" spans="2:13">
      <c r="B3836" s="2"/>
      <c r="C3836" s="1">
        <v>10.082974910000001</v>
      </c>
      <c r="D3836" s="1">
        <v>0.29681229100000001</v>
      </c>
      <c r="E3836" s="1"/>
      <c r="H3836" s="2">
        <v>42.980681300000001</v>
      </c>
      <c r="I3836" s="2">
        <v>42.784433300000003</v>
      </c>
      <c r="J3836" s="2">
        <v>42.687481499999997</v>
      </c>
      <c r="L3836" s="2"/>
      <c r="M3836" s="2"/>
    </row>
    <row r="3837" spans="2:13">
      <c r="B3837" s="2"/>
      <c r="C3837" s="1">
        <v>37.077574220000002</v>
      </c>
      <c r="D3837" s="1">
        <v>5.1843213559999999</v>
      </c>
      <c r="E3837" s="1"/>
      <c r="H3837" s="2">
        <v>107.148352</v>
      </c>
      <c r="I3837" s="2">
        <v>41.214219700000001</v>
      </c>
      <c r="J3837" s="2">
        <v>23.7770662</v>
      </c>
      <c r="L3837" s="2"/>
      <c r="M3837" s="2"/>
    </row>
    <row r="3838" spans="2:13">
      <c r="B3838" s="2"/>
      <c r="C3838" s="1">
        <v>186.969751</v>
      </c>
      <c r="D3838" s="1">
        <v>165.31785049999999</v>
      </c>
      <c r="E3838" s="1"/>
      <c r="H3838" s="2">
        <v>12.3243803</v>
      </c>
      <c r="I3838" s="2">
        <v>15.0647223</v>
      </c>
      <c r="J3838" s="2">
        <v>12.9661487</v>
      </c>
      <c r="L3838" s="2"/>
      <c r="M3838" s="2"/>
    </row>
    <row r="3839" spans="2:13">
      <c r="B3839" s="2"/>
      <c r="C3839" s="1">
        <v>13.385602029999999</v>
      </c>
      <c r="D3839" s="1">
        <v>1.582998887</v>
      </c>
      <c r="E3839" s="1"/>
      <c r="H3839" s="2">
        <v>45.2112038</v>
      </c>
      <c r="I3839" s="2">
        <v>2.3009070199999999</v>
      </c>
      <c r="J3839" s="2">
        <v>0.97333020000000003</v>
      </c>
      <c r="L3839" s="2"/>
      <c r="M3839" s="2"/>
    </row>
    <row r="3840" spans="2:13">
      <c r="B3840" s="2"/>
      <c r="C3840" s="1">
        <v>22.34556297</v>
      </c>
      <c r="D3840" s="1">
        <v>0.40894137899999999</v>
      </c>
      <c r="E3840" s="1"/>
      <c r="H3840" s="2">
        <v>30.923963799999999</v>
      </c>
      <c r="I3840" s="2">
        <v>43.655046800000001</v>
      </c>
      <c r="J3840" s="2">
        <v>59.338380200000003</v>
      </c>
      <c r="L3840" s="2"/>
      <c r="M3840" s="2"/>
    </row>
    <row r="3841" spans="2:13">
      <c r="B3841" s="2"/>
      <c r="C3841" s="1">
        <v>11.18183805</v>
      </c>
      <c r="D3841" s="1">
        <v>2.216198442</v>
      </c>
      <c r="E3841" s="1"/>
      <c r="H3841" s="2">
        <v>14.8285135</v>
      </c>
      <c r="I3841" s="2">
        <v>37.187632399999998</v>
      </c>
      <c r="J3841" s="2">
        <v>19.431842100000001</v>
      </c>
      <c r="L3841" s="2"/>
      <c r="M3841" s="2"/>
    </row>
    <row r="3842" spans="2:13">
      <c r="B3842" s="2"/>
      <c r="C3842" s="1">
        <v>9.2497709990000008</v>
      </c>
      <c r="D3842" s="1">
        <v>1.4312948270000001</v>
      </c>
      <c r="E3842" s="1"/>
      <c r="H3842" s="2">
        <v>1.84389859</v>
      </c>
      <c r="I3842" s="2">
        <v>20.537149899999999</v>
      </c>
      <c r="J3842" s="2">
        <v>19.014700600000001</v>
      </c>
      <c r="L3842" s="2"/>
      <c r="M3842" s="2"/>
    </row>
    <row r="3843" spans="2:13">
      <c r="B3843" s="2"/>
      <c r="C3843" s="1">
        <v>2.4573477779999999</v>
      </c>
      <c r="D3843" s="1">
        <v>0.244045662</v>
      </c>
      <c r="E3843" s="1"/>
      <c r="H3843" s="2">
        <v>53.282721199999997</v>
      </c>
      <c r="I3843" s="2">
        <v>10.136428199999999</v>
      </c>
      <c r="J3843" s="2">
        <v>8.8294953500000002</v>
      </c>
      <c r="L3843" s="2"/>
      <c r="M3843" s="2"/>
    </row>
    <row r="3844" spans="2:13">
      <c r="B3844" s="2"/>
      <c r="C3844" s="1">
        <v>106.9217981</v>
      </c>
      <c r="D3844" s="1">
        <v>0.19787486100000001</v>
      </c>
      <c r="E3844" s="1"/>
      <c r="H3844" s="2">
        <v>24.833150400000001</v>
      </c>
      <c r="I3844" s="2">
        <v>35.959445600000002</v>
      </c>
      <c r="J3844" s="2">
        <v>41.922722</v>
      </c>
      <c r="L3844" s="2"/>
      <c r="M3844" s="2"/>
    </row>
    <row r="3845" spans="2:13">
      <c r="B3845" s="2"/>
      <c r="C3845" s="1">
        <v>16.41653221</v>
      </c>
      <c r="D3845" s="1">
        <v>0.93660767499999997</v>
      </c>
      <c r="E3845" s="1"/>
      <c r="H3845" s="2">
        <v>28.259232900000001</v>
      </c>
      <c r="I3845" s="2">
        <v>12.9970154</v>
      </c>
      <c r="J3845" s="2">
        <v>12.722816099999999</v>
      </c>
      <c r="L3845" s="2"/>
      <c r="M3845" s="2"/>
    </row>
    <row r="3846" spans="2:13">
      <c r="B3846" s="2"/>
      <c r="C3846" s="1">
        <v>33.539476430000001</v>
      </c>
      <c r="D3846" s="1">
        <v>0.17149154599999999</v>
      </c>
      <c r="E3846" s="1"/>
      <c r="H3846" s="2">
        <v>10.1354942</v>
      </c>
      <c r="I3846" s="2">
        <v>4.33752067</v>
      </c>
      <c r="J3846" s="2">
        <v>4.7623655999999999</v>
      </c>
      <c r="L3846" s="2"/>
      <c r="M3846" s="2"/>
    </row>
    <row r="3847" spans="2:13">
      <c r="B3847" s="2"/>
      <c r="C3847" s="1">
        <v>4.1780949940000003</v>
      </c>
      <c r="D3847" s="1">
        <v>0.35617474999999998</v>
      </c>
      <c r="E3847" s="1"/>
      <c r="H3847" s="2">
        <v>61.556472599999999</v>
      </c>
      <c r="I3847" s="2">
        <v>8.597308</v>
      </c>
      <c r="J3847" s="2">
        <v>6.0137901400000002</v>
      </c>
      <c r="L3847" s="2"/>
      <c r="M3847" s="2"/>
    </row>
    <row r="3848" spans="2:13">
      <c r="B3848" s="2"/>
      <c r="C3848" s="1">
        <v>22.568958219999999</v>
      </c>
      <c r="D3848" s="1">
        <v>272.52645009999998</v>
      </c>
      <c r="E3848" s="1"/>
      <c r="H3848" s="2">
        <v>14.519214399999999</v>
      </c>
      <c r="I3848" s="2">
        <v>24.967950500000001</v>
      </c>
      <c r="J3848" s="2">
        <v>15.6775685</v>
      </c>
      <c r="L3848" s="2"/>
      <c r="M3848" s="2"/>
    </row>
    <row r="3849" spans="2:13">
      <c r="B3849" s="2"/>
      <c r="C3849" s="1">
        <v>23.29348336</v>
      </c>
      <c r="D3849" s="1">
        <v>1.477465628</v>
      </c>
      <c r="E3849" s="1"/>
      <c r="H3849" s="2">
        <v>5.4543709900000001</v>
      </c>
      <c r="I3849" s="2">
        <v>1.81896028</v>
      </c>
      <c r="J3849" s="2">
        <v>2.3290401100000002</v>
      </c>
      <c r="L3849" s="2"/>
      <c r="M3849" s="2"/>
    </row>
    <row r="3850" spans="2:13">
      <c r="B3850" s="2"/>
      <c r="C3850" s="1">
        <v>3.7796061650000001</v>
      </c>
      <c r="D3850" s="1">
        <v>81.247417900000002</v>
      </c>
      <c r="E3850" s="1"/>
      <c r="H3850" s="2">
        <v>6.6261388099999996</v>
      </c>
      <c r="I3850" s="2">
        <v>10.447361600000001</v>
      </c>
      <c r="J3850" s="2">
        <v>6.1528373099999998</v>
      </c>
      <c r="L3850" s="2"/>
      <c r="M3850" s="2"/>
    </row>
    <row r="3851" spans="2:13">
      <c r="B3851" s="2"/>
      <c r="C3851" s="1">
        <v>5.1863924859999999</v>
      </c>
      <c r="D3851" s="1">
        <v>1.246611624</v>
      </c>
      <c r="E3851" s="1"/>
      <c r="H3851" s="2">
        <v>21.4070678</v>
      </c>
      <c r="I3851" s="2">
        <v>64.176649999999995</v>
      </c>
      <c r="J3851" s="2">
        <v>72.791194000000004</v>
      </c>
      <c r="L3851" s="2"/>
      <c r="M3851" s="2"/>
    </row>
    <row r="3852" spans="2:13">
      <c r="B3852" s="2"/>
      <c r="C3852" s="1">
        <v>20.473873009999998</v>
      </c>
      <c r="D3852" s="1">
        <v>5.962629143</v>
      </c>
      <c r="E3852" s="1"/>
      <c r="H3852" s="2">
        <v>4.1517458600000001</v>
      </c>
      <c r="I3852" s="2">
        <v>13.9609088</v>
      </c>
      <c r="J3852" s="2">
        <v>15.573283099999999</v>
      </c>
      <c r="L3852" s="2"/>
      <c r="M3852" s="2"/>
    </row>
    <row r="3853" spans="2:13">
      <c r="B3853" s="2"/>
      <c r="C3853" s="1">
        <v>5.838465115</v>
      </c>
      <c r="D3853" s="1">
        <v>2.104069355</v>
      </c>
      <c r="E3853" s="1"/>
      <c r="H3853" s="2">
        <v>9.3087138500000002</v>
      </c>
      <c r="I3853" s="2">
        <v>22.5115768</v>
      </c>
      <c r="J3853" s="2">
        <v>34.379413</v>
      </c>
      <c r="L3853" s="2"/>
      <c r="M3853" s="2"/>
    </row>
    <row r="3854" spans="2:13">
      <c r="B3854" s="2"/>
      <c r="C3854" s="1">
        <v>4.2807360560000003</v>
      </c>
      <c r="D3854" s="1">
        <v>1.7281071189999999</v>
      </c>
      <c r="E3854" s="1"/>
      <c r="H3854" s="2">
        <v>68.634664000000001</v>
      </c>
      <c r="I3854" s="2">
        <v>15.562215699999999</v>
      </c>
      <c r="J3854" s="2">
        <v>12.827101499999999</v>
      </c>
      <c r="L3854" s="2"/>
      <c r="M3854" s="2"/>
    </row>
    <row r="3855" spans="2:13">
      <c r="B3855" s="2"/>
      <c r="C3855" s="1">
        <v>33.841361910000003</v>
      </c>
      <c r="D3855" s="1">
        <v>7.6313738029999998</v>
      </c>
      <c r="E3855" s="1"/>
      <c r="H3855" s="2">
        <v>21.6806786</v>
      </c>
      <c r="I3855" s="2">
        <v>152.26407699999999</v>
      </c>
      <c r="J3855" s="2">
        <v>201.86172999999999</v>
      </c>
      <c r="L3855" s="2"/>
      <c r="M3855" s="2"/>
    </row>
    <row r="3856" spans="2:13">
      <c r="B3856" s="2"/>
      <c r="C3856" s="1">
        <v>43.399056100000003</v>
      </c>
      <c r="D3856" s="1">
        <v>0.34957892099999999</v>
      </c>
      <c r="E3856" s="1"/>
      <c r="H3856" s="2">
        <v>36.443763400000002</v>
      </c>
      <c r="I3856" s="2">
        <v>51.537208</v>
      </c>
      <c r="J3856" s="2">
        <v>33.232273800000002</v>
      </c>
      <c r="L3856" s="2"/>
      <c r="M3856" s="2"/>
    </row>
    <row r="3857" spans="2:13">
      <c r="B3857" s="2"/>
      <c r="C3857" s="1">
        <v>30.39382977</v>
      </c>
      <c r="D3857" s="1">
        <v>4.3268636259999997</v>
      </c>
      <c r="E3857" s="1"/>
      <c r="H3857" s="2">
        <v>22.1505753</v>
      </c>
      <c r="I3857" s="2">
        <v>78.588412199999993</v>
      </c>
      <c r="J3857" s="2">
        <v>54.958394300000002</v>
      </c>
      <c r="L3857" s="2"/>
      <c r="M3857" s="2"/>
    </row>
    <row r="3858" spans="2:13">
      <c r="B3858" s="2"/>
      <c r="C3858" s="1">
        <v>13.33126264</v>
      </c>
      <c r="D3858" s="1">
        <v>2.4272649610000001</v>
      </c>
      <c r="E3858" s="1"/>
      <c r="H3858" s="2">
        <v>158.74182400000001</v>
      </c>
      <c r="I3858" s="2">
        <v>66.601930300000006</v>
      </c>
      <c r="J3858" s="2">
        <v>80.508312000000004</v>
      </c>
      <c r="L3858" s="2"/>
      <c r="M3858" s="2"/>
    </row>
    <row r="3859" spans="2:13">
      <c r="B3859" s="2"/>
      <c r="C3859" s="1">
        <v>113.0621486</v>
      </c>
      <c r="D3859" s="1">
        <v>1.7281071189999999</v>
      </c>
      <c r="E3859" s="1"/>
      <c r="H3859" s="2">
        <v>35.688359800000001</v>
      </c>
      <c r="I3859" s="2">
        <v>5.7522675599999999</v>
      </c>
      <c r="J3859" s="2">
        <v>6.81331138</v>
      </c>
      <c r="L3859" s="2"/>
      <c r="M3859" s="2"/>
    </row>
    <row r="3860" spans="2:13">
      <c r="B3860" s="2"/>
      <c r="C3860" s="1">
        <v>20.455759879999999</v>
      </c>
      <c r="D3860" s="1">
        <v>1.088311735</v>
      </c>
      <c r="E3860" s="1"/>
      <c r="H3860" s="2">
        <v>55.548932100000002</v>
      </c>
      <c r="I3860" s="2">
        <v>96.731375</v>
      </c>
      <c r="J3860" s="2">
        <v>124.86435899999999</v>
      </c>
      <c r="L3860" s="2"/>
      <c r="M3860" s="2"/>
    </row>
    <row r="3861" spans="2:13">
      <c r="B3861" s="2"/>
      <c r="C3861" s="1">
        <v>57.569560359999997</v>
      </c>
      <c r="D3861" s="1">
        <v>322.29197770000002</v>
      </c>
      <c r="E3861" s="1"/>
      <c r="H3861" s="2">
        <v>88.376275000000007</v>
      </c>
      <c r="I3861" s="2">
        <v>23.397736999999999</v>
      </c>
      <c r="J3861" s="2">
        <v>21.552311499999998</v>
      </c>
      <c r="L3861" s="2"/>
      <c r="M3861" s="2"/>
    </row>
    <row r="3862" spans="2:13">
      <c r="B3862" s="2"/>
      <c r="C3862" s="1">
        <v>45.633008619999998</v>
      </c>
      <c r="D3862" s="1">
        <v>0.613412069</v>
      </c>
      <c r="E3862" s="1"/>
      <c r="H3862" s="2">
        <v>11.7652626</v>
      </c>
      <c r="I3862" s="2">
        <v>37.187632399999998</v>
      </c>
      <c r="J3862" s="2">
        <v>28.1222903</v>
      </c>
      <c r="L3862" s="2"/>
      <c r="M3862" s="2"/>
    </row>
    <row r="3863" spans="2:13">
      <c r="B3863" s="2"/>
      <c r="C3863" s="1">
        <v>6.3758212629999997</v>
      </c>
      <c r="D3863" s="1">
        <v>0.21766234700000001</v>
      </c>
      <c r="E3863" s="1"/>
      <c r="H3863" s="2">
        <v>119.567902</v>
      </c>
      <c r="I3863" s="2">
        <v>40.219232900000002</v>
      </c>
      <c r="J3863" s="2">
        <v>28.991335100000001</v>
      </c>
      <c r="L3863" s="2"/>
      <c r="M3863" s="2"/>
    </row>
    <row r="3864" spans="2:13">
      <c r="B3864" s="2"/>
      <c r="C3864" s="1">
        <v>108.7451863</v>
      </c>
      <c r="D3864" s="1">
        <v>0.74532864300000001</v>
      </c>
      <c r="E3864" s="1"/>
      <c r="H3864" s="2">
        <v>21.0144959</v>
      </c>
      <c r="I3864" s="2">
        <v>25.3255239</v>
      </c>
      <c r="J3864" s="2">
        <v>35.317981400000001</v>
      </c>
      <c r="L3864" s="2"/>
      <c r="M3864" s="2"/>
    </row>
    <row r="3865" spans="2:13">
      <c r="B3865" s="2"/>
      <c r="C3865" s="1">
        <v>47.263190190000003</v>
      </c>
      <c r="D3865" s="1">
        <v>2.1172610120000002</v>
      </c>
      <c r="E3865" s="1"/>
      <c r="H3865" s="2">
        <v>40.476548100000002</v>
      </c>
      <c r="I3865" s="2">
        <v>7.9598945700000003</v>
      </c>
      <c r="J3865" s="2">
        <v>7.1956911000000003</v>
      </c>
      <c r="L3865" s="2"/>
      <c r="M3865" s="2"/>
    </row>
    <row r="3866" spans="2:13">
      <c r="B3866" s="2"/>
      <c r="C3866" s="1">
        <v>40.211145459999997</v>
      </c>
      <c r="D3866" s="1">
        <v>4.3070761400000004</v>
      </c>
      <c r="E3866" s="1"/>
      <c r="H3866" s="2">
        <v>31.839964999999999</v>
      </c>
      <c r="I3866" s="2">
        <v>9.7477615100000001</v>
      </c>
      <c r="J3866" s="2">
        <v>9.1771132800000004</v>
      </c>
      <c r="L3866" s="2"/>
      <c r="M3866" s="2"/>
    </row>
    <row r="3867" spans="2:13">
      <c r="B3867" s="2"/>
      <c r="C3867" s="1">
        <v>13.16824448</v>
      </c>
      <c r="D3867" s="1">
        <v>307.96583770000001</v>
      </c>
      <c r="E3867" s="1"/>
      <c r="H3867" s="2">
        <v>51.700537300000001</v>
      </c>
      <c r="I3867" s="2">
        <v>21.6876034</v>
      </c>
      <c r="J3867" s="2">
        <v>19.8142219</v>
      </c>
      <c r="L3867" s="2"/>
      <c r="M3867" s="2"/>
    </row>
    <row r="3868" spans="2:13">
      <c r="B3868" s="2"/>
      <c r="C3868" s="1">
        <v>17.67237579</v>
      </c>
      <c r="D3868" s="1">
        <v>0.96958681899999999</v>
      </c>
      <c r="E3868" s="1"/>
      <c r="H3868" s="2">
        <v>12.0805098</v>
      </c>
      <c r="I3868" s="2">
        <v>15.453389100000001</v>
      </c>
      <c r="J3868" s="2">
        <v>25.932297399999999</v>
      </c>
      <c r="L3868" s="2"/>
      <c r="M3868" s="2"/>
    </row>
    <row r="3869" spans="2:13">
      <c r="B3869" s="2"/>
      <c r="C3869" s="1">
        <v>11.47164811</v>
      </c>
      <c r="D3869" s="1">
        <v>1.1674616790000001</v>
      </c>
      <c r="E3869" s="1"/>
      <c r="H3869" s="2">
        <v>11.6284572</v>
      </c>
      <c r="I3869" s="2">
        <v>35.990538899999997</v>
      </c>
      <c r="J3869" s="2">
        <v>42.444148900000002</v>
      </c>
      <c r="L3869" s="2"/>
      <c r="M3869" s="2"/>
    </row>
    <row r="3870" spans="2:13">
      <c r="B3870" s="2"/>
      <c r="C3870" s="1">
        <v>2.5479134210000001</v>
      </c>
      <c r="D3870" s="1">
        <v>4.2740969959999999</v>
      </c>
      <c r="E3870" s="1"/>
      <c r="H3870" s="2">
        <v>21.603353800000001</v>
      </c>
      <c r="I3870" s="2">
        <v>12.079761899999999</v>
      </c>
      <c r="J3870" s="2">
        <v>14.078526099999999</v>
      </c>
      <c r="L3870" s="2"/>
      <c r="M3870" s="2"/>
    </row>
    <row r="3871" spans="2:13">
      <c r="B3871" s="2"/>
      <c r="C3871" s="1">
        <v>38.206625899999999</v>
      </c>
      <c r="D3871" s="1">
        <v>1.6423613459999999</v>
      </c>
      <c r="E3871" s="1"/>
      <c r="H3871" s="2">
        <v>24.928319299999998</v>
      </c>
      <c r="I3871" s="2">
        <v>18.236242799999999</v>
      </c>
      <c r="J3871" s="2">
        <v>19.536127499999999</v>
      </c>
      <c r="L3871" s="2"/>
      <c r="M3871" s="2"/>
    </row>
    <row r="3872" spans="2:13">
      <c r="B3872" s="2"/>
      <c r="C3872" s="1">
        <v>25.448945670000001</v>
      </c>
      <c r="D3872" s="1">
        <v>0.38915389299999997</v>
      </c>
      <c r="E3872" s="1"/>
      <c r="H3872" s="2">
        <v>48.232818299999998</v>
      </c>
      <c r="I3872" s="2">
        <v>26.646990800000001</v>
      </c>
      <c r="J3872" s="2">
        <v>18.8408917</v>
      </c>
      <c r="L3872" s="2"/>
      <c r="M3872" s="2"/>
    </row>
    <row r="3873" spans="2:13">
      <c r="B3873" s="2"/>
      <c r="C3873" s="1">
        <v>50.408836860000001</v>
      </c>
      <c r="D3873" s="1">
        <v>0.98937430500000001</v>
      </c>
      <c r="E3873" s="1"/>
      <c r="H3873" s="2">
        <v>16.464230000000001</v>
      </c>
      <c r="I3873" s="2">
        <v>82.3040661</v>
      </c>
      <c r="J3873" s="2">
        <v>86.661149300000005</v>
      </c>
      <c r="L3873" s="2"/>
      <c r="M3873" s="2"/>
    </row>
    <row r="3874" spans="2:13">
      <c r="B3874" s="2"/>
      <c r="C3874" s="1">
        <v>12.594662080000001</v>
      </c>
      <c r="D3874" s="1">
        <v>206.29773420000001</v>
      </c>
      <c r="E3874" s="1"/>
      <c r="H3874" s="2">
        <v>23.1676936</v>
      </c>
      <c r="I3874" s="2">
        <v>18.407256199999999</v>
      </c>
      <c r="J3874" s="2">
        <v>18.667082700000002</v>
      </c>
      <c r="L3874" s="2"/>
      <c r="M3874" s="2"/>
    </row>
    <row r="3875" spans="2:13">
      <c r="B3875" s="2"/>
      <c r="C3875" s="1">
        <v>20.467835300000001</v>
      </c>
      <c r="D3875" s="1">
        <v>1.8798111790000001</v>
      </c>
      <c r="E3875" s="1"/>
      <c r="H3875" s="2">
        <v>21.0918207</v>
      </c>
      <c r="I3875" s="2">
        <v>7.5245878299999998</v>
      </c>
      <c r="J3875" s="2">
        <v>6.50045524</v>
      </c>
      <c r="L3875" s="2"/>
      <c r="M3875" s="2"/>
    </row>
    <row r="3876" spans="2:13">
      <c r="B3876" s="2"/>
      <c r="C3876" s="1">
        <v>15.1425755</v>
      </c>
      <c r="D3876" s="1">
        <v>4.8083591209999996</v>
      </c>
      <c r="E3876" s="1"/>
      <c r="H3876" s="2">
        <v>92.4090597</v>
      </c>
      <c r="I3876" s="2">
        <v>24.377177100000001</v>
      </c>
      <c r="J3876" s="2">
        <v>18.0761322</v>
      </c>
      <c r="L3876" s="2"/>
      <c r="M3876" s="2"/>
    </row>
    <row r="3877" spans="2:13">
      <c r="B3877" s="2"/>
      <c r="C3877" s="1">
        <v>103.37766259999999</v>
      </c>
      <c r="D3877" s="1">
        <v>1.3191657000000001E-2</v>
      </c>
      <c r="E3877" s="1"/>
      <c r="H3877" s="2">
        <v>28.9075715</v>
      </c>
      <c r="I3877" s="2">
        <v>22.9935236</v>
      </c>
      <c r="J3877" s="2">
        <v>23.2208775</v>
      </c>
      <c r="L3877" s="2"/>
      <c r="M3877" s="2"/>
    </row>
    <row r="3878" spans="2:13">
      <c r="B3878" s="2"/>
      <c r="C3878" s="1">
        <v>48.416392709999997</v>
      </c>
      <c r="D3878" s="1">
        <v>1.0223534480000001</v>
      </c>
      <c r="E3878" s="1"/>
      <c r="H3878" s="2">
        <v>10.337728200000001</v>
      </c>
      <c r="I3878" s="2">
        <v>29.554217900000001</v>
      </c>
      <c r="J3878" s="2">
        <v>25.897535600000001</v>
      </c>
      <c r="L3878" s="2"/>
      <c r="M3878" s="2"/>
    </row>
    <row r="3879" spans="2:13">
      <c r="B3879" s="2"/>
      <c r="C3879" s="1">
        <v>6.4120475199999998</v>
      </c>
      <c r="D3879" s="1">
        <v>0.89703270300000004</v>
      </c>
      <c r="E3879" s="1"/>
      <c r="H3879" s="2">
        <v>24.981851899999999</v>
      </c>
      <c r="I3879" s="2">
        <v>59.637022600000002</v>
      </c>
      <c r="J3879" s="2">
        <v>53.637446199999999</v>
      </c>
      <c r="L3879" s="2"/>
      <c r="M3879" s="2"/>
    </row>
    <row r="3880" spans="2:13">
      <c r="B3880" s="2"/>
      <c r="C3880" s="1">
        <v>11.47164811</v>
      </c>
      <c r="D3880" s="1">
        <v>0.65958287000000004</v>
      </c>
      <c r="E3880" s="1"/>
      <c r="H3880" s="2">
        <v>31.352224100000001</v>
      </c>
      <c r="I3880" s="2">
        <v>1.02608016</v>
      </c>
      <c r="J3880" s="2">
        <v>1.18190095</v>
      </c>
      <c r="L3880" s="2"/>
      <c r="M3880" s="2"/>
    </row>
    <row r="3881" spans="2:13">
      <c r="B3881" s="2"/>
      <c r="C3881" s="1">
        <v>10.010522399999999</v>
      </c>
      <c r="D3881" s="1">
        <v>0.39574972200000003</v>
      </c>
      <c r="E3881" s="1"/>
      <c r="H3881" s="2">
        <v>33.874201499999998</v>
      </c>
      <c r="I3881" s="2">
        <v>18.811469599999999</v>
      </c>
      <c r="J3881" s="2">
        <v>17.172325600000001</v>
      </c>
      <c r="L3881" s="2"/>
      <c r="M3881" s="2"/>
    </row>
    <row r="3882" spans="2:13">
      <c r="B3882" s="2"/>
      <c r="C3882" s="1">
        <v>39.426243229999997</v>
      </c>
      <c r="D3882" s="1">
        <v>0.474899666</v>
      </c>
      <c r="E3882" s="1"/>
      <c r="H3882" s="2">
        <v>62.728240399999997</v>
      </c>
      <c r="I3882" s="2">
        <v>21.407763299999999</v>
      </c>
      <c r="J3882" s="2">
        <v>14.2175732</v>
      </c>
      <c r="L3882" s="2"/>
      <c r="M3882" s="2"/>
    </row>
    <row r="3883" spans="2:13">
      <c r="B3883" s="2"/>
      <c r="C3883" s="1">
        <v>92.847897140000001</v>
      </c>
      <c r="D3883" s="1">
        <v>281.45720219999998</v>
      </c>
      <c r="E3883" s="1"/>
      <c r="H3883" s="2">
        <v>1.9569117300000001</v>
      </c>
      <c r="I3883" s="2">
        <v>6.2031209599999997</v>
      </c>
      <c r="J3883" s="2">
        <v>9.3856840399999992</v>
      </c>
      <c r="L3883" s="2"/>
      <c r="M3883" s="2"/>
    </row>
    <row r="3884" spans="2:13">
      <c r="B3884" s="2"/>
      <c r="C3884" s="1">
        <v>1.4792388350000001</v>
      </c>
      <c r="D3884" s="1">
        <v>1.0817159059999999</v>
      </c>
      <c r="E3884" s="1"/>
      <c r="H3884" s="2">
        <v>23.5840578</v>
      </c>
      <c r="I3884" s="2">
        <v>13.2924021</v>
      </c>
      <c r="J3884" s="2">
        <v>8.1342595000000006</v>
      </c>
      <c r="L3884" s="2"/>
      <c r="M3884" s="2"/>
    </row>
    <row r="3885" spans="2:13">
      <c r="B3885" s="2"/>
      <c r="C3885" s="1">
        <v>32.525141230000003</v>
      </c>
      <c r="D3885" s="1">
        <v>0.59362458299999998</v>
      </c>
      <c r="E3885" s="1"/>
      <c r="H3885" s="2">
        <v>18.6947525</v>
      </c>
      <c r="I3885" s="2">
        <v>12.219681899999999</v>
      </c>
      <c r="J3885" s="2">
        <v>12.4447218</v>
      </c>
      <c r="L3885" s="2"/>
      <c r="M3885" s="2"/>
    </row>
    <row r="3886" spans="2:13">
      <c r="B3886" s="2"/>
      <c r="C3886" s="1">
        <v>17.611998700000001</v>
      </c>
      <c r="D3886" s="1">
        <v>5.5602835920000002</v>
      </c>
      <c r="E3886" s="1"/>
      <c r="H3886" s="2">
        <v>10.022481000000001</v>
      </c>
      <c r="I3886" s="2">
        <v>27.859631</v>
      </c>
      <c r="J3886" s="2">
        <v>33.927509700000002</v>
      </c>
      <c r="L3886" s="2"/>
      <c r="M3886" s="2"/>
    </row>
    <row r="3887" spans="2:13">
      <c r="B3887" s="2"/>
      <c r="C3887" s="1">
        <v>10.22184223</v>
      </c>
      <c r="D3887" s="1">
        <v>75.456280300000003</v>
      </c>
      <c r="E3887" s="1"/>
      <c r="H3887" s="2">
        <v>9.9273120899999991</v>
      </c>
      <c r="I3887" s="2">
        <v>15.0180823</v>
      </c>
      <c r="J3887" s="2">
        <v>17.728514300000001</v>
      </c>
      <c r="L3887" s="2"/>
      <c r="M3887" s="2"/>
    </row>
    <row r="3888" spans="2:13">
      <c r="B3888" s="2"/>
      <c r="C3888" s="1">
        <v>13.765977729999999</v>
      </c>
      <c r="D3888" s="1">
        <v>8.1656359280000004</v>
      </c>
      <c r="E3888" s="1"/>
      <c r="H3888" s="2">
        <v>16.809217499999999</v>
      </c>
      <c r="I3888" s="2">
        <v>10.291894900000001</v>
      </c>
      <c r="J3888" s="2">
        <v>16.233757199999999</v>
      </c>
      <c r="L3888" s="2"/>
      <c r="M3888" s="2"/>
    </row>
    <row r="3889" spans="2:13">
      <c r="B3889" s="2"/>
      <c r="C3889" s="1">
        <v>10.976555919999999</v>
      </c>
      <c r="D3889" s="1">
        <v>3.119826974</v>
      </c>
      <c r="E3889" s="1"/>
      <c r="H3889" s="2">
        <v>42.403719500000001</v>
      </c>
      <c r="I3889" s="2">
        <v>22.884696900000002</v>
      </c>
      <c r="J3889" s="2">
        <v>23.012306800000001</v>
      </c>
      <c r="L3889" s="2"/>
      <c r="M3889" s="2"/>
    </row>
    <row r="3890" spans="2:13">
      <c r="B3890" s="2"/>
      <c r="C3890" s="1">
        <v>56.579376000000003</v>
      </c>
      <c r="D3890" s="1">
        <v>2.453648276</v>
      </c>
      <c r="E3890" s="1"/>
      <c r="H3890" s="2">
        <v>21.853172300000001</v>
      </c>
      <c r="I3890" s="2">
        <v>80.827132500000005</v>
      </c>
      <c r="J3890" s="2">
        <v>34.970363499999998</v>
      </c>
      <c r="L3890" s="2"/>
      <c r="M3890" s="2"/>
    </row>
    <row r="3891" spans="2:13">
      <c r="B3891" s="2"/>
      <c r="C3891" s="1">
        <v>10.892027990000001</v>
      </c>
      <c r="D3891" s="1">
        <v>1.912790322</v>
      </c>
      <c r="E3891" s="1"/>
      <c r="H3891" s="2">
        <v>18.789921400000001</v>
      </c>
      <c r="I3891" s="2">
        <v>73.115984699999998</v>
      </c>
      <c r="J3891" s="2">
        <v>48.179844699999997</v>
      </c>
      <c r="L3891" s="2"/>
      <c r="M3891" s="2"/>
    </row>
    <row r="3892" spans="2:13">
      <c r="B3892" s="2"/>
      <c r="C3892" s="1">
        <v>26.728940089999998</v>
      </c>
      <c r="D3892" s="1">
        <v>29.681229139999999</v>
      </c>
      <c r="E3892" s="1"/>
      <c r="H3892" s="2">
        <v>30.870431199999999</v>
      </c>
      <c r="I3892" s="2">
        <v>67.985583899999995</v>
      </c>
      <c r="J3892" s="2">
        <v>73.138811899999993</v>
      </c>
      <c r="L3892" s="2"/>
      <c r="M3892" s="2"/>
    </row>
    <row r="3893" spans="2:13">
      <c r="B3893" s="2"/>
      <c r="C3893" s="1">
        <v>45.675272589999999</v>
      </c>
      <c r="D3893" s="1">
        <v>1.0553325920000001</v>
      </c>
      <c r="E3893" s="1"/>
      <c r="H3893" s="2">
        <v>39.233403600000003</v>
      </c>
      <c r="I3893" s="2">
        <v>33.052218500000002</v>
      </c>
      <c r="J3893" s="2">
        <v>34.935601699999999</v>
      </c>
      <c r="L3893" s="2"/>
      <c r="M3893" s="2"/>
    </row>
    <row r="3894" spans="2:13">
      <c r="B3894" s="2"/>
      <c r="C3894" s="1">
        <v>52.962787990000002</v>
      </c>
      <c r="D3894" s="1">
        <v>3.8783472739999998</v>
      </c>
      <c r="E3894" s="1"/>
      <c r="H3894" s="2">
        <v>64.0427617</v>
      </c>
      <c r="I3894" s="2">
        <v>16.7437626</v>
      </c>
      <c r="J3894" s="2">
        <v>20.231363399999999</v>
      </c>
      <c r="L3894" s="2"/>
      <c r="M3894" s="2"/>
    </row>
    <row r="3895" spans="2:13">
      <c r="B3895" s="2"/>
      <c r="C3895" s="1">
        <v>120.16853279999999</v>
      </c>
      <c r="D3895" s="1">
        <v>3.9377097330000002</v>
      </c>
      <c r="E3895" s="1"/>
      <c r="H3895" s="2">
        <v>62.579538900000003</v>
      </c>
      <c r="I3895" s="2">
        <v>201.18944500000001</v>
      </c>
      <c r="J3895" s="2">
        <v>232.34782300000001</v>
      </c>
      <c r="L3895" s="2"/>
      <c r="M3895" s="2"/>
    </row>
    <row r="3896" spans="2:13">
      <c r="B3896" s="2"/>
      <c r="C3896" s="1">
        <v>52.884297770000003</v>
      </c>
      <c r="D3896" s="1">
        <v>1.1674616790000001</v>
      </c>
      <c r="E3896" s="1"/>
      <c r="H3896" s="2">
        <v>39.780625100000002</v>
      </c>
      <c r="I3896" s="2">
        <v>22.7292302</v>
      </c>
      <c r="J3896" s="2">
        <v>22.734212400000001</v>
      </c>
      <c r="L3896" s="2"/>
      <c r="M3896" s="2"/>
    </row>
    <row r="3897" spans="2:13">
      <c r="B3897" s="2"/>
      <c r="C3897" s="1">
        <v>65.195187500000003</v>
      </c>
      <c r="D3897" s="1">
        <v>6.4309329799999997</v>
      </c>
      <c r="E3897" s="1"/>
      <c r="H3897" s="2">
        <v>31.602042600000001</v>
      </c>
      <c r="I3897" s="2">
        <v>46.158060499999998</v>
      </c>
      <c r="J3897" s="2">
        <v>40.497488500000003</v>
      </c>
      <c r="L3897" s="2"/>
      <c r="M3897" s="2"/>
    </row>
    <row r="3898" spans="2:13">
      <c r="B3898" s="2"/>
      <c r="C3898" s="1">
        <v>21.222549000000001</v>
      </c>
      <c r="D3898" s="1">
        <v>6.173695661</v>
      </c>
      <c r="E3898" s="1"/>
      <c r="H3898" s="2">
        <v>258.03278999999998</v>
      </c>
      <c r="I3898" s="2">
        <v>116.817671</v>
      </c>
      <c r="J3898" s="2">
        <v>115.965341</v>
      </c>
      <c r="L3898" s="2"/>
      <c r="M3898" s="2"/>
    </row>
    <row r="3899" spans="2:13">
      <c r="B3899" s="2"/>
      <c r="C3899" s="1">
        <v>329.18196119999999</v>
      </c>
      <c r="D3899" s="1">
        <v>1.1344825359999999</v>
      </c>
      <c r="E3899" s="1"/>
      <c r="H3899" s="2">
        <v>24.601175999999999</v>
      </c>
      <c r="I3899" s="2">
        <v>21.6409634</v>
      </c>
      <c r="J3899" s="2">
        <v>15.017094500000001</v>
      </c>
      <c r="L3899" s="2"/>
      <c r="M3899" s="2"/>
    </row>
    <row r="3900" spans="2:13">
      <c r="B3900" s="2"/>
      <c r="C3900" s="1">
        <v>23.649708230000002</v>
      </c>
      <c r="D3900" s="1">
        <v>1.8336403779999999</v>
      </c>
      <c r="E3900" s="1"/>
      <c r="H3900" s="2">
        <v>37.151582599999998</v>
      </c>
      <c r="I3900" s="2">
        <v>91.5543342</v>
      </c>
      <c r="J3900" s="2">
        <v>59.581712699999997</v>
      </c>
      <c r="L3900" s="2"/>
      <c r="M3900" s="2"/>
    </row>
    <row r="3901" spans="2:13">
      <c r="B3901" s="2"/>
      <c r="C3901" s="1">
        <v>38.574926179999999</v>
      </c>
      <c r="D3901" s="1">
        <v>0.64639121200000005</v>
      </c>
      <c r="E3901" s="1"/>
      <c r="H3901" s="2">
        <v>101.902163</v>
      </c>
      <c r="I3901" s="2">
        <v>60.5231827</v>
      </c>
      <c r="J3901" s="2">
        <v>73.6950006</v>
      </c>
      <c r="L3901" s="2"/>
      <c r="M3901" s="2"/>
    </row>
    <row r="3902" spans="2:13">
      <c r="B3902" s="2"/>
      <c r="C3902" s="1">
        <v>44.606597999999998</v>
      </c>
      <c r="D3902" s="1">
        <v>0.56724126799999997</v>
      </c>
      <c r="E3902" s="1"/>
      <c r="H3902" s="2">
        <v>26.028710400000001</v>
      </c>
      <c r="I3902" s="2">
        <v>36.705685699999997</v>
      </c>
      <c r="J3902" s="2">
        <v>28.435146499999998</v>
      </c>
      <c r="L3902" s="2"/>
      <c r="M3902" s="2"/>
    </row>
    <row r="3903" spans="2:13">
      <c r="B3903" s="2"/>
      <c r="C3903" s="1">
        <v>18.80142747</v>
      </c>
      <c r="D3903" s="1">
        <v>0.72554115699999999</v>
      </c>
      <c r="E3903" s="1"/>
      <c r="H3903" s="2">
        <v>79.275743300000002</v>
      </c>
      <c r="I3903" s="2">
        <v>9.1880814300000004</v>
      </c>
      <c r="J3903" s="2">
        <v>14.2175732</v>
      </c>
      <c r="L3903" s="2"/>
      <c r="M3903" s="2"/>
    </row>
    <row r="3904" spans="2:13">
      <c r="B3904" s="2"/>
      <c r="C3904" s="1">
        <v>40.193032340000002</v>
      </c>
      <c r="D3904" s="1">
        <v>0.56064543899999997</v>
      </c>
      <c r="E3904" s="1"/>
      <c r="H3904" s="2">
        <v>99.528887499999996</v>
      </c>
      <c r="I3904" s="2">
        <v>9.2658147700000004</v>
      </c>
      <c r="J3904" s="2">
        <v>11.8537713</v>
      </c>
      <c r="L3904" s="2"/>
      <c r="M3904" s="2"/>
    </row>
    <row r="3905" spans="2:13">
      <c r="B3905" s="2"/>
      <c r="C3905" s="1">
        <v>114.82515979999999</v>
      </c>
      <c r="D3905" s="1">
        <v>2.0974735259999999</v>
      </c>
      <c r="E3905" s="1"/>
      <c r="H3905" s="2">
        <v>26.688945100000002</v>
      </c>
      <c r="I3905" s="2">
        <v>19.2778697</v>
      </c>
      <c r="J3905" s="2">
        <v>18.110893999999998</v>
      </c>
      <c r="L3905" s="2"/>
      <c r="M3905" s="2"/>
    </row>
    <row r="3906" spans="2:13">
      <c r="B3906" s="2"/>
      <c r="C3906" s="1">
        <v>38.478322830000003</v>
      </c>
      <c r="D3906" s="1">
        <v>2.17662347</v>
      </c>
      <c r="E3906" s="1"/>
      <c r="H3906" s="2">
        <v>14.977214999999999</v>
      </c>
      <c r="I3906" s="2">
        <v>8.9548813900000006</v>
      </c>
      <c r="J3906" s="2">
        <v>10.2199671</v>
      </c>
      <c r="L3906" s="2"/>
      <c r="M3906" s="2"/>
    </row>
    <row r="3907" spans="2:13">
      <c r="B3907" s="2"/>
      <c r="C3907" s="1">
        <v>16.573512659999999</v>
      </c>
      <c r="D3907" s="1">
        <v>0.45511217999999998</v>
      </c>
      <c r="E3907" s="1"/>
      <c r="H3907" s="2">
        <v>17.951245</v>
      </c>
      <c r="I3907" s="2">
        <v>26.118404099999999</v>
      </c>
      <c r="J3907" s="2">
        <v>26.001821</v>
      </c>
      <c r="L3907" s="2"/>
      <c r="M3907" s="2"/>
    </row>
    <row r="3908" spans="2:13">
      <c r="B3908" s="2"/>
      <c r="C3908" s="1">
        <v>5.9833701430000001</v>
      </c>
      <c r="D3908" s="1">
        <v>645.06545080000001</v>
      </c>
      <c r="E3908" s="1"/>
      <c r="H3908" s="2">
        <v>21.4308601</v>
      </c>
      <c r="I3908" s="2">
        <v>9.3746414500000004</v>
      </c>
      <c r="J3908" s="2">
        <v>16.338042600000001</v>
      </c>
      <c r="L3908" s="2"/>
      <c r="M3908" s="2"/>
    </row>
    <row r="3909" spans="2:13">
      <c r="B3909" s="2"/>
      <c r="C3909" s="1">
        <v>19.996893960000001</v>
      </c>
      <c r="D3909" s="1">
        <v>2.17662347</v>
      </c>
      <c r="E3909" s="1"/>
      <c r="H3909" s="2">
        <v>12.9489266</v>
      </c>
      <c r="I3909" s="2">
        <v>14.7693356</v>
      </c>
      <c r="J3909" s="2">
        <v>17.5894671</v>
      </c>
      <c r="L3909" s="2"/>
      <c r="M3909" s="2"/>
    </row>
    <row r="3910" spans="2:13">
      <c r="B3910" s="2"/>
      <c r="C3910" s="1">
        <v>8.947885522</v>
      </c>
      <c r="D3910" s="1">
        <v>374.22093699999999</v>
      </c>
      <c r="E3910" s="1"/>
      <c r="H3910" s="2">
        <v>25.1662417</v>
      </c>
      <c r="I3910" s="2">
        <v>5.7833608999999999</v>
      </c>
      <c r="J3910" s="2">
        <v>4.3104623000000002</v>
      </c>
      <c r="L3910" s="2"/>
      <c r="M3910" s="2"/>
    </row>
    <row r="3911" spans="2:13">
      <c r="B3911" s="2"/>
      <c r="C3911" s="1">
        <v>11.16372492</v>
      </c>
      <c r="D3911" s="1">
        <v>277.0709761</v>
      </c>
      <c r="E3911" s="1"/>
      <c r="H3911" s="2">
        <v>15.7147744</v>
      </c>
      <c r="I3911" s="2">
        <v>70.550784300000004</v>
      </c>
      <c r="J3911" s="2">
        <v>100.73967500000001</v>
      </c>
      <c r="L3911" s="2"/>
      <c r="M3911" s="2"/>
    </row>
    <row r="3912" spans="2:13">
      <c r="B3912" s="2"/>
      <c r="C3912" s="1">
        <v>33.992304650000001</v>
      </c>
      <c r="D3912" s="1">
        <v>0.310003949</v>
      </c>
      <c r="E3912" s="1"/>
      <c r="H3912" s="2">
        <v>23.714915099999999</v>
      </c>
      <c r="I3912" s="2">
        <v>50.262381099999999</v>
      </c>
      <c r="J3912" s="2">
        <v>50.926026299999997</v>
      </c>
      <c r="L3912" s="2"/>
      <c r="M3912" s="2"/>
    </row>
    <row r="3913" spans="2:13">
      <c r="B3913" s="2"/>
      <c r="C3913" s="1">
        <v>28.051198469999999</v>
      </c>
      <c r="D3913" s="1">
        <v>1.0091617909999999</v>
      </c>
      <c r="E3913" s="1"/>
      <c r="H3913" s="2">
        <v>8.0239329000000001</v>
      </c>
      <c r="I3913" s="2">
        <v>48.256860799999998</v>
      </c>
      <c r="J3913" s="2">
        <v>46.511278699999998</v>
      </c>
      <c r="L3913" s="2"/>
      <c r="M3913" s="2"/>
    </row>
    <row r="3914" spans="2:13">
      <c r="B3914" s="2"/>
      <c r="C3914" s="1">
        <v>8.0603422210000009</v>
      </c>
      <c r="D3914" s="1">
        <v>0.17808737499999999</v>
      </c>
      <c r="E3914" s="1"/>
      <c r="H3914" s="2">
        <v>89.440977799999999</v>
      </c>
      <c r="I3914" s="2">
        <v>24.004057100000001</v>
      </c>
      <c r="J3914" s="2">
        <v>44.668903700000001</v>
      </c>
      <c r="L3914" s="2"/>
      <c r="M3914" s="2"/>
    </row>
    <row r="3915" spans="2:13">
      <c r="B3915" s="2"/>
      <c r="C3915" s="1">
        <v>39.396054679999999</v>
      </c>
      <c r="D3915" s="1">
        <v>0.37596223600000001</v>
      </c>
      <c r="E3915" s="1"/>
      <c r="H3915" s="2">
        <v>61.824135300000002</v>
      </c>
      <c r="I3915" s="2">
        <v>7.1670144499999999</v>
      </c>
      <c r="J3915" s="2">
        <v>10.602346799999999</v>
      </c>
      <c r="L3915" s="2"/>
      <c r="M3915" s="2"/>
    </row>
    <row r="3916" spans="2:13">
      <c r="B3916" s="2"/>
      <c r="C3916" s="1">
        <v>21.476132799999998</v>
      </c>
      <c r="D3916" s="1">
        <v>113.51421190000001</v>
      </c>
      <c r="E3916" s="1"/>
      <c r="H3916" s="2">
        <v>50.552561699999998</v>
      </c>
      <c r="I3916" s="2">
        <v>20.568243200000001</v>
      </c>
      <c r="J3916" s="2">
        <v>41.018915399999997</v>
      </c>
      <c r="L3916" s="2"/>
      <c r="M3916" s="2"/>
    </row>
    <row r="3917" spans="2:13">
      <c r="B3917" s="2"/>
      <c r="C3917" s="1">
        <v>67.103103709999999</v>
      </c>
      <c r="D3917" s="1">
        <v>245.4044025</v>
      </c>
      <c r="E3917" s="1"/>
      <c r="H3917" s="2">
        <v>35.503970000000002</v>
      </c>
      <c r="I3917" s="2">
        <v>4.1665073100000001</v>
      </c>
      <c r="J3917" s="2">
        <v>2.3638019099999998</v>
      </c>
      <c r="L3917" s="2"/>
      <c r="M3917" s="2"/>
    </row>
    <row r="3918" spans="2:13">
      <c r="B3918" s="2"/>
      <c r="C3918" s="1">
        <v>58.825403940000001</v>
      </c>
      <c r="D3918" s="1">
        <v>0.58043292499999999</v>
      </c>
      <c r="E3918" s="1"/>
      <c r="H3918" s="2">
        <v>11.5749247</v>
      </c>
      <c r="I3918" s="2">
        <v>4.9282940999999996</v>
      </c>
      <c r="J3918" s="2">
        <v>8.9685425199999997</v>
      </c>
      <c r="L3918" s="2"/>
      <c r="M3918" s="2"/>
    </row>
    <row r="3919" spans="2:13">
      <c r="B3919" s="2"/>
      <c r="C3919" s="1">
        <v>12.4195685</v>
      </c>
      <c r="D3919" s="1">
        <v>460.53395130000001</v>
      </c>
      <c r="E3919" s="1"/>
      <c r="H3919" s="2">
        <v>33.874201499999998</v>
      </c>
      <c r="I3919" s="2">
        <v>34.871178700000002</v>
      </c>
      <c r="J3919" s="2">
        <v>58.782191500000003</v>
      </c>
      <c r="L3919" s="2"/>
      <c r="M3919" s="2"/>
    </row>
    <row r="3920" spans="2:13">
      <c r="B3920" s="2"/>
      <c r="C3920" s="1">
        <v>44.606597999999998</v>
      </c>
      <c r="D3920" s="1">
        <v>1.0223534480000001</v>
      </c>
      <c r="E3920" s="1"/>
      <c r="H3920" s="2">
        <v>3.9911482399999998</v>
      </c>
      <c r="I3920" s="2">
        <v>25.4032573</v>
      </c>
      <c r="J3920" s="2">
        <v>27.531339800000001</v>
      </c>
      <c r="L3920" s="2"/>
      <c r="M3920" s="2"/>
    </row>
    <row r="3921" spans="2:13">
      <c r="B3921" s="2"/>
      <c r="C3921" s="1">
        <v>3.8037570029999999</v>
      </c>
      <c r="D3921" s="1">
        <v>5.751562624</v>
      </c>
      <c r="E3921" s="1"/>
      <c r="H3921" s="2">
        <v>10.361520499999999</v>
      </c>
      <c r="I3921" s="2">
        <v>16.619389200000001</v>
      </c>
      <c r="J3921" s="2">
        <v>10.0809199</v>
      </c>
      <c r="L3921" s="2"/>
      <c r="M3921" s="2"/>
    </row>
    <row r="3922" spans="2:13">
      <c r="B3922" s="2"/>
      <c r="C3922" s="1">
        <v>15.631629970000001</v>
      </c>
      <c r="D3922" s="1">
        <v>0.51447463800000004</v>
      </c>
      <c r="E3922" s="1"/>
      <c r="H3922" s="2">
        <v>60.4798738</v>
      </c>
      <c r="I3922" s="2">
        <v>48.676620900000003</v>
      </c>
      <c r="J3922" s="2">
        <v>43.660811699999996</v>
      </c>
      <c r="L3922" s="2"/>
      <c r="M3922" s="2"/>
    </row>
    <row r="3923" spans="2:13">
      <c r="B3923" s="2"/>
      <c r="C3923" s="1">
        <v>67.483479410000001</v>
      </c>
      <c r="D3923" s="1">
        <v>1.4840614569999999</v>
      </c>
      <c r="E3923" s="1"/>
      <c r="H3923" s="2">
        <v>31.935134000000001</v>
      </c>
      <c r="I3923" s="2">
        <v>7.4624011599999998</v>
      </c>
      <c r="J3923" s="2">
        <v>8.9337807300000005</v>
      </c>
      <c r="L3923" s="2"/>
      <c r="M3923" s="2"/>
    </row>
    <row r="3924" spans="2:13">
      <c r="B3924" s="2"/>
      <c r="C3924" s="1">
        <v>28.05723618</v>
      </c>
      <c r="D3924" s="1">
        <v>320.99259940000002</v>
      </c>
      <c r="E3924" s="1"/>
      <c r="H3924" s="2">
        <v>10.5340142</v>
      </c>
      <c r="I3924" s="2">
        <v>60.974036099999999</v>
      </c>
      <c r="J3924" s="2">
        <v>54.367443799999997</v>
      </c>
      <c r="L3924" s="2"/>
      <c r="M3924" s="2"/>
    </row>
    <row r="3925" spans="2:13">
      <c r="B3925" s="2"/>
      <c r="C3925" s="1">
        <v>6.0014832719999998</v>
      </c>
      <c r="D3925" s="1">
        <v>0.49468715200000002</v>
      </c>
      <c r="E3925" s="1"/>
      <c r="H3925" s="2">
        <v>72.334357299999994</v>
      </c>
      <c r="I3925" s="2">
        <v>13.1369354</v>
      </c>
      <c r="J3925" s="2">
        <v>12.5490072</v>
      </c>
      <c r="L3925" s="2"/>
      <c r="M3925" s="2"/>
    </row>
    <row r="3926" spans="2:13">
      <c r="B3926" s="2"/>
      <c r="C3926" s="1">
        <v>94.743737929999995</v>
      </c>
      <c r="D3926" s="1">
        <v>9.9794888200000003</v>
      </c>
      <c r="E3926" s="1"/>
      <c r="H3926" s="2">
        <v>11.3370023</v>
      </c>
      <c r="I3926" s="2">
        <v>44.665580300000002</v>
      </c>
      <c r="J3926" s="2">
        <v>49.048889500000001</v>
      </c>
      <c r="L3926" s="2"/>
      <c r="M3926" s="2"/>
    </row>
    <row r="3927" spans="2:13">
      <c r="B3927" s="2"/>
      <c r="C3927" s="1">
        <v>31.782502959999999</v>
      </c>
      <c r="D3927" s="1">
        <v>0.38255806399999998</v>
      </c>
      <c r="E3927" s="1"/>
      <c r="H3927" s="2">
        <v>80.167952299999996</v>
      </c>
      <c r="I3927" s="2">
        <v>16.075255800000001</v>
      </c>
      <c r="J3927" s="2">
        <v>21.4480261</v>
      </c>
      <c r="L3927" s="2"/>
      <c r="M3927" s="2"/>
    </row>
    <row r="3928" spans="2:13">
      <c r="B3928" s="2"/>
      <c r="C3928" s="1">
        <v>90.722623389999995</v>
      </c>
      <c r="D3928" s="1">
        <v>2.3349233589999998</v>
      </c>
      <c r="E3928" s="1"/>
      <c r="H3928" s="2">
        <v>14.1504347</v>
      </c>
      <c r="I3928" s="2">
        <v>6.2964009799999996</v>
      </c>
      <c r="J3928" s="2">
        <v>8.1342595000000006</v>
      </c>
      <c r="L3928" s="2"/>
      <c r="M3928" s="2"/>
    </row>
    <row r="3929" spans="2:13">
      <c r="B3929" s="2"/>
      <c r="C3929" s="1">
        <v>9.3222235130000008</v>
      </c>
      <c r="D3929" s="1">
        <v>1.0157576189999999</v>
      </c>
      <c r="E3929" s="1"/>
      <c r="H3929" s="2">
        <v>51.813550399999997</v>
      </c>
      <c r="I3929" s="2">
        <v>93.808601199999998</v>
      </c>
      <c r="J3929" s="2">
        <v>94.482552600000005</v>
      </c>
      <c r="L3929" s="2"/>
      <c r="M3929" s="2"/>
    </row>
    <row r="3930" spans="2:13">
      <c r="B3930" s="2"/>
      <c r="C3930" s="1">
        <v>12.85428359</v>
      </c>
      <c r="D3930" s="1">
        <v>1.582998887</v>
      </c>
      <c r="E3930" s="1"/>
      <c r="H3930" s="2">
        <v>28.5863762</v>
      </c>
      <c r="I3930" s="2">
        <v>7.2602944599999999</v>
      </c>
      <c r="J3930" s="2">
        <v>7.7866415699999996</v>
      </c>
      <c r="L3930" s="2"/>
      <c r="M3930" s="2"/>
    </row>
    <row r="3931" spans="2:13">
      <c r="B3931" s="2"/>
      <c r="C3931" s="1">
        <v>34.39683119</v>
      </c>
      <c r="D3931" s="1">
        <v>0.52766629600000003</v>
      </c>
      <c r="E3931" s="1"/>
      <c r="H3931" s="2">
        <v>11.3667426</v>
      </c>
      <c r="I3931" s="2">
        <v>68.094410600000003</v>
      </c>
      <c r="J3931" s="2">
        <v>51.099835300000002</v>
      </c>
      <c r="L3931" s="2"/>
      <c r="M3931" s="2"/>
    </row>
    <row r="3932" spans="2:13">
      <c r="B3932" s="2"/>
      <c r="C3932" s="1">
        <v>15.058047569999999</v>
      </c>
      <c r="D3932" s="1">
        <v>1.2729949389999999</v>
      </c>
      <c r="E3932" s="1"/>
      <c r="H3932" s="2">
        <v>130.75025400000001</v>
      </c>
      <c r="I3932" s="2">
        <v>17.723202799999999</v>
      </c>
      <c r="J3932" s="2">
        <v>15.5037596</v>
      </c>
      <c r="L3932" s="2"/>
      <c r="M3932" s="2"/>
    </row>
    <row r="3933" spans="2:13">
      <c r="B3933" s="2"/>
      <c r="C3933" s="1">
        <v>128.6152884</v>
      </c>
      <c r="D3933" s="1">
        <v>0.230854004</v>
      </c>
      <c r="E3933" s="1"/>
      <c r="H3933" s="2">
        <v>5.4603190499999998</v>
      </c>
      <c r="I3933" s="2">
        <v>23.475470300000001</v>
      </c>
      <c r="J3933" s="2">
        <v>28.087528500000001</v>
      </c>
      <c r="L3933" s="2"/>
      <c r="M3933" s="2"/>
    </row>
    <row r="3934" spans="2:13">
      <c r="B3934" s="2"/>
      <c r="C3934" s="1">
        <v>8.7063771410000008</v>
      </c>
      <c r="D3934" s="1">
        <v>1.6027863739999999</v>
      </c>
      <c r="E3934" s="1"/>
      <c r="H3934" s="2">
        <v>58.451585299999998</v>
      </c>
      <c r="I3934" s="2">
        <v>17.039149299999998</v>
      </c>
      <c r="J3934" s="2">
        <v>19.1885096</v>
      </c>
      <c r="L3934" s="2"/>
      <c r="M3934" s="2"/>
    </row>
    <row r="3935" spans="2:13">
      <c r="B3935" s="2"/>
      <c r="C3935" s="1">
        <v>35.900220859999997</v>
      </c>
      <c r="D3935" s="1">
        <v>0.87064938800000002</v>
      </c>
      <c r="E3935" s="1"/>
      <c r="H3935" s="2">
        <v>19.646442100000002</v>
      </c>
      <c r="I3935" s="2">
        <v>21.019096600000001</v>
      </c>
      <c r="J3935" s="2">
        <v>20.127078000000001</v>
      </c>
      <c r="L3935" s="2"/>
      <c r="M3935" s="2"/>
    </row>
    <row r="3936" spans="2:13">
      <c r="B3936" s="2"/>
      <c r="C3936" s="1">
        <v>16.102571309999998</v>
      </c>
      <c r="D3936" s="1">
        <v>0.73873281400000002</v>
      </c>
      <c r="E3936" s="1"/>
      <c r="H3936" s="2">
        <v>32.625108900000001</v>
      </c>
      <c r="I3936" s="2">
        <v>14.8781623</v>
      </c>
      <c r="J3936" s="2">
        <v>9.0380661100000008</v>
      </c>
      <c r="L3936" s="2"/>
      <c r="M3936" s="2"/>
    </row>
    <row r="3937" spans="2:13">
      <c r="B3937" s="2"/>
      <c r="C3937" s="1">
        <v>12.57051124</v>
      </c>
      <c r="D3937" s="1">
        <v>1.035545106</v>
      </c>
      <c r="E3937" s="1"/>
      <c r="H3937" s="2">
        <v>20.235299999999999</v>
      </c>
      <c r="I3937" s="2">
        <v>59.8857693</v>
      </c>
      <c r="J3937" s="2">
        <v>41.644627700000001</v>
      </c>
      <c r="L3937" s="2"/>
      <c r="M3937" s="2"/>
    </row>
    <row r="3938" spans="2:13">
      <c r="B3938" s="2"/>
      <c r="C3938" s="1">
        <v>8.9056215559999998</v>
      </c>
      <c r="D3938" s="1">
        <v>1.4444864850000001</v>
      </c>
      <c r="E3938" s="1"/>
      <c r="H3938" s="2">
        <v>24.279980800000001</v>
      </c>
      <c r="I3938" s="2">
        <v>16.712669300000002</v>
      </c>
      <c r="J3938" s="2">
        <v>15.8166157</v>
      </c>
      <c r="L3938" s="2"/>
      <c r="M3938" s="2"/>
    </row>
    <row r="3939" spans="2:13">
      <c r="B3939" s="2"/>
      <c r="C3939" s="1">
        <v>14.70786041</v>
      </c>
      <c r="D3939" s="1">
        <v>8.5745772999999997E-2</v>
      </c>
      <c r="E3939" s="1"/>
      <c r="H3939" s="2">
        <v>10.8433133</v>
      </c>
      <c r="I3939" s="2">
        <v>15.049175699999999</v>
      </c>
      <c r="J3939" s="2">
        <v>15.1213798</v>
      </c>
      <c r="L3939" s="2"/>
      <c r="M3939" s="2"/>
    </row>
    <row r="3940" spans="2:13">
      <c r="B3940" s="2"/>
      <c r="C3940" s="1">
        <v>6.0256341100000004</v>
      </c>
      <c r="D3940" s="1">
        <v>2.8164188540000001</v>
      </c>
      <c r="E3940" s="1"/>
      <c r="H3940" s="2">
        <v>54.561554100000002</v>
      </c>
      <c r="I3940" s="2">
        <v>14.505042299999999</v>
      </c>
      <c r="J3940" s="2">
        <v>9.8723491400000007</v>
      </c>
      <c r="L3940" s="2"/>
      <c r="M3940" s="2"/>
    </row>
    <row r="3941" spans="2:13">
      <c r="B3941" s="2"/>
      <c r="C3941" s="1">
        <v>16.51917327</v>
      </c>
      <c r="D3941" s="1">
        <v>0.31659977700000003</v>
      </c>
      <c r="E3941" s="1"/>
      <c r="H3941" s="2">
        <v>23.6613826</v>
      </c>
      <c r="I3941" s="2">
        <v>28.932351199999999</v>
      </c>
      <c r="J3941" s="2">
        <v>33.440844599999998</v>
      </c>
      <c r="L3941" s="2"/>
      <c r="M3941" s="2"/>
    </row>
    <row r="3942" spans="2:13">
      <c r="B3942" s="2"/>
      <c r="C3942" s="1">
        <v>12.58258666</v>
      </c>
      <c r="D3942" s="1">
        <v>0.34957892099999999</v>
      </c>
      <c r="E3942" s="1"/>
      <c r="H3942" s="2">
        <v>15.762358900000001</v>
      </c>
      <c r="I3942" s="2">
        <v>2.5962937400000001</v>
      </c>
      <c r="J3942" s="2">
        <v>1.7380896400000001</v>
      </c>
      <c r="L3942" s="2"/>
      <c r="M3942" s="2"/>
    </row>
    <row r="3943" spans="2:13">
      <c r="B3943" s="2"/>
      <c r="C3943" s="1">
        <v>23.673859060000002</v>
      </c>
      <c r="D3943" s="1">
        <v>7.5720113449999999</v>
      </c>
      <c r="E3943" s="1"/>
      <c r="H3943" s="2">
        <v>15.637449699999999</v>
      </c>
      <c r="I3943" s="2">
        <v>49.609420999999998</v>
      </c>
      <c r="J3943" s="2">
        <v>59.755521700000003</v>
      </c>
      <c r="L3943" s="2"/>
      <c r="M3943" s="2"/>
    </row>
    <row r="3944" spans="2:13">
      <c r="B3944" s="2"/>
      <c r="C3944" s="1">
        <v>38.00738149</v>
      </c>
      <c r="D3944" s="1">
        <v>2.031515239</v>
      </c>
      <c r="E3944" s="1"/>
      <c r="H3944" s="2">
        <v>43.825305899999996</v>
      </c>
      <c r="I3944" s="2">
        <v>8.8305080399999998</v>
      </c>
      <c r="J3944" s="2">
        <v>4.7623655999999999</v>
      </c>
      <c r="L3944" s="2"/>
      <c r="M3944" s="2"/>
    </row>
    <row r="3945" spans="2:13">
      <c r="B3945" s="2"/>
      <c r="C3945" s="1">
        <v>19.870102060000001</v>
      </c>
      <c r="D3945" s="1">
        <v>1.0289492769999999</v>
      </c>
      <c r="E3945" s="1"/>
      <c r="H3945" s="2">
        <v>2.4624968300000001</v>
      </c>
      <c r="I3945" s="2">
        <v>6.3274943199999996</v>
      </c>
      <c r="J3945" s="2">
        <v>6.2571226900000001</v>
      </c>
      <c r="L3945" s="2"/>
      <c r="M3945" s="2"/>
    </row>
    <row r="3946" spans="2:13">
      <c r="B3946" s="2"/>
      <c r="C3946" s="1">
        <v>0.82112849600000004</v>
      </c>
      <c r="D3946" s="1">
        <v>5.336025416</v>
      </c>
      <c r="E3946" s="1"/>
      <c r="H3946" s="2">
        <v>64.2866322</v>
      </c>
      <c r="I3946" s="2">
        <v>126.20786</v>
      </c>
      <c r="J3946" s="2">
        <v>180.34418099999999</v>
      </c>
      <c r="L3946" s="2"/>
      <c r="M3946" s="2"/>
    </row>
    <row r="3947" spans="2:13">
      <c r="B3947" s="2"/>
      <c r="C3947" s="1">
        <v>71.607235020000005</v>
      </c>
      <c r="D3947" s="1">
        <v>3.891538932</v>
      </c>
      <c r="E3947" s="1"/>
      <c r="H3947" s="2">
        <v>7.9287639399999996</v>
      </c>
      <c r="I3947" s="2">
        <v>40.452432899999998</v>
      </c>
      <c r="J3947" s="2">
        <v>41.018915399999997</v>
      </c>
      <c r="L3947" s="2"/>
      <c r="M3947" s="2"/>
    </row>
    <row r="3948" spans="2:13">
      <c r="B3948" s="2"/>
      <c r="C3948" s="1">
        <v>10.62033106</v>
      </c>
      <c r="D3948" s="1">
        <v>0.89043687400000004</v>
      </c>
      <c r="E3948" s="1"/>
      <c r="H3948" s="2">
        <v>8.1250499200000004</v>
      </c>
      <c r="I3948" s="2">
        <v>31.792938299999999</v>
      </c>
      <c r="J3948" s="2">
        <v>18.423750099999999</v>
      </c>
      <c r="L3948" s="2"/>
      <c r="M3948" s="2"/>
    </row>
    <row r="3949" spans="2:13">
      <c r="B3949" s="2"/>
      <c r="C3949" s="1">
        <v>14.62333248</v>
      </c>
      <c r="D3949" s="1">
        <v>4.5841009450000003</v>
      </c>
      <c r="E3949" s="1"/>
      <c r="H3949" s="2">
        <v>181.921414</v>
      </c>
      <c r="I3949" s="2">
        <v>38.104885899999999</v>
      </c>
      <c r="J3949" s="2">
        <v>57.113625499999998</v>
      </c>
      <c r="L3949" s="2"/>
      <c r="M3949" s="2"/>
    </row>
    <row r="3950" spans="2:13">
      <c r="B3950" s="2"/>
      <c r="C3950" s="1">
        <v>79.752105169999993</v>
      </c>
      <c r="D3950" s="1">
        <v>3.9904763619999999</v>
      </c>
      <c r="E3950" s="1"/>
      <c r="H3950" s="2">
        <v>40.333794699999999</v>
      </c>
      <c r="I3950" s="2">
        <v>38.524645999999997</v>
      </c>
      <c r="J3950" s="2">
        <v>22.108500200000002</v>
      </c>
      <c r="L3950" s="2"/>
      <c r="M3950" s="2"/>
    </row>
    <row r="3951" spans="2:13">
      <c r="B3951" s="2"/>
      <c r="C3951" s="1">
        <v>52.9084486</v>
      </c>
      <c r="D3951" s="1">
        <v>2.7240772519999998</v>
      </c>
      <c r="E3951" s="1"/>
      <c r="H3951" s="2">
        <v>22.620472100000001</v>
      </c>
      <c r="I3951" s="2">
        <v>15.919789099999999</v>
      </c>
      <c r="J3951" s="2">
        <v>15.1561416</v>
      </c>
      <c r="L3951" s="2"/>
      <c r="M3951" s="2"/>
    </row>
    <row r="3952" spans="2:13">
      <c r="B3952" s="2"/>
      <c r="C3952" s="1">
        <v>16.21125009</v>
      </c>
      <c r="D3952" s="1">
        <v>67.284048540000001</v>
      </c>
      <c r="E3952" s="1"/>
      <c r="H3952" s="2">
        <v>69.836172099999999</v>
      </c>
      <c r="I3952" s="2">
        <v>82.770466200000001</v>
      </c>
      <c r="J3952" s="2">
        <v>67.959304799999998</v>
      </c>
      <c r="L3952" s="2"/>
      <c r="M3952" s="2"/>
    </row>
    <row r="3953" spans="2:13">
      <c r="B3953" s="2"/>
      <c r="C3953" s="1">
        <v>106.776893</v>
      </c>
      <c r="D3953" s="1">
        <v>101.16682059999999</v>
      </c>
      <c r="E3953" s="1"/>
      <c r="H3953" s="2">
        <v>31.328431899999998</v>
      </c>
      <c r="I3953" s="2">
        <v>41.9293665</v>
      </c>
      <c r="J3953" s="2">
        <v>49.396507499999998</v>
      </c>
      <c r="L3953" s="2"/>
      <c r="M3953" s="2"/>
    </row>
    <row r="3954" spans="2:13">
      <c r="B3954" s="2"/>
      <c r="C3954" s="1">
        <v>10.32448329</v>
      </c>
      <c r="D3954" s="1">
        <v>0.80469110099999996</v>
      </c>
      <c r="E3954" s="1"/>
      <c r="H3954" s="2">
        <v>19.9676373</v>
      </c>
      <c r="I3954" s="2">
        <v>19.137949599999999</v>
      </c>
      <c r="J3954" s="2">
        <v>25.688964800000001</v>
      </c>
      <c r="L3954" s="2"/>
      <c r="M3954" s="2"/>
    </row>
    <row r="3955" spans="2:13">
      <c r="B3955" s="2"/>
      <c r="C3955" s="1">
        <v>21.95914956</v>
      </c>
      <c r="D3955" s="1">
        <v>1.154270022</v>
      </c>
      <c r="E3955" s="1"/>
      <c r="H3955" s="2">
        <v>96.192025799999996</v>
      </c>
      <c r="I3955" s="2">
        <v>9.2969081100000004</v>
      </c>
      <c r="J3955" s="2">
        <v>12.3751982</v>
      </c>
      <c r="L3955" s="2"/>
      <c r="M3955" s="2"/>
    </row>
    <row r="3956" spans="2:13">
      <c r="B3956" s="2"/>
      <c r="C3956" s="1">
        <v>106.0463302</v>
      </c>
      <c r="D3956" s="1">
        <v>1.7610862620000001</v>
      </c>
      <c r="E3956" s="1"/>
      <c r="H3956" s="2">
        <v>61.395874999999997</v>
      </c>
      <c r="I3956" s="2">
        <v>5.5657075300000001</v>
      </c>
      <c r="J3956" s="2">
        <v>5.4228396700000001</v>
      </c>
      <c r="L3956" s="2"/>
      <c r="M3956" s="2"/>
    </row>
    <row r="3957" spans="2:13">
      <c r="B3957" s="2"/>
      <c r="C3957" s="1">
        <v>36.77568874</v>
      </c>
      <c r="D3957" s="1">
        <v>0.63979538400000002</v>
      </c>
      <c r="E3957" s="1"/>
      <c r="H3957" s="2">
        <v>28.919467600000001</v>
      </c>
      <c r="I3957" s="2">
        <v>12.126401899999999</v>
      </c>
      <c r="J3957" s="2">
        <v>13.5223374</v>
      </c>
      <c r="L3957" s="2"/>
      <c r="M3957" s="2"/>
    </row>
    <row r="3958" spans="2:13">
      <c r="B3958" s="2"/>
      <c r="C3958" s="1">
        <v>34.137209679999998</v>
      </c>
      <c r="D3958" s="1">
        <v>2.5921606779999999</v>
      </c>
      <c r="E3958" s="1"/>
      <c r="H3958" s="2">
        <v>13.3771869</v>
      </c>
      <c r="I3958" s="2">
        <v>12.1574952</v>
      </c>
      <c r="J3958" s="2">
        <v>12.827101499999999</v>
      </c>
      <c r="L3958" s="2"/>
      <c r="M3958" s="2"/>
    </row>
    <row r="3959" spans="2:13">
      <c r="B3959" s="2"/>
      <c r="C3959" s="1">
        <v>23.051974980000001</v>
      </c>
      <c r="D3959" s="1">
        <v>0.57383709699999996</v>
      </c>
      <c r="E3959" s="1"/>
      <c r="H3959" s="2">
        <v>7.9882445400000002</v>
      </c>
      <c r="I3959" s="2">
        <v>32.057231600000001</v>
      </c>
      <c r="J3959" s="2">
        <v>31.320375200000001</v>
      </c>
      <c r="L3959" s="2"/>
      <c r="M3959" s="2"/>
    </row>
    <row r="3960" spans="2:13">
      <c r="B3960" s="2"/>
      <c r="C3960" s="1">
        <v>7.3056285299999999</v>
      </c>
      <c r="D3960" s="1">
        <v>5.9956082860000004</v>
      </c>
      <c r="E3960" s="1"/>
      <c r="H3960" s="2">
        <v>14.3288765</v>
      </c>
      <c r="I3960" s="2">
        <v>12.0486685</v>
      </c>
      <c r="J3960" s="2">
        <v>13.0704341</v>
      </c>
      <c r="L3960" s="2"/>
      <c r="M3960" s="2"/>
    </row>
    <row r="3961" spans="2:13">
      <c r="B3961" s="2"/>
      <c r="C3961" s="1">
        <v>6.2369539439999997</v>
      </c>
      <c r="D3961" s="1">
        <v>8.0864859829999993</v>
      </c>
      <c r="E3961" s="1"/>
      <c r="H3961" s="2">
        <v>14.0552657</v>
      </c>
      <c r="I3961" s="2">
        <v>91.010200800000007</v>
      </c>
      <c r="J3961" s="2">
        <v>88.434000699999999</v>
      </c>
      <c r="L3961" s="2"/>
      <c r="M3961" s="2"/>
    </row>
    <row r="3962" spans="2:13">
      <c r="B3962" s="2"/>
      <c r="C3962" s="1">
        <v>19.622555970000001</v>
      </c>
      <c r="D3962" s="1">
        <v>2.2689650719999999</v>
      </c>
      <c r="E3962" s="1"/>
      <c r="H3962" s="2">
        <v>37.2824399</v>
      </c>
      <c r="I3962" s="2">
        <v>7.4468544899999998</v>
      </c>
      <c r="J3962" s="2">
        <v>8.1690212899999999</v>
      </c>
      <c r="L3962" s="2"/>
      <c r="M3962" s="2"/>
    </row>
    <row r="3963" spans="2:13">
      <c r="B3963" s="2"/>
      <c r="C3963" s="1">
        <v>13.03541487</v>
      </c>
      <c r="D3963" s="1">
        <v>1.1806533370000001</v>
      </c>
      <c r="E3963" s="1"/>
      <c r="H3963" s="2">
        <v>11.533288300000001</v>
      </c>
      <c r="I3963" s="2">
        <v>46.391260500000001</v>
      </c>
      <c r="J3963" s="2">
        <v>69.210729299999997</v>
      </c>
      <c r="L3963" s="2"/>
      <c r="M3963" s="2"/>
    </row>
    <row r="3964" spans="2:13">
      <c r="B3964" s="2"/>
      <c r="C3964" s="1">
        <v>9.461090832</v>
      </c>
      <c r="D3964" s="1">
        <v>4.5181426580000004</v>
      </c>
      <c r="E3964" s="1"/>
      <c r="H3964" s="2">
        <v>71.781187700000004</v>
      </c>
      <c r="I3964" s="2">
        <v>91.725347600000006</v>
      </c>
      <c r="J3964" s="2">
        <v>112.106782</v>
      </c>
      <c r="L3964" s="2"/>
      <c r="M3964" s="2"/>
    </row>
    <row r="3965" spans="2:13">
      <c r="B3965" s="2"/>
      <c r="C3965" s="1">
        <v>46.454137119999999</v>
      </c>
      <c r="D3965" s="1">
        <v>178.7007869</v>
      </c>
      <c r="E3965" s="1"/>
      <c r="H3965" s="2">
        <v>11.390534799999999</v>
      </c>
      <c r="I3965" s="2">
        <v>23.553203700000001</v>
      </c>
      <c r="J3965" s="2">
        <v>39.558920100000002</v>
      </c>
      <c r="L3965" s="2"/>
      <c r="M3965" s="2"/>
    </row>
    <row r="3966" spans="2:13">
      <c r="B3966" s="2"/>
      <c r="C3966" s="1">
        <v>12.33504057</v>
      </c>
      <c r="D3966" s="1">
        <v>2.4272649610000001</v>
      </c>
      <c r="E3966" s="1"/>
      <c r="H3966" s="2">
        <v>75.005036200000006</v>
      </c>
      <c r="I3966" s="2">
        <v>23.693123700000001</v>
      </c>
      <c r="J3966" s="2">
        <v>18.319464799999999</v>
      </c>
      <c r="L3966" s="2"/>
      <c r="M3966" s="2"/>
    </row>
    <row r="3967" spans="2:13">
      <c r="B3967" s="2"/>
      <c r="C3967" s="1">
        <v>88.49470857</v>
      </c>
      <c r="D3967" s="1">
        <v>2.7966313679999999</v>
      </c>
      <c r="E3967" s="1"/>
      <c r="H3967" s="2">
        <v>137.95930300000001</v>
      </c>
      <c r="I3967" s="2">
        <v>21.796430000000001</v>
      </c>
      <c r="J3967" s="2">
        <v>31.946087500000001</v>
      </c>
      <c r="L3967" s="2"/>
      <c r="M3967" s="2"/>
    </row>
    <row r="3968" spans="2:13">
      <c r="B3968" s="2"/>
      <c r="C3968" s="1">
        <v>86.930941799999999</v>
      </c>
      <c r="D3968" s="1">
        <v>0.59362458299999998</v>
      </c>
      <c r="E3968" s="1"/>
      <c r="H3968" s="2">
        <v>41.297380400000002</v>
      </c>
      <c r="I3968" s="2">
        <v>89.782013899999995</v>
      </c>
      <c r="J3968" s="2">
        <v>144.95667599999999</v>
      </c>
      <c r="L3968" s="2"/>
      <c r="M3968" s="2"/>
    </row>
    <row r="3969" spans="2:13">
      <c r="B3969" s="2"/>
      <c r="C3969" s="1">
        <v>31.1123172</v>
      </c>
      <c r="D3969" s="1">
        <v>0.91682018899999995</v>
      </c>
      <c r="E3969" s="1"/>
      <c r="H3969" s="2">
        <v>16.719996600000002</v>
      </c>
      <c r="I3969" s="2">
        <v>12.0020285</v>
      </c>
      <c r="J3969" s="2">
        <v>8.2037830799999991</v>
      </c>
      <c r="L3969" s="2"/>
      <c r="M3969" s="2"/>
    </row>
    <row r="3970" spans="2:13">
      <c r="B3970" s="2"/>
      <c r="C3970" s="1">
        <v>16.754643940000001</v>
      </c>
      <c r="D3970" s="1">
        <v>0.310003949</v>
      </c>
      <c r="E3970" s="1"/>
      <c r="H3970" s="2">
        <v>34.528488099999997</v>
      </c>
      <c r="I3970" s="2">
        <v>8.1620012699999993</v>
      </c>
      <c r="J3970" s="2">
        <v>8.6556863899999996</v>
      </c>
      <c r="L3970" s="2"/>
      <c r="M3970" s="2"/>
    </row>
    <row r="3971" spans="2:13">
      <c r="B3971" s="2"/>
      <c r="C3971" s="1">
        <v>117.10741400000001</v>
      </c>
      <c r="D3971" s="1">
        <v>0.93001184599999998</v>
      </c>
      <c r="E3971" s="1"/>
      <c r="H3971" s="2">
        <v>149.76620199999999</v>
      </c>
      <c r="I3971" s="2">
        <v>5.3480541600000002</v>
      </c>
      <c r="J3971" s="2">
        <v>2.53761087</v>
      </c>
      <c r="L3971" s="2"/>
      <c r="M3971" s="2"/>
    </row>
    <row r="3972" spans="2:13">
      <c r="B3972" s="2"/>
      <c r="C3972" s="1">
        <v>94.77392648</v>
      </c>
      <c r="D3972" s="1">
        <v>3.4496184090000002</v>
      </c>
      <c r="E3972" s="1"/>
      <c r="H3972" s="2">
        <v>12.7169522</v>
      </c>
      <c r="I3972" s="2">
        <v>12.5461619</v>
      </c>
      <c r="J3972" s="2">
        <v>8.7947335599999992</v>
      </c>
      <c r="L3972" s="2"/>
      <c r="M3972" s="2"/>
    </row>
    <row r="3973" spans="2:13">
      <c r="B3973" s="2"/>
      <c r="C3973" s="1">
        <v>21.228586700000001</v>
      </c>
      <c r="D3973" s="1">
        <v>3.5353641819999999</v>
      </c>
      <c r="E3973" s="1"/>
      <c r="H3973" s="2">
        <v>12.586094900000001</v>
      </c>
      <c r="I3973" s="2">
        <v>6.1564809599999997</v>
      </c>
      <c r="J3973" s="2">
        <v>7.4737854400000003</v>
      </c>
      <c r="L3973" s="2"/>
      <c r="M3973" s="2"/>
    </row>
    <row r="3974" spans="2:13">
      <c r="B3974" s="2"/>
      <c r="C3974" s="1">
        <v>14.303333869999999</v>
      </c>
      <c r="D3974" s="1">
        <v>1.0949075640000001</v>
      </c>
      <c r="E3974" s="1"/>
      <c r="H3974" s="2">
        <v>5.3829942700000002</v>
      </c>
      <c r="I3974" s="2">
        <v>35.601872200000003</v>
      </c>
      <c r="J3974" s="2">
        <v>25.619441200000001</v>
      </c>
      <c r="L3974" s="2"/>
      <c r="M3974" s="2"/>
    </row>
    <row r="3975" spans="2:13">
      <c r="B3975" s="2"/>
      <c r="C3975" s="1">
        <v>13.621072699999999</v>
      </c>
      <c r="D3975" s="1">
        <v>0.18468320399999999</v>
      </c>
      <c r="E3975" s="1"/>
      <c r="H3975" s="2">
        <v>13.496148099999999</v>
      </c>
      <c r="I3975" s="2">
        <v>23.833043700000001</v>
      </c>
      <c r="J3975" s="2">
        <v>53.985064100000002</v>
      </c>
      <c r="L3975" s="2"/>
      <c r="M3975" s="2"/>
    </row>
    <row r="3976" spans="2:13">
      <c r="B3976" s="2"/>
      <c r="C3976" s="1">
        <v>9.8233534040000006</v>
      </c>
      <c r="D3976" s="1">
        <v>0.19787486100000001</v>
      </c>
      <c r="E3976" s="1"/>
      <c r="H3976" s="2">
        <v>6.6142426900000002</v>
      </c>
      <c r="I3976" s="2">
        <v>44.6500336</v>
      </c>
      <c r="J3976" s="2">
        <v>41.679389499999999</v>
      </c>
      <c r="L3976" s="2"/>
      <c r="M3976" s="2"/>
    </row>
    <row r="3977" spans="2:13">
      <c r="B3977" s="2"/>
      <c r="C3977" s="1">
        <v>8.7305279789999997</v>
      </c>
      <c r="D3977" s="1">
        <v>0.158299889</v>
      </c>
      <c r="E3977" s="1"/>
      <c r="H3977" s="2">
        <v>22.132731100000001</v>
      </c>
      <c r="I3977" s="2">
        <v>21.112376600000001</v>
      </c>
      <c r="J3977" s="2">
        <v>22.977544999999999</v>
      </c>
      <c r="L3977" s="2"/>
      <c r="M3977" s="2"/>
    </row>
    <row r="3978" spans="2:13">
      <c r="B3978" s="2"/>
      <c r="C3978" s="1">
        <v>21.470095090000001</v>
      </c>
      <c r="D3978" s="1">
        <v>0.50128298100000002</v>
      </c>
      <c r="E3978" s="1"/>
      <c r="H3978" s="2">
        <v>57.404726799999999</v>
      </c>
      <c r="I3978" s="2">
        <v>4.275334</v>
      </c>
      <c r="J3978" s="2">
        <v>4.8318891900000001</v>
      </c>
      <c r="L3978" s="2"/>
      <c r="M3978" s="2"/>
    </row>
    <row r="3979" spans="2:13">
      <c r="B3979" s="2"/>
      <c r="C3979" s="1">
        <v>32.863252969999998</v>
      </c>
      <c r="D3979" s="1">
        <v>2.9549312570000001</v>
      </c>
      <c r="E3979" s="1"/>
      <c r="H3979" s="2">
        <v>42.385875300000002</v>
      </c>
      <c r="I3979" s="2">
        <v>4.5551740399999998</v>
      </c>
      <c r="J3979" s="2">
        <v>4.9014127700000003</v>
      </c>
      <c r="L3979" s="2"/>
      <c r="M3979" s="2"/>
    </row>
    <row r="3980" spans="2:13">
      <c r="B3980" s="2"/>
      <c r="C3980" s="1">
        <v>60.739357859999998</v>
      </c>
      <c r="D3980" s="1">
        <v>0.29681229100000001</v>
      </c>
      <c r="E3980" s="1"/>
      <c r="H3980" s="2">
        <v>30.4064826</v>
      </c>
      <c r="I3980" s="2">
        <v>3.2492538400000002</v>
      </c>
      <c r="J3980" s="2">
        <v>3.54570286</v>
      </c>
      <c r="L3980" s="2"/>
      <c r="M3980" s="2"/>
    </row>
    <row r="3981" spans="2:13">
      <c r="B3981" s="2"/>
      <c r="C3981" s="1">
        <v>19.92444145</v>
      </c>
      <c r="D3981" s="1">
        <v>2.104069355</v>
      </c>
      <c r="E3981" s="1"/>
      <c r="H3981" s="2">
        <v>5.3532539699999999</v>
      </c>
      <c r="I3981" s="2">
        <v>8.7372280199999999</v>
      </c>
      <c r="J3981" s="2">
        <v>5.8399811799999997</v>
      </c>
      <c r="L3981" s="2"/>
      <c r="M3981" s="2"/>
    </row>
    <row r="3982" spans="2:13">
      <c r="B3982" s="2"/>
      <c r="C3982" s="1">
        <v>6.3577081340000001</v>
      </c>
      <c r="D3982" s="1">
        <v>0.30340812</v>
      </c>
      <c r="E3982" s="1"/>
      <c r="H3982" s="2">
        <v>6.1562420700000002</v>
      </c>
      <c r="I3982" s="2">
        <v>60.958489499999999</v>
      </c>
      <c r="J3982" s="2">
        <v>44.182238599999998</v>
      </c>
      <c r="L3982" s="2"/>
      <c r="M3982" s="2"/>
    </row>
    <row r="3983" spans="2:13">
      <c r="B3983" s="2"/>
      <c r="C3983" s="1">
        <v>1.527540511</v>
      </c>
      <c r="D3983" s="1">
        <v>495.86780570000002</v>
      </c>
      <c r="E3983" s="1"/>
      <c r="H3983" s="2">
        <v>5.4127345699999996</v>
      </c>
      <c r="I3983" s="2">
        <v>6.6073343600000003</v>
      </c>
      <c r="J3983" s="2">
        <v>10.1852053</v>
      </c>
      <c r="L3983" s="2"/>
      <c r="M3983" s="2"/>
    </row>
    <row r="3984" spans="2:13">
      <c r="B3984" s="2"/>
      <c r="C3984" s="1">
        <v>3.1818729220000002</v>
      </c>
      <c r="D3984" s="1">
        <v>0.54745378200000006</v>
      </c>
      <c r="E3984" s="1"/>
      <c r="H3984" s="2">
        <v>9.2254410100000008</v>
      </c>
      <c r="I3984" s="2">
        <v>33.5808052</v>
      </c>
      <c r="J3984" s="2">
        <v>36.9865475</v>
      </c>
      <c r="L3984" s="2"/>
      <c r="M3984" s="2"/>
    </row>
    <row r="3985" spans="2:13">
      <c r="B3985" s="2"/>
      <c r="C3985" s="1">
        <v>17.165208190000001</v>
      </c>
      <c r="D3985" s="1">
        <v>0.64639121200000005</v>
      </c>
      <c r="E3985" s="1"/>
      <c r="H3985" s="2">
        <v>56.7504402</v>
      </c>
      <c r="I3985" s="2">
        <v>6.7628010500000002</v>
      </c>
      <c r="J3985" s="2">
        <v>5.4576014600000002</v>
      </c>
      <c r="L3985" s="2"/>
      <c r="M3985" s="2"/>
    </row>
    <row r="3986" spans="2:13">
      <c r="B3986" s="2"/>
      <c r="C3986" s="1">
        <v>35.471543480000001</v>
      </c>
      <c r="D3986" s="1">
        <v>1.523636429</v>
      </c>
      <c r="E3986" s="1"/>
      <c r="H3986" s="2">
        <v>10.2068709</v>
      </c>
      <c r="I3986" s="2">
        <v>44.681126900000002</v>
      </c>
      <c r="J3986" s="2">
        <v>60.589804700000002</v>
      </c>
      <c r="L3986" s="2"/>
      <c r="M3986" s="2"/>
    </row>
    <row r="3987" spans="2:13">
      <c r="B3987" s="2"/>
      <c r="C3987" s="1">
        <v>5.258845</v>
      </c>
      <c r="D3987" s="1">
        <v>1.154270022</v>
      </c>
      <c r="E3987" s="1"/>
      <c r="H3987" s="2">
        <v>37.264595700000001</v>
      </c>
      <c r="I3987" s="2">
        <v>15.842055800000001</v>
      </c>
      <c r="J3987" s="2">
        <v>13.835193500000001</v>
      </c>
      <c r="L3987" s="2"/>
      <c r="M3987" s="2"/>
    </row>
    <row r="3988" spans="2:13">
      <c r="B3988" s="2"/>
      <c r="C3988" s="1">
        <v>18.282184449999999</v>
      </c>
      <c r="D3988" s="1">
        <v>3.225360233</v>
      </c>
      <c r="E3988" s="1"/>
      <c r="H3988" s="2">
        <v>7.6432570599999998</v>
      </c>
      <c r="I3988" s="2">
        <v>9.0481613999999997</v>
      </c>
      <c r="J3988" s="2">
        <v>8.0299741200000003</v>
      </c>
      <c r="L3988" s="2"/>
      <c r="M3988" s="2"/>
    </row>
    <row r="3989" spans="2:13">
      <c r="B3989" s="2"/>
      <c r="C3989" s="1">
        <v>5.3071466760000003</v>
      </c>
      <c r="D3989" s="1">
        <v>0.59362458299999998</v>
      </c>
      <c r="E3989" s="1"/>
      <c r="H3989" s="2">
        <v>69.687470599999997</v>
      </c>
      <c r="I3989" s="2">
        <v>29.787417999999999</v>
      </c>
      <c r="J3989" s="2">
        <v>30.5903776</v>
      </c>
      <c r="L3989" s="2"/>
      <c r="M3989" s="2"/>
    </row>
    <row r="3990" spans="2:13">
      <c r="B3990" s="2"/>
      <c r="C3990" s="1">
        <v>42.40283402</v>
      </c>
      <c r="D3990" s="1">
        <v>1.4246989990000001</v>
      </c>
      <c r="E3990" s="1"/>
      <c r="H3990" s="2">
        <v>16.416645500000001</v>
      </c>
      <c r="I3990" s="2">
        <v>14.9248023</v>
      </c>
      <c r="J3990" s="2">
        <v>11.401868</v>
      </c>
      <c r="L3990" s="2"/>
      <c r="M3990" s="2"/>
    </row>
    <row r="3991" spans="2:13">
      <c r="B3991" s="2"/>
      <c r="C3991" s="1">
        <v>18.076902329999999</v>
      </c>
      <c r="D3991" s="1">
        <v>0.93001184599999998</v>
      </c>
      <c r="E3991" s="1"/>
      <c r="H3991" s="2">
        <v>10.3972088</v>
      </c>
      <c r="I3991" s="2">
        <v>51.770408000000003</v>
      </c>
      <c r="J3991" s="2">
        <v>40.949391800000001</v>
      </c>
      <c r="L3991" s="2"/>
      <c r="M3991" s="2"/>
    </row>
    <row r="3992" spans="2:13">
      <c r="B3992" s="2"/>
      <c r="C3992" s="1">
        <v>11.51391207</v>
      </c>
      <c r="D3992" s="1">
        <v>1.8798111790000001</v>
      </c>
      <c r="E3992" s="1"/>
      <c r="H3992" s="2">
        <v>36.883919900000002</v>
      </c>
      <c r="I3992" s="2">
        <v>5.3169608300000002</v>
      </c>
      <c r="J3992" s="2">
        <v>3.3023703100000001</v>
      </c>
      <c r="L3992" s="2"/>
      <c r="M3992" s="2"/>
    </row>
    <row r="3993" spans="2:13">
      <c r="B3993" s="2"/>
      <c r="C3993" s="1">
        <v>44.660937390000001</v>
      </c>
      <c r="D3993" s="1">
        <v>0.28362063399999998</v>
      </c>
      <c r="E3993" s="1"/>
      <c r="H3993" s="2">
        <v>18.825609799999999</v>
      </c>
      <c r="I3993" s="2">
        <v>17.8786694</v>
      </c>
      <c r="J3993" s="2">
        <v>22.977544999999999</v>
      </c>
      <c r="L3993" s="2"/>
      <c r="M3993" s="2"/>
    </row>
    <row r="3994" spans="2:13">
      <c r="B3994" s="2"/>
      <c r="C3994" s="1">
        <v>13.48220538</v>
      </c>
      <c r="D3994" s="1">
        <v>0.44851635099999998</v>
      </c>
      <c r="E3994" s="1"/>
      <c r="H3994" s="2">
        <v>58.748988300000001</v>
      </c>
      <c r="I3994" s="2">
        <v>13.307948700000001</v>
      </c>
      <c r="J3994" s="2">
        <v>12.5142454</v>
      </c>
      <c r="L3994" s="2"/>
      <c r="M3994" s="2"/>
    </row>
    <row r="3995" spans="2:13">
      <c r="B3995" s="2"/>
      <c r="C3995" s="1">
        <v>84.407179220000003</v>
      </c>
      <c r="D3995" s="1">
        <v>0.93660767499999997</v>
      </c>
      <c r="E3995" s="1"/>
      <c r="H3995" s="2">
        <v>5.8112545899999999</v>
      </c>
      <c r="I3995" s="2">
        <v>55.688168599999997</v>
      </c>
      <c r="J3995" s="2">
        <v>33.614653599999997</v>
      </c>
      <c r="L3995" s="2"/>
      <c r="M3995" s="2"/>
    </row>
    <row r="3996" spans="2:13">
      <c r="B3996" s="2"/>
      <c r="C3996" s="1">
        <v>9.3946760269999992</v>
      </c>
      <c r="D3996" s="1">
        <v>0.64639121200000005</v>
      </c>
      <c r="E3996" s="1"/>
      <c r="H3996" s="2">
        <v>27.135049599999999</v>
      </c>
      <c r="I3996" s="2">
        <v>9.2347214300000005</v>
      </c>
      <c r="J3996" s="2">
        <v>7.7866415699999996</v>
      </c>
      <c r="L3996" s="2"/>
      <c r="M3996" s="2"/>
    </row>
    <row r="3997" spans="2:13">
      <c r="B3997" s="2"/>
      <c r="C3997" s="1">
        <v>14.719935830000001</v>
      </c>
      <c r="D3997" s="1">
        <v>0.76511612900000003</v>
      </c>
      <c r="E3997" s="1"/>
      <c r="H3997" s="2">
        <v>17.380231200000001</v>
      </c>
      <c r="I3997" s="2">
        <v>6.4207743300000004</v>
      </c>
      <c r="J3997" s="2">
        <v>4.9709363599999996</v>
      </c>
      <c r="L3997" s="2"/>
      <c r="M3997" s="2"/>
    </row>
    <row r="3998" spans="2:13">
      <c r="B3998" s="2"/>
      <c r="C3998" s="1">
        <v>14.72597354</v>
      </c>
      <c r="D3998" s="1">
        <v>0.70575367099999997</v>
      </c>
      <c r="E3998" s="1"/>
      <c r="H3998" s="2">
        <v>41.035665700000003</v>
      </c>
      <c r="I3998" s="2">
        <v>18.998029599999999</v>
      </c>
      <c r="J3998" s="2">
        <v>23.533733699999999</v>
      </c>
      <c r="L3998" s="2"/>
      <c r="M3998" s="2"/>
    </row>
    <row r="3999" spans="2:13">
      <c r="B3999" s="2"/>
      <c r="C3999" s="1">
        <v>42.408871730000001</v>
      </c>
      <c r="D3999" s="1">
        <v>0.20447069000000001</v>
      </c>
      <c r="E3999" s="1"/>
      <c r="H3999" s="2">
        <v>11.1704566</v>
      </c>
      <c r="I3999" s="2">
        <v>15.950882500000001</v>
      </c>
      <c r="J3999" s="2">
        <v>17.554705299999998</v>
      </c>
      <c r="L3999" s="2"/>
      <c r="M3999" s="2"/>
    </row>
    <row r="4000" spans="2:13">
      <c r="B4000" s="2"/>
      <c r="C4000" s="1">
        <v>5.8143142770000003</v>
      </c>
      <c r="D4000" s="1">
        <v>0.65958287000000004</v>
      </c>
      <c r="E4000" s="1"/>
      <c r="H4000" s="2">
        <v>7.2566331599999998</v>
      </c>
      <c r="I4000" s="2">
        <v>6.8716277300000002</v>
      </c>
      <c r="J4000" s="2">
        <v>4.9709363599999996</v>
      </c>
      <c r="L4000" s="2"/>
      <c r="M4000" s="2"/>
    </row>
    <row r="4001" spans="2:13">
      <c r="B4001" s="2"/>
      <c r="C4001" s="1">
        <v>14.134278009999999</v>
      </c>
      <c r="D4001" s="1">
        <v>1.4840614569999999</v>
      </c>
      <c r="E4001" s="1"/>
      <c r="H4001" s="2">
        <v>27.093413200000001</v>
      </c>
      <c r="I4001" s="2">
        <v>18.018589500000001</v>
      </c>
      <c r="J4001" s="2">
        <v>10.463299599999999</v>
      </c>
      <c r="L4001" s="2"/>
      <c r="M4001" s="2"/>
    </row>
    <row r="4002" spans="2:13">
      <c r="B4002" s="2"/>
      <c r="C4002" s="1">
        <v>15.68596936</v>
      </c>
      <c r="D4002" s="1">
        <v>1.371932369</v>
      </c>
      <c r="E4002" s="1"/>
      <c r="H4002" s="2">
        <v>20.360209300000001</v>
      </c>
      <c r="I4002" s="2">
        <v>6.6073343600000003</v>
      </c>
      <c r="J4002" s="2">
        <v>5.5271250399999996</v>
      </c>
      <c r="L4002" s="2"/>
      <c r="M4002" s="2"/>
    </row>
    <row r="4003" spans="2:13">
      <c r="B4003" s="2"/>
      <c r="C4003" s="1">
        <v>9.2316578699999994</v>
      </c>
      <c r="D4003" s="1">
        <v>0.40894137899999999</v>
      </c>
      <c r="E4003" s="1"/>
      <c r="H4003" s="2">
        <v>7.7086857200000001</v>
      </c>
      <c r="I4003" s="2">
        <v>15.888695800000001</v>
      </c>
      <c r="J4003" s="2">
        <v>6.8828349600000003</v>
      </c>
      <c r="L4003" s="2"/>
      <c r="M4003" s="2"/>
    </row>
    <row r="4004" spans="2:13">
      <c r="B4004" s="2"/>
      <c r="C4004" s="1">
        <v>10.596180220000001</v>
      </c>
      <c r="D4004" s="1">
        <v>0.50787881000000001</v>
      </c>
      <c r="E4004" s="1"/>
      <c r="H4004" s="2">
        <v>12.7585886</v>
      </c>
      <c r="I4004" s="2">
        <v>26.740270800000001</v>
      </c>
      <c r="J4004" s="2">
        <v>33.023703099999999</v>
      </c>
      <c r="L4004" s="2"/>
      <c r="M4004" s="2"/>
    </row>
    <row r="4005" spans="2:13">
      <c r="B4005" s="2"/>
      <c r="C4005" s="1">
        <v>21.65122637</v>
      </c>
      <c r="D4005" s="1">
        <v>1.292782425</v>
      </c>
      <c r="E4005" s="1"/>
      <c r="H4005" s="2">
        <v>6.5785543300000002</v>
      </c>
      <c r="I4005" s="2">
        <v>25.7297373</v>
      </c>
      <c r="J4005" s="2">
        <v>32.050372899999999</v>
      </c>
      <c r="L4005" s="2"/>
      <c r="M4005" s="2"/>
    </row>
    <row r="4006" spans="2:13">
      <c r="B4006" s="2"/>
      <c r="C4006" s="1">
        <v>3.858096389</v>
      </c>
      <c r="D4006" s="1">
        <v>1.1806533370000001</v>
      </c>
      <c r="E4006" s="1"/>
      <c r="H4006" s="2">
        <v>13.4128752</v>
      </c>
      <c r="I4006" s="2">
        <v>17.101336</v>
      </c>
      <c r="J4006" s="2">
        <v>15.8861393</v>
      </c>
      <c r="L4006" s="2"/>
      <c r="M4006" s="2"/>
    </row>
    <row r="4007" spans="2:13">
      <c r="B4007" s="2"/>
      <c r="C4007" s="1">
        <v>6.9373282490000001</v>
      </c>
      <c r="D4007" s="1">
        <v>2.8296105109999998</v>
      </c>
      <c r="E4007" s="1"/>
      <c r="H4007" s="2">
        <v>36.2950619</v>
      </c>
      <c r="I4007" s="2">
        <v>15.686589100000001</v>
      </c>
      <c r="J4007" s="2">
        <v>18.458511900000001</v>
      </c>
      <c r="L4007" s="2"/>
      <c r="M4007" s="2"/>
    </row>
    <row r="4008" spans="2:13">
      <c r="B4008" s="2"/>
      <c r="C4008" s="1">
        <v>29.669304629999999</v>
      </c>
      <c r="D4008" s="1">
        <v>4.8281466069999999</v>
      </c>
      <c r="E4008" s="1"/>
      <c r="H4008" s="2">
        <v>35.807321000000002</v>
      </c>
      <c r="I4008" s="2">
        <v>30.735764799999998</v>
      </c>
      <c r="J4008" s="2">
        <v>26.175629900000001</v>
      </c>
      <c r="L4008" s="2"/>
      <c r="M4008" s="2"/>
    </row>
    <row r="4009" spans="2:13">
      <c r="B4009" s="2"/>
      <c r="C4009" s="1">
        <v>35.773428959999997</v>
      </c>
      <c r="D4009" s="1">
        <v>17.135962960000001</v>
      </c>
      <c r="E4009" s="1"/>
      <c r="H4009" s="2">
        <v>19.0873244</v>
      </c>
      <c r="I4009" s="2">
        <v>8.5506679900000009</v>
      </c>
      <c r="J4009" s="2">
        <v>15.7818539</v>
      </c>
      <c r="L4009" s="2"/>
      <c r="M4009" s="2"/>
    </row>
    <row r="4010" spans="2:13">
      <c r="B4010" s="2"/>
      <c r="C4010" s="1">
        <v>6.7380838350000003</v>
      </c>
      <c r="D4010" s="1">
        <v>0.90362853200000004</v>
      </c>
      <c r="E4010" s="1"/>
      <c r="H4010" s="2">
        <v>17.5646211</v>
      </c>
      <c r="I4010" s="2">
        <v>51.428381299999998</v>
      </c>
      <c r="J4010" s="2">
        <v>33.8232243</v>
      </c>
      <c r="L4010" s="2"/>
      <c r="M4010" s="2"/>
    </row>
    <row r="4011" spans="2:13">
      <c r="B4011" s="2"/>
      <c r="C4011" s="1">
        <v>17.171245899999999</v>
      </c>
      <c r="D4011" s="1">
        <v>0.32979143500000002</v>
      </c>
      <c r="E4011" s="1"/>
      <c r="H4011" s="2">
        <v>37.276491800000002</v>
      </c>
      <c r="I4011" s="2">
        <v>51.630488</v>
      </c>
      <c r="J4011" s="2">
        <v>59.477427400000003</v>
      </c>
      <c r="L4011" s="2"/>
      <c r="M4011" s="2"/>
    </row>
    <row r="4012" spans="2:13">
      <c r="B4012" s="2"/>
      <c r="C4012" s="1">
        <v>21.307076930000001</v>
      </c>
      <c r="D4012" s="1">
        <v>0.74532864300000001</v>
      </c>
      <c r="E4012" s="1"/>
      <c r="H4012" s="2">
        <v>14.2574997</v>
      </c>
      <c r="I4012" s="2">
        <v>75.7744651</v>
      </c>
      <c r="J4012" s="2">
        <v>79.083078499999999</v>
      </c>
      <c r="L4012" s="2"/>
      <c r="M4012" s="2"/>
    </row>
    <row r="4013" spans="2:13">
      <c r="B4013" s="2"/>
      <c r="C4013" s="1">
        <v>12.956924649999999</v>
      </c>
      <c r="D4013" s="1">
        <v>0.50787881000000001</v>
      </c>
      <c r="E4013" s="1"/>
      <c r="H4013" s="2">
        <v>41.446081900000003</v>
      </c>
      <c r="I4013" s="2">
        <v>17.7853894</v>
      </c>
      <c r="J4013" s="2">
        <v>19.292795000000002</v>
      </c>
      <c r="L4013" s="2"/>
      <c r="M4013" s="2"/>
    </row>
    <row r="4014" spans="2:13">
      <c r="B4014" s="2"/>
      <c r="C4014" s="1">
        <v>42.082835420000002</v>
      </c>
      <c r="D4014" s="1">
        <v>1.2004408230000001</v>
      </c>
      <c r="E4014" s="1"/>
      <c r="H4014" s="2">
        <v>75.332179499999995</v>
      </c>
      <c r="I4014" s="2">
        <v>16.2929092</v>
      </c>
      <c r="J4014" s="2">
        <v>14.7042383</v>
      </c>
      <c r="L4014" s="2"/>
      <c r="M4014" s="2"/>
    </row>
    <row r="4015" spans="2:13">
      <c r="B4015" s="2"/>
      <c r="C4015" s="1">
        <v>20.908588099999999</v>
      </c>
      <c r="D4015" s="1">
        <v>0.28362063399999998</v>
      </c>
      <c r="E4015" s="1"/>
      <c r="H4015" s="2">
        <v>81.393252599999997</v>
      </c>
      <c r="I4015" s="2">
        <v>9.3435481199999995</v>
      </c>
      <c r="J4015" s="2">
        <v>10.1504435</v>
      </c>
      <c r="L4015" s="2"/>
      <c r="M4015" s="2"/>
    </row>
    <row r="4016" spans="2:13">
      <c r="B4016" s="2"/>
      <c r="C4016" s="1">
        <v>32.869290679999999</v>
      </c>
      <c r="D4016" s="1">
        <v>1.0157576189999999</v>
      </c>
      <c r="E4016" s="1"/>
      <c r="H4016" s="2">
        <v>18.712596699999999</v>
      </c>
      <c r="I4016" s="2">
        <v>9.8099481900000001</v>
      </c>
      <c r="J4016" s="2">
        <v>12.3404364</v>
      </c>
      <c r="L4016" s="2"/>
      <c r="M4016" s="2"/>
    </row>
    <row r="4017" spans="2:13">
      <c r="B4017" s="2"/>
      <c r="C4017" s="1">
        <v>14.49050287</v>
      </c>
      <c r="D4017" s="1">
        <v>0.80469110099999996</v>
      </c>
      <c r="E4017" s="1"/>
      <c r="H4017" s="2">
        <v>20.645716199999999</v>
      </c>
      <c r="I4017" s="2">
        <v>20.972456600000001</v>
      </c>
      <c r="J4017" s="2">
        <v>18.0761322</v>
      </c>
      <c r="L4017" s="2"/>
      <c r="M4017" s="2"/>
    </row>
    <row r="4018" spans="2:13">
      <c r="B4018" s="2"/>
      <c r="C4018" s="1">
        <v>7.1426103730000001</v>
      </c>
      <c r="D4018" s="1">
        <v>0.310003949</v>
      </c>
      <c r="E4018" s="1"/>
      <c r="H4018" s="2">
        <v>12.056717600000001</v>
      </c>
      <c r="I4018" s="2">
        <v>8.8305080399999998</v>
      </c>
      <c r="J4018" s="2">
        <v>6.3614080700000004</v>
      </c>
      <c r="L4018" s="2"/>
      <c r="M4018" s="2"/>
    </row>
    <row r="4019" spans="2:13">
      <c r="B4019" s="2"/>
      <c r="C4019" s="1">
        <v>7.9758142879999996</v>
      </c>
      <c r="D4019" s="1">
        <v>0.32979143500000002</v>
      </c>
      <c r="E4019" s="1"/>
      <c r="H4019" s="2">
        <v>12.3838609</v>
      </c>
      <c r="I4019" s="2">
        <v>26.771364200000001</v>
      </c>
      <c r="J4019" s="2">
        <v>11.089011899999999</v>
      </c>
      <c r="L4019" s="2"/>
      <c r="M4019" s="2"/>
    </row>
    <row r="4020" spans="2:13">
      <c r="B4020" s="2"/>
      <c r="C4020" s="1">
        <v>11.60447772</v>
      </c>
      <c r="D4020" s="1">
        <v>1.2598032809999999</v>
      </c>
      <c r="E4020" s="1"/>
      <c r="H4020" s="2">
        <v>20.3840015</v>
      </c>
      <c r="I4020" s="2">
        <v>30.238271399999999</v>
      </c>
      <c r="J4020" s="2">
        <v>22.2127856</v>
      </c>
      <c r="L4020" s="2"/>
      <c r="M4020" s="2"/>
    </row>
    <row r="4021" spans="2:13">
      <c r="B4021" s="2"/>
      <c r="C4021" s="1">
        <v>13.21654616</v>
      </c>
      <c r="D4021" s="1">
        <v>0.79149944400000005</v>
      </c>
      <c r="E4021" s="1"/>
      <c r="H4021" s="2">
        <v>8.7733884599999996</v>
      </c>
      <c r="I4021" s="2">
        <v>4.5396273699999998</v>
      </c>
      <c r="J4021" s="2">
        <v>6.0137901400000002</v>
      </c>
      <c r="L4021" s="2"/>
      <c r="M4021" s="2"/>
    </row>
    <row r="4022" spans="2:13">
      <c r="B4022" s="2"/>
      <c r="C4022" s="1">
        <v>4.74563969</v>
      </c>
      <c r="D4022" s="1">
        <v>0.50128298100000002</v>
      </c>
      <c r="E4022" s="1"/>
      <c r="H4022" s="2">
        <v>18.450882</v>
      </c>
      <c r="I4022" s="2">
        <v>4.8661074199999996</v>
      </c>
      <c r="J4022" s="2">
        <v>4.1714151299999997</v>
      </c>
      <c r="L4022" s="2"/>
      <c r="M4022" s="2"/>
    </row>
    <row r="4023" spans="2:13">
      <c r="B4023" s="2"/>
      <c r="C4023" s="1">
        <v>24.0119708</v>
      </c>
      <c r="D4023" s="1">
        <v>0.52107046700000004</v>
      </c>
      <c r="E4023" s="1"/>
      <c r="H4023" s="2">
        <v>23.506733000000001</v>
      </c>
      <c r="I4023" s="2">
        <v>18.982482900000001</v>
      </c>
      <c r="J4023" s="2">
        <v>32.015611100000001</v>
      </c>
      <c r="L4023" s="2"/>
      <c r="M4023" s="2"/>
    </row>
    <row r="4024" spans="2:13">
      <c r="B4024" s="2"/>
      <c r="C4024" s="1">
        <v>20.02708251</v>
      </c>
      <c r="D4024" s="1">
        <v>0.26383314800000002</v>
      </c>
      <c r="E4024" s="1"/>
      <c r="H4024" s="2">
        <v>8.1072057399999995</v>
      </c>
      <c r="I4024" s="2">
        <v>14.7693356</v>
      </c>
      <c r="J4024" s="2">
        <v>9.6637783800000001</v>
      </c>
      <c r="L4024" s="2"/>
      <c r="M4024" s="2"/>
    </row>
    <row r="4025" spans="2:13">
      <c r="B4025" s="2"/>
      <c r="C4025" s="1">
        <v>15.993892539999999</v>
      </c>
      <c r="D4025" s="1">
        <v>105.5200675</v>
      </c>
      <c r="E4025" s="1"/>
      <c r="H4025" s="2">
        <v>6.6380349299999999</v>
      </c>
      <c r="I4025" s="2">
        <v>8.6594946799999999</v>
      </c>
      <c r="J4025" s="2">
        <v>5.6314104199999999</v>
      </c>
      <c r="L4025" s="2"/>
      <c r="M4025" s="2"/>
    </row>
    <row r="4026" spans="2:13">
      <c r="B4026" s="2"/>
      <c r="C4026" s="1">
        <v>5.361486062</v>
      </c>
      <c r="D4026" s="1">
        <v>279.99952400000001</v>
      </c>
      <c r="E4026" s="1"/>
      <c r="H4026" s="2">
        <v>35.0221771</v>
      </c>
      <c r="I4026" s="2">
        <v>9.6855748399999992</v>
      </c>
      <c r="J4026" s="2">
        <v>13.800431700000001</v>
      </c>
      <c r="L4026" s="2"/>
      <c r="M4026" s="2"/>
    </row>
    <row r="4027" spans="2:13">
      <c r="B4027" s="2"/>
      <c r="C4027" s="1">
        <v>16.06634506</v>
      </c>
      <c r="D4027" s="1">
        <v>17.182133759999999</v>
      </c>
      <c r="E4027" s="1"/>
      <c r="H4027" s="2">
        <v>11.9437044</v>
      </c>
      <c r="I4027" s="2">
        <v>8.2086412699999993</v>
      </c>
      <c r="J4027" s="2">
        <v>6.1180755199999997</v>
      </c>
      <c r="L4027" s="2"/>
      <c r="M4027" s="2"/>
    </row>
    <row r="4028" spans="2:13">
      <c r="B4028" s="2"/>
      <c r="C4028" s="1">
        <v>8.7788296549999991</v>
      </c>
      <c r="D4028" s="1">
        <v>0.620007898</v>
      </c>
      <c r="E4028" s="1"/>
      <c r="H4028" s="2">
        <v>11.913964099999999</v>
      </c>
      <c r="I4028" s="2">
        <v>14.5827756</v>
      </c>
      <c r="J4028" s="2">
        <v>13.0356723</v>
      </c>
      <c r="L4028" s="2"/>
      <c r="M4028" s="2"/>
    </row>
    <row r="4029" spans="2:13">
      <c r="B4029" s="2"/>
      <c r="C4029" s="1">
        <v>11.948627159999999</v>
      </c>
      <c r="D4029" s="1">
        <v>527.63331670000002</v>
      </c>
      <c r="E4029" s="1"/>
      <c r="H4029" s="2">
        <v>16.0954503</v>
      </c>
      <c r="I4029" s="2">
        <v>40.638992999999999</v>
      </c>
      <c r="J4029" s="2">
        <v>35.005125300000003</v>
      </c>
      <c r="L4029" s="2"/>
      <c r="M4029" s="2"/>
    </row>
    <row r="4030" spans="2:13">
      <c r="B4030" s="2"/>
      <c r="C4030" s="1">
        <v>14.979557339999999</v>
      </c>
      <c r="D4030" s="1">
        <v>5.2766630000000002E-2</v>
      </c>
      <c r="E4030" s="1"/>
      <c r="H4030" s="2">
        <v>7.9347120000000002</v>
      </c>
      <c r="I4030" s="2">
        <v>152.419544</v>
      </c>
      <c r="J4030" s="2">
        <v>169.255169</v>
      </c>
      <c r="L4030" s="2"/>
      <c r="M4030" s="2"/>
    </row>
    <row r="4031" spans="2:13">
      <c r="B4031" s="2"/>
      <c r="C4031" s="1">
        <v>5.2890335479999999</v>
      </c>
      <c r="D4031" s="1">
        <v>0.37596223600000001</v>
      </c>
      <c r="E4031" s="1"/>
      <c r="H4031" s="2">
        <v>26.022762400000001</v>
      </c>
      <c r="I4031" s="2">
        <v>12.173041899999999</v>
      </c>
      <c r="J4031" s="2">
        <v>13.904717099999999</v>
      </c>
      <c r="L4031" s="2"/>
      <c r="M4031" s="2"/>
    </row>
    <row r="4032" spans="2:13">
      <c r="B4032" s="2"/>
      <c r="C4032" s="1">
        <v>6.4482737769999998</v>
      </c>
      <c r="D4032" s="1">
        <v>1.154270022</v>
      </c>
      <c r="E4032" s="1"/>
      <c r="H4032" s="2">
        <v>41.249795900000002</v>
      </c>
      <c r="I4032" s="2">
        <v>53.978034999999998</v>
      </c>
      <c r="J4032" s="2">
        <v>70.6707246</v>
      </c>
      <c r="L4032" s="2"/>
      <c r="M4032" s="2"/>
    </row>
    <row r="4033" spans="2:13">
      <c r="B4033" s="2"/>
      <c r="C4033" s="1">
        <v>11.417308719999999</v>
      </c>
      <c r="D4033" s="1">
        <v>1.0949075640000001</v>
      </c>
      <c r="E4033" s="1"/>
      <c r="H4033" s="2">
        <v>172.13685599999999</v>
      </c>
      <c r="I4033" s="2">
        <v>4.4463473599999999</v>
      </c>
      <c r="J4033" s="2">
        <v>3.23284672</v>
      </c>
      <c r="L4033" s="2"/>
      <c r="M4033" s="2"/>
    </row>
    <row r="4034" spans="2:13">
      <c r="B4034" s="2"/>
      <c r="C4034" s="1">
        <v>192.32519930000001</v>
      </c>
      <c r="D4034" s="1">
        <v>1.2202283089999999</v>
      </c>
      <c r="E4034" s="1"/>
      <c r="H4034" s="2">
        <v>15.964593000000001</v>
      </c>
      <c r="I4034" s="2">
        <v>3.9954939500000002</v>
      </c>
      <c r="J4034" s="2">
        <v>4.4495094699999997</v>
      </c>
      <c r="L4034" s="2"/>
      <c r="M4034" s="2"/>
    </row>
    <row r="4035" spans="2:13">
      <c r="B4035" s="2"/>
      <c r="C4035" s="1">
        <v>24.79083533</v>
      </c>
      <c r="D4035" s="1">
        <v>249.0914708</v>
      </c>
      <c r="E4035" s="1"/>
      <c r="H4035" s="2">
        <v>61.538628500000002</v>
      </c>
      <c r="I4035" s="2">
        <v>14.505042299999999</v>
      </c>
      <c r="J4035" s="2">
        <v>14.391382200000001</v>
      </c>
      <c r="L4035" s="2"/>
      <c r="M4035" s="2"/>
    </row>
    <row r="4036" spans="2:13">
      <c r="B4036" s="2"/>
      <c r="C4036" s="1">
        <v>66.49329505</v>
      </c>
      <c r="D4036" s="1">
        <v>3.6343016119999998</v>
      </c>
      <c r="E4036" s="1"/>
      <c r="H4036" s="2">
        <v>5.1272276899999998</v>
      </c>
      <c r="I4036" s="2">
        <v>14.4739489</v>
      </c>
      <c r="J4036" s="2">
        <v>18.667082700000002</v>
      </c>
      <c r="L4036" s="2"/>
      <c r="M4036" s="2"/>
    </row>
    <row r="4037" spans="2:13">
      <c r="B4037" s="2"/>
      <c r="C4037" s="1">
        <v>1.895840792</v>
      </c>
      <c r="D4037" s="1">
        <v>2.6383314790000001</v>
      </c>
      <c r="E4037" s="1"/>
      <c r="H4037" s="2">
        <v>5.2223966500000003</v>
      </c>
      <c r="I4037" s="2">
        <v>13.7432555</v>
      </c>
      <c r="J4037" s="2">
        <v>9.3161604499999999</v>
      </c>
      <c r="L4037" s="2"/>
      <c r="M4037" s="2"/>
    </row>
    <row r="4038" spans="2:13">
      <c r="B4038" s="2"/>
      <c r="C4038" s="1">
        <v>8.7848673650000002</v>
      </c>
      <c r="D4038" s="1">
        <v>0.77171195800000003</v>
      </c>
      <c r="E4038" s="1"/>
      <c r="H4038" s="2">
        <v>20.758729299999999</v>
      </c>
      <c r="I4038" s="2">
        <v>34.264858699999998</v>
      </c>
      <c r="J4038" s="2">
        <v>21.3089789</v>
      </c>
      <c r="L4038" s="2"/>
      <c r="M4038" s="2"/>
    </row>
    <row r="4039" spans="2:13">
      <c r="B4039" s="2"/>
      <c r="C4039" s="1">
        <v>18.30633529</v>
      </c>
      <c r="D4039" s="1">
        <v>0.850861902</v>
      </c>
      <c r="E4039" s="1"/>
      <c r="H4039" s="2">
        <v>22.834602199999999</v>
      </c>
      <c r="I4039" s="2">
        <v>52.734301500000001</v>
      </c>
      <c r="J4039" s="2">
        <v>40.323679599999998</v>
      </c>
      <c r="L4039" s="2"/>
      <c r="M4039" s="2"/>
    </row>
    <row r="4040" spans="2:13">
      <c r="B4040" s="2"/>
      <c r="C4040" s="1">
        <v>20.123685859999998</v>
      </c>
      <c r="D4040" s="1">
        <v>1.7281071189999999</v>
      </c>
      <c r="E4040" s="1"/>
      <c r="H4040" s="2">
        <v>12.556354600000001</v>
      </c>
      <c r="I4040" s="2">
        <v>20.708163200000001</v>
      </c>
      <c r="J4040" s="2">
        <v>27.844196</v>
      </c>
      <c r="L4040" s="2"/>
      <c r="M4040" s="2"/>
    </row>
    <row r="4041" spans="2:13">
      <c r="B4041" s="2"/>
      <c r="C4041" s="1">
        <v>8.5312835650000007</v>
      </c>
      <c r="D4041" s="1">
        <v>2.3679025020000002</v>
      </c>
      <c r="E4041" s="1"/>
      <c r="H4041" s="2">
        <v>21.769899500000001</v>
      </c>
      <c r="I4041" s="2">
        <v>8.597308</v>
      </c>
      <c r="J4041" s="2">
        <v>13.730908100000001</v>
      </c>
      <c r="L4041" s="2"/>
      <c r="M4041" s="2"/>
    </row>
    <row r="4042" spans="2:13">
      <c r="B4042" s="2"/>
      <c r="C4042" s="1">
        <v>25.08064538</v>
      </c>
      <c r="D4042" s="1">
        <v>0.145108231</v>
      </c>
      <c r="E4042" s="1"/>
      <c r="H4042" s="2">
        <v>60.4798738</v>
      </c>
      <c r="I4042" s="2">
        <v>26.2738707</v>
      </c>
      <c r="J4042" s="2">
        <v>15.086618</v>
      </c>
      <c r="L4042" s="2"/>
      <c r="M4042" s="2"/>
    </row>
    <row r="4043" spans="2:13">
      <c r="B4043" s="2"/>
      <c r="C4043" s="1">
        <v>81.744549320000004</v>
      </c>
      <c r="D4043" s="1">
        <v>0.17808737499999999</v>
      </c>
      <c r="E4043" s="1"/>
      <c r="H4043" s="2">
        <v>26.248788600000001</v>
      </c>
      <c r="I4043" s="2">
        <v>19.666536399999998</v>
      </c>
      <c r="J4043" s="2">
        <v>20.578981299999999</v>
      </c>
      <c r="L4043" s="2"/>
      <c r="M4043" s="2"/>
    </row>
    <row r="4044" spans="2:13">
      <c r="B4044" s="2"/>
      <c r="C4044" s="1">
        <v>26.686676120000001</v>
      </c>
      <c r="D4044" s="1">
        <v>1.3785281979999999</v>
      </c>
      <c r="E4044" s="1"/>
      <c r="H4044" s="2">
        <v>21.496288700000001</v>
      </c>
      <c r="I4044" s="2">
        <v>33.347605199999997</v>
      </c>
      <c r="J4044" s="2">
        <v>35.978455500000003</v>
      </c>
      <c r="L4044" s="2"/>
      <c r="M4044" s="2"/>
    </row>
    <row r="4045" spans="2:13">
      <c r="B4045" s="2"/>
      <c r="C4045" s="1">
        <v>13.66937437</v>
      </c>
      <c r="D4045" s="1">
        <v>4.2543095099999997</v>
      </c>
      <c r="E4045" s="1"/>
      <c r="H4045" s="2">
        <v>24.833150400000001</v>
      </c>
      <c r="I4045" s="2">
        <v>7.7266945299999996</v>
      </c>
      <c r="J4045" s="2">
        <v>5.8399811799999997</v>
      </c>
      <c r="L4045" s="2"/>
      <c r="M4045" s="2"/>
    </row>
    <row r="4046" spans="2:13">
      <c r="B4046" s="2"/>
      <c r="C4046" s="1">
        <v>7.3660056259999998</v>
      </c>
      <c r="D4046" s="1">
        <v>1.8336403779999999</v>
      </c>
      <c r="E4046" s="1"/>
      <c r="H4046" s="2">
        <v>23.2271742</v>
      </c>
      <c r="I4046" s="2">
        <v>4.19760065</v>
      </c>
      <c r="J4046" s="2">
        <v>4.6928420199999996</v>
      </c>
      <c r="L4046" s="2"/>
      <c r="M4046" s="2"/>
    </row>
    <row r="4047" spans="2:13">
      <c r="B4047" s="2"/>
      <c r="C4047" s="1">
        <v>22.448204029999999</v>
      </c>
      <c r="D4047" s="1">
        <v>0.67937035599999995</v>
      </c>
      <c r="E4047" s="1"/>
      <c r="H4047" s="2">
        <v>37.365712700000003</v>
      </c>
      <c r="I4047" s="2">
        <v>26.102857400000001</v>
      </c>
      <c r="J4047" s="2">
        <v>25.584679399999999</v>
      </c>
      <c r="L4047" s="2"/>
      <c r="M4047" s="2"/>
    </row>
    <row r="4048" spans="2:13">
      <c r="B4048" s="2"/>
      <c r="C4048" s="1">
        <v>37.705496009999997</v>
      </c>
      <c r="D4048" s="1">
        <v>1.035545106</v>
      </c>
      <c r="E4048" s="1"/>
      <c r="H4048" s="2">
        <v>6.7153597100000004</v>
      </c>
      <c r="I4048" s="2">
        <v>45.3651804</v>
      </c>
      <c r="J4048" s="2">
        <v>73.764524199999997</v>
      </c>
      <c r="L4048" s="2"/>
      <c r="M4048" s="2"/>
    </row>
    <row r="4049" spans="2:13">
      <c r="B4049" s="2"/>
      <c r="C4049" s="1">
        <v>4.8120544949999999</v>
      </c>
      <c r="D4049" s="1">
        <v>190.13795390000001</v>
      </c>
      <c r="E4049" s="1"/>
      <c r="H4049" s="2">
        <v>4.5859542400000004</v>
      </c>
      <c r="I4049" s="2">
        <v>14.5983223</v>
      </c>
      <c r="J4049" s="2">
        <v>9.0380661100000008</v>
      </c>
      <c r="L4049" s="2"/>
      <c r="M4049" s="2"/>
    </row>
    <row r="4050" spans="2:13">
      <c r="B4050" s="2"/>
      <c r="C4050" s="1">
        <v>4.7214888520000002</v>
      </c>
      <c r="D4050" s="1">
        <v>0.46830383799999997</v>
      </c>
      <c r="E4050" s="1"/>
      <c r="H4050" s="2">
        <v>34.3857347</v>
      </c>
      <c r="I4050" s="2">
        <v>9.91877487</v>
      </c>
      <c r="J4050" s="2">
        <v>8.4818774300000008</v>
      </c>
      <c r="L4050" s="2"/>
      <c r="M4050" s="2"/>
    </row>
    <row r="4051" spans="2:13">
      <c r="B4051" s="2"/>
      <c r="C4051" s="1">
        <v>37.735684560000003</v>
      </c>
      <c r="D4051" s="1">
        <v>0.60022041100000001</v>
      </c>
      <c r="E4051" s="1"/>
      <c r="H4051" s="2">
        <v>93.509450799999996</v>
      </c>
      <c r="I4051" s="2">
        <v>16.401735899999998</v>
      </c>
      <c r="J4051" s="2">
        <v>14.009002499999999</v>
      </c>
      <c r="L4051" s="2"/>
      <c r="M4051" s="2"/>
    </row>
    <row r="4052" spans="2:13">
      <c r="B4052" s="2"/>
      <c r="C4052" s="1">
        <v>86.906790959999995</v>
      </c>
      <c r="D4052" s="1">
        <v>1.536828087</v>
      </c>
      <c r="E4052" s="1"/>
      <c r="H4052" s="2">
        <v>14.6917081</v>
      </c>
      <c r="I4052" s="2">
        <v>97.197775100000001</v>
      </c>
      <c r="J4052" s="2">
        <v>93.891602199999994</v>
      </c>
      <c r="L4052" s="2"/>
      <c r="M4052" s="2"/>
    </row>
    <row r="4053" spans="2:13">
      <c r="B4053" s="2"/>
      <c r="C4053" s="1">
        <v>25.49120963</v>
      </c>
      <c r="D4053" s="1">
        <v>1.9523652949999999</v>
      </c>
      <c r="E4053" s="1"/>
      <c r="H4053" s="2">
        <v>10.444793300000001</v>
      </c>
      <c r="I4053" s="2">
        <v>12.748268599999999</v>
      </c>
      <c r="J4053" s="2">
        <v>8.7252099800000007</v>
      </c>
      <c r="L4053" s="2"/>
      <c r="M4053" s="2"/>
    </row>
    <row r="4054" spans="2:13">
      <c r="B4054" s="2"/>
      <c r="C4054" s="1">
        <v>18.38482552</v>
      </c>
      <c r="D4054" s="1">
        <v>10.19715117</v>
      </c>
      <c r="E4054" s="1"/>
      <c r="H4054" s="2">
        <v>19.646442100000002</v>
      </c>
      <c r="I4054" s="2">
        <v>6.8405343900000002</v>
      </c>
      <c r="J4054" s="2">
        <v>7.1609293000000003</v>
      </c>
      <c r="L4054" s="2"/>
      <c r="M4054" s="2"/>
    </row>
    <row r="4055" spans="2:13">
      <c r="B4055" s="2"/>
      <c r="C4055" s="1">
        <v>19.218029430000001</v>
      </c>
      <c r="D4055" s="1">
        <v>7.994144382</v>
      </c>
      <c r="E4055" s="1"/>
      <c r="H4055" s="2">
        <v>90.713862599999999</v>
      </c>
      <c r="I4055" s="2">
        <v>13.4478688</v>
      </c>
      <c r="J4055" s="2">
        <v>14.530429399999999</v>
      </c>
      <c r="L4055" s="2"/>
      <c r="M4055" s="2"/>
    </row>
    <row r="4056" spans="2:13">
      <c r="B4056" s="2"/>
      <c r="C4056" s="1">
        <v>57.026166500000002</v>
      </c>
      <c r="D4056" s="1">
        <v>0.54085795299999995</v>
      </c>
      <c r="E4056" s="1"/>
      <c r="H4056" s="2">
        <v>12.395757</v>
      </c>
      <c r="I4056" s="2">
        <v>21.438856699999999</v>
      </c>
      <c r="J4056" s="2">
        <v>15.3647124</v>
      </c>
      <c r="L4056" s="2"/>
      <c r="M4056" s="2"/>
    </row>
    <row r="4057" spans="2:13">
      <c r="B4057" s="2"/>
      <c r="C4057" s="1">
        <v>7.8490223879999999</v>
      </c>
      <c r="D4057" s="1">
        <v>0.52766629600000003</v>
      </c>
      <c r="E4057" s="1"/>
      <c r="H4057" s="2">
        <v>10.8492614</v>
      </c>
      <c r="I4057" s="2">
        <v>113.22639100000001</v>
      </c>
      <c r="J4057" s="2">
        <v>122.81341399999999</v>
      </c>
      <c r="L4057" s="2"/>
      <c r="M4057" s="2"/>
    </row>
    <row r="4058" spans="2:13">
      <c r="B4058" s="2"/>
      <c r="C4058" s="1">
        <v>17.38256573</v>
      </c>
      <c r="D4058" s="1">
        <v>0.79149944400000005</v>
      </c>
      <c r="E4058" s="1"/>
      <c r="H4058" s="2">
        <v>21.210781900000001</v>
      </c>
      <c r="I4058" s="2">
        <v>89.362253899999999</v>
      </c>
      <c r="J4058" s="2">
        <v>80.091170399999996</v>
      </c>
      <c r="L4058" s="2"/>
      <c r="M4058" s="2"/>
    </row>
    <row r="4059" spans="2:13">
      <c r="B4059" s="2"/>
      <c r="C4059" s="1">
        <v>17.841431660000001</v>
      </c>
      <c r="D4059" s="1">
        <v>1.141078365</v>
      </c>
      <c r="E4059" s="1"/>
      <c r="H4059" s="2">
        <v>20.389949600000001</v>
      </c>
      <c r="I4059" s="2">
        <v>14.940348999999999</v>
      </c>
      <c r="J4059" s="2">
        <v>22.490879899999999</v>
      </c>
      <c r="L4059" s="2"/>
      <c r="M4059" s="2"/>
    </row>
    <row r="4060" spans="2:13">
      <c r="B4060" s="2"/>
      <c r="C4060" s="1">
        <v>51.918264239999999</v>
      </c>
      <c r="D4060" s="1">
        <v>0.56064543899999997</v>
      </c>
      <c r="E4060" s="1"/>
      <c r="H4060" s="2">
        <v>110.64581200000001</v>
      </c>
      <c r="I4060" s="2">
        <v>12.561708599999999</v>
      </c>
      <c r="J4060" s="2">
        <v>10.7066322</v>
      </c>
      <c r="L4060" s="2"/>
      <c r="M4060" s="2"/>
    </row>
    <row r="4061" spans="2:13">
      <c r="B4061" s="2"/>
      <c r="C4061" s="1">
        <v>204.62401370000001</v>
      </c>
      <c r="D4061" s="1">
        <v>1.2861865960000001</v>
      </c>
      <c r="E4061" s="1"/>
      <c r="H4061" s="2">
        <v>98.196522000000002</v>
      </c>
      <c r="I4061" s="2">
        <v>19.495522999999999</v>
      </c>
      <c r="J4061" s="2">
        <v>14.565191199999999</v>
      </c>
      <c r="L4061" s="2"/>
      <c r="M4061" s="2"/>
    </row>
    <row r="4062" spans="2:13">
      <c r="B4062" s="2"/>
      <c r="C4062" s="1">
        <v>66.408767109999999</v>
      </c>
      <c r="D4062" s="1">
        <v>9.2341601999999995E-2</v>
      </c>
      <c r="E4062" s="1"/>
      <c r="H4062" s="2">
        <v>21.585509600000002</v>
      </c>
      <c r="I4062" s="2">
        <v>24.050697100000001</v>
      </c>
      <c r="J4062" s="2">
        <v>23.151354000000001</v>
      </c>
      <c r="L4062" s="2"/>
      <c r="M4062" s="2"/>
    </row>
    <row r="4063" spans="2:13">
      <c r="B4063" s="2"/>
      <c r="C4063" s="1">
        <v>6.5328017110000003</v>
      </c>
      <c r="D4063" s="1">
        <v>2.5789690209999998</v>
      </c>
      <c r="E4063" s="1"/>
      <c r="H4063" s="2">
        <v>12.972718800000001</v>
      </c>
      <c r="I4063" s="2">
        <v>26.0873107</v>
      </c>
      <c r="J4063" s="2">
        <v>20.370410499999998</v>
      </c>
      <c r="L4063" s="2"/>
      <c r="M4063" s="2"/>
    </row>
    <row r="4064" spans="2:13">
      <c r="B4064" s="2"/>
      <c r="C4064" s="1">
        <v>9.0867528409999991</v>
      </c>
      <c r="D4064" s="1">
        <v>0.96299098999999999</v>
      </c>
      <c r="E4064" s="1"/>
      <c r="H4064" s="2">
        <v>23.352083400000001</v>
      </c>
      <c r="I4064" s="2">
        <v>13.2924021</v>
      </c>
      <c r="J4064" s="2">
        <v>18.110893999999998</v>
      </c>
      <c r="L4064" s="2"/>
      <c r="M4064" s="2"/>
    </row>
    <row r="4065" spans="2:13">
      <c r="B4065" s="2"/>
      <c r="C4065" s="1">
        <v>19.70104619</v>
      </c>
      <c r="D4065" s="1">
        <v>0.32319560600000002</v>
      </c>
      <c r="E4065" s="1"/>
      <c r="H4065" s="2">
        <v>26.855490799999998</v>
      </c>
      <c r="I4065" s="2">
        <v>3.3114405100000002</v>
      </c>
      <c r="J4065" s="2">
        <v>2.8852288000000001</v>
      </c>
      <c r="L4065" s="2"/>
      <c r="M4065" s="2"/>
    </row>
    <row r="4066" spans="2:13">
      <c r="B4066" s="2"/>
      <c r="C4066" s="1">
        <v>10.28221933</v>
      </c>
      <c r="D4066" s="1">
        <v>0.26383314800000002</v>
      </c>
      <c r="E4066" s="1"/>
      <c r="H4066" s="2">
        <v>21.317846899999999</v>
      </c>
      <c r="I4066" s="2">
        <v>54.9885685</v>
      </c>
      <c r="J4066" s="2">
        <v>44.877474399999997</v>
      </c>
      <c r="L4066" s="2"/>
      <c r="M4066" s="2"/>
    </row>
    <row r="4067" spans="2:13">
      <c r="B4067" s="2"/>
      <c r="C4067" s="1">
        <v>26.837618859999999</v>
      </c>
      <c r="D4067" s="1">
        <v>89.624120340000005</v>
      </c>
      <c r="E4067" s="1"/>
      <c r="H4067" s="2">
        <v>19.908156699999999</v>
      </c>
      <c r="I4067" s="2">
        <v>24.796937199999999</v>
      </c>
      <c r="J4067" s="2">
        <v>23.151354000000001</v>
      </c>
      <c r="L4067" s="2"/>
      <c r="M4067" s="2"/>
    </row>
    <row r="4068" spans="2:13">
      <c r="B4068" s="2"/>
      <c r="C4068" s="1">
        <v>20.37726966</v>
      </c>
      <c r="D4068" s="1">
        <v>5.9230541710000004</v>
      </c>
      <c r="E4068" s="1"/>
      <c r="H4068" s="2">
        <v>3.33686164</v>
      </c>
      <c r="I4068" s="2">
        <v>5.8455475699999999</v>
      </c>
      <c r="J4068" s="2">
        <v>4.6928420199999996</v>
      </c>
      <c r="L4068" s="2"/>
      <c r="M4068" s="2"/>
    </row>
    <row r="4069" spans="2:13">
      <c r="B4069" s="2"/>
      <c r="C4069" s="1">
        <v>3.568286332</v>
      </c>
      <c r="D4069" s="1">
        <v>0.40894137899999999</v>
      </c>
      <c r="E4069" s="1"/>
      <c r="H4069" s="2">
        <v>63.061331799999998</v>
      </c>
      <c r="I4069" s="2">
        <v>7.5712278399999997</v>
      </c>
      <c r="J4069" s="2">
        <v>7.4042618500000001</v>
      </c>
      <c r="L4069" s="2"/>
      <c r="M4069" s="2"/>
    </row>
    <row r="4070" spans="2:13">
      <c r="B4070" s="2"/>
      <c r="C4070" s="1">
        <v>89.943758860000003</v>
      </c>
      <c r="D4070" s="1">
        <v>3.957497219</v>
      </c>
      <c r="E4070" s="1"/>
      <c r="H4070" s="2">
        <v>27.230218499999999</v>
      </c>
      <c r="I4070" s="2">
        <v>73.597931399999993</v>
      </c>
      <c r="J4070" s="2">
        <v>55.792677300000001</v>
      </c>
      <c r="L4070" s="2"/>
      <c r="M4070" s="2"/>
    </row>
    <row r="4071" spans="2:13">
      <c r="B4071" s="2"/>
      <c r="C4071" s="1">
        <v>34.402868900000001</v>
      </c>
      <c r="D4071" s="1">
        <v>0.224258176</v>
      </c>
      <c r="E4071" s="1"/>
      <c r="H4071" s="2">
        <v>6.2157226699999999</v>
      </c>
      <c r="I4071" s="2">
        <v>57.398302200000003</v>
      </c>
      <c r="J4071" s="2">
        <v>88.503524299999995</v>
      </c>
      <c r="L4071" s="2"/>
      <c r="M4071" s="2"/>
    </row>
    <row r="4072" spans="2:13">
      <c r="B4072" s="2"/>
      <c r="C4072" s="1">
        <v>9.1229790990000001</v>
      </c>
      <c r="D4072" s="1">
        <v>202.01704140000001</v>
      </c>
      <c r="E4072" s="1"/>
      <c r="H4072" s="2">
        <v>7.8395430399999997</v>
      </c>
      <c r="I4072" s="2">
        <v>20.303949800000002</v>
      </c>
      <c r="J4072" s="2">
        <v>9.1423514899999994</v>
      </c>
      <c r="L4072" s="2"/>
      <c r="M4072" s="2"/>
    </row>
    <row r="4073" spans="2:13">
      <c r="B4073" s="2"/>
      <c r="C4073" s="1">
        <v>8.9358101029999997</v>
      </c>
      <c r="D4073" s="1">
        <v>5.8043292539999998</v>
      </c>
      <c r="E4073" s="1"/>
      <c r="H4073" s="2">
        <v>62.407045199999999</v>
      </c>
      <c r="I4073" s="2">
        <v>33.782911900000002</v>
      </c>
      <c r="J4073" s="2">
        <v>19.049462399999999</v>
      </c>
      <c r="L4073" s="2"/>
      <c r="M4073" s="2"/>
    </row>
    <row r="4074" spans="2:13">
      <c r="B4074" s="2"/>
      <c r="C4074" s="1">
        <v>79.462295109999999</v>
      </c>
      <c r="D4074" s="1">
        <v>0.91022435999999995</v>
      </c>
      <c r="E4074" s="1"/>
      <c r="H4074" s="2">
        <v>80.756810200000004</v>
      </c>
      <c r="I4074" s="2">
        <v>2.5652004000000002</v>
      </c>
      <c r="J4074" s="2">
        <v>2.1899929400000002</v>
      </c>
      <c r="L4074" s="2"/>
      <c r="M4074" s="2"/>
    </row>
    <row r="4075" spans="2:13">
      <c r="B4075" s="2"/>
      <c r="C4075" s="1">
        <v>98.734663929999996</v>
      </c>
      <c r="D4075" s="1">
        <v>0.35617474999999998</v>
      </c>
      <c r="E4075" s="1"/>
      <c r="H4075" s="2">
        <v>11.8366393</v>
      </c>
      <c r="I4075" s="2">
        <v>33.5808052</v>
      </c>
      <c r="J4075" s="2">
        <v>19.7446983</v>
      </c>
      <c r="L4075" s="2"/>
      <c r="M4075" s="2"/>
    </row>
    <row r="4076" spans="2:13">
      <c r="B4076" s="2"/>
      <c r="C4076" s="1">
        <v>7.3660056259999998</v>
      </c>
      <c r="D4076" s="1">
        <v>0.21766234700000001</v>
      </c>
      <c r="E4076" s="1"/>
      <c r="H4076" s="2">
        <v>20.538651099999999</v>
      </c>
      <c r="I4076" s="2">
        <v>25.558724000000002</v>
      </c>
      <c r="J4076" s="2">
        <v>19.918507200000001</v>
      </c>
      <c r="L4076" s="2"/>
      <c r="M4076" s="2"/>
    </row>
    <row r="4077" spans="2:13">
      <c r="B4077" s="2"/>
      <c r="C4077" s="1">
        <v>22.774240339999999</v>
      </c>
      <c r="D4077" s="1">
        <v>1.3389532260000001</v>
      </c>
      <c r="E4077" s="1"/>
      <c r="H4077" s="2">
        <v>4.4907852799999999</v>
      </c>
      <c r="I4077" s="2">
        <v>8.7372280199999999</v>
      </c>
      <c r="J4077" s="2">
        <v>9.4552076199999995</v>
      </c>
      <c r="L4077" s="2"/>
      <c r="M4077" s="2"/>
    </row>
    <row r="4078" spans="2:13">
      <c r="B4078" s="2"/>
      <c r="C4078" s="1">
        <v>4.3833771180000003</v>
      </c>
      <c r="D4078" s="1">
        <v>1.292782425</v>
      </c>
      <c r="E4078" s="1"/>
      <c r="H4078" s="2">
        <v>20.146079100000001</v>
      </c>
      <c r="I4078" s="2">
        <v>5.73672089</v>
      </c>
      <c r="J4078" s="2">
        <v>3.9976061600000001</v>
      </c>
      <c r="L4078" s="2"/>
      <c r="M4078" s="2"/>
    </row>
    <row r="4079" spans="2:13">
      <c r="B4079" s="2"/>
      <c r="C4079" s="1">
        <v>35.70701416</v>
      </c>
      <c r="D4079" s="1">
        <v>2.3679025020000002</v>
      </c>
      <c r="E4079" s="1"/>
      <c r="H4079" s="2">
        <v>28.039154700000001</v>
      </c>
      <c r="I4079" s="2">
        <v>3.8244805899999998</v>
      </c>
      <c r="J4079" s="2">
        <v>3.8237972</v>
      </c>
      <c r="L4079" s="2"/>
      <c r="M4079" s="2"/>
    </row>
    <row r="4080" spans="2:13">
      <c r="B4080" s="2"/>
      <c r="C4080" s="1">
        <v>44.256410850000002</v>
      </c>
      <c r="D4080" s="1">
        <v>0.34298309199999999</v>
      </c>
      <c r="E4080" s="1"/>
      <c r="H4080" s="2">
        <v>10.997962899999999</v>
      </c>
      <c r="I4080" s="2">
        <v>13.4478688</v>
      </c>
      <c r="J4080" s="2">
        <v>17.6589907</v>
      </c>
      <c r="L4080" s="2"/>
      <c r="M4080" s="2"/>
    </row>
    <row r="4081" spans="2:13">
      <c r="B4081" s="2"/>
      <c r="C4081" s="1">
        <v>7.9456257399999997</v>
      </c>
      <c r="D4081" s="1">
        <v>0.91022435999999995</v>
      </c>
      <c r="E4081" s="1"/>
      <c r="H4081" s="2">
        <v>5.5019554700000004</v>
      </c>
      <c r="I4081" s="2">
        <v>25.962937400000001</v>
      </c>
      <c r="J4081" s="2">
        <v>16.094709999999999</v>
      </c>
      <c r="L4081" s="2"/>
      <c r="M4081" s="2"/>
    </row>
    <row r="4082" spans="2:13">
      <c r="B4082" s="2"/>
      <c r="C4082" s="1">
        <v>6.5811033869999997</v>
      </c>
      <c r="D4082" s="1">
        <v>0.50128298100000002</v>
      </c>
      <c r="E4082" s="1"/>
      <c r="H4082" s="2">
        <v>5.29972143</v>
      </c>
      <c r="I4082" s="2">
        <v>45.924860500000001</v>
      </c>
      <c r="J4082" s="2">
        <v>46.406993300000003</v>
      </c>
      <c r="L4082" s="2"/>
      <c r="M4082" s="2"/>
    </row>
    <row r="4083" spans="2:13">
      <c r="B4083" s="2"/>
      <c r="C4083" s="1">
        <v>5.1380908090000004</v>
      </c>
      <c r="D4083" s="1">
        <v>4.1619679080000003</v>
      </c>
      <c r="E4083" s="1"/>
      <c r="H4083" s="2">
        <v>19.128960899999999</v>
      </c>
      <c r="I4083" s="2">
        <v>6.2808543099999996</v>
      </c>
      <c r="J4083" s="2">
        <v>6.81331138</v>
      </c>
      <c r="L4083" s="2"/>
      <c r="M4083" s="2"/>
    </row>
    <row r="4084" spans="2:13">
      <c r="B4084" s="2"/>
      <c r="C4084" s="1">
        <v>32.718347940000001</v>
      </c>
      <c r="D4084" s="1">
        <v>95.956115890000007</v>
      </c>
      <c r="E4084" s="1"/>
      <c r="H4084" s="2">
        <v>26.748425699999999</v>
      </c>
      <c r="I4084" s="2">
        <v>27.766351</v>
      </c>
      <c r="J4084" s="2">
        <v>29.199905900000001</v>
      </c>
      <c r="L4084" s="2"/>
      <c r="M4084" s="2"/>
    </row>
    <row r="4085" spans="2:13">
      <c r="B4085" s="2"/>
      <c r="C4085" s="1">
        <v>19.688970770000001</v>
      </c>
      <c r="D4085" s="1">
        <v>1.9391736369999999</v>
      </c>
      <c r="E4085" s="1"/>
      <c r="H4085" s="2">
        <v>57.827038999999999</v>
      </c>
      <c r="I4085" s="2">
        <v>15.8109625</v>
      </c>
      <c r="J4085" s="2">
        <v>10.2199671</v>
      </c>
      <c r="L4085" s="2"/>
      <c r="M4085" s="2"/>
    </row>
    <row r="4086" spans="2:13">
      <c r="B4086" s="2"/>
      <c r="C4086" s="1">
        <v>83.435107979999998</v>
      </c>
      <c r="D4086" s="1">
        <v>0.96299098999999999</v>
      </c>
      <c r="E4086" s="1"/>
      <c r="H4086" s="2">
        <v>8.3153878399999996</v>
      </c>
      <c r="I4086" s="2">
        <v>65.746863500000003</v>
      </c>
      <c r="J4086" s="2">
        <v>88.155906400000006</v>
      </c>
      <c r="L4086" s="2"/>
      <c r="M4086" s="2"/>
    </row>
    <row r="4087" spans="2:13">
      <c r="B4087" s="2"/>
      <c r="C4087" s="1">
        <v>14.750124380000001</v>
      </c>
      <c r="D4087" s="1">
        <v>3.1528061169999999</v>
      </c>
      <c r="E4087" s="1"/>
      <c r="H4087" s="2">
        <v>32.2503812</v>
      </c>
      <c r="I4087" s="2">
        <v>15.904242500000001</v>
      </c>
      <c r="J4087" s="2">
        <v>14.7737619</v>
      </c>
      <c r="L4087" s="2"/>
      <c r="M4087" s="2"/>
    </row>
    <row r="4088" spans="2:13">
      <c r="B4088" s="2"/>
      <c r="C4088" s="1">
        <v>19.097275239999998</v>
      </c>
      <c r="D4088" s="1">
        <v>1.912790322</v>
      </c>
      <c r="E4088" s="1"/>
      <c r="H4088" s="2">
        <v>13.924408400000001</v>
      </c>
      <c r="I4088" s="2">
        <v>28.046191</v>
      </c>
      <c r="J4088" s="2">
        <v>28.539431799999999</v>
      </c>
      <c r="L4088" s="2"/>
      <c r="M4088" s="2"/>
    </row>
    <row r="4089" spans="2:13">
      <c r="B4089" s="2"/>
      <c r="C4089" s="1">
        <v>17.50331993</v>
      </c>
      <c r="D4089" s="1">
        <v>0.93001184599999998</v>
      </c>
      <c r="E4089" s="1"/>
      <c r="H4089" s="2">
        <v>85.140530400000003</v>
      </c>
      <c r="I4089" s="2">
        <v>20.397229800000002</v>
      </c>
      <c r="J4089" s="2">
        <v>17.137563799999999</v>
      </c>
      <c r="L4089" s="2"/>
      <c r="M4089" s="2"/>
    </row>
    <row r="4090" spans="2:13">
      <c r="B4090" s="2"/>
      <c r="C4090" s="1">
        <v>42.15528793</v>
      </c>
      <c r="D4090" s="1">
        <v>5.3096421019999998</v>
      </c>
      <c r="E4090" s="1"/>
      <c r="H4090" s="2">
        <v>16.761633</v>
      </c>
      <c r="I4090" s="2">
        <v>57.864702299999998</v>
      </c>
      <c r="J4090" s="2">
        <v>50.786979199999998</v>
      </c>
      <c r="L4090" s="2"/>
      <c r="M4090" s="2"/>
    </row>
    <row r="4091" spans="2:13">
      <c r="B4091" s="2"/>
      <c r="C4091" s="1">
        <v>11.254290559999999</v>
      </c>
      <c r="D4091" s="1">
        <v>0.94320350399999997</v>
      </c>
      <c r="E4091" s="1"/>
      <c r="H4091" s="2">
        <v>29.270403099999999</v>
      </c>
      <c r="I4091" s="2">
        <v>16.0130692</v>
      </c>
      <c r="J4091" s="2">
        <v>15.7123303</v>
      </c>
      <c r="L4091" s="2"/>
      <c r="M4091" s="2"/>
    </row>
    <row r="4092" spans="2:13">
      <c r="B4092" s="2"/>
      <c r="C4092" s="1">
        <v>32.434575590000001</v>
      </c>
      <c r="D4092" s="1">
        <v>1.2532074529999999</v>
      </c>
      <c r="E4092" s="1"/>
      <c r="H4092" s="2">
        <v>25.8800089</v>
      </c>
      <c r="I4092" s="2">
        <v>16.868136</v>
      </c>
      <c r="J4092" s="2">
        <v>17.902323299999999</v>
      </c>
      <c r="L4092" s="2"/>
      <c r="M4092" s="2"/>
    </row>
    <row r="4093" spans="2:13">
      <c r="B4093" s="2"/>
      <c r="C4093" s="1">
        <v>16.80898333</v>
      </c>
      <c r="D4093" s="1">
        <v>3.4562142379999998</v>
      </c>
      <c r="E4093" s="1"/>
      <c r="H4093" s="2">
        <v>66.416037599999996</v>
      </c>
      <c r="I4093" s="2">
        <v>41.727259799999999</v>
      </c>
      <c r="J4093" s="2">
        <v>59.616474500000002</v>
      </c>
      <c r="L4093" s="2"/>
      <c r="M4093" s="2"/>
    </row>
    <row r="4094" spans="2:13">
      <c r="B4094" s="2"/>
      <c r="C4094" s="1">
        <v>25.273852089999998</v>
      </c>
      <c r="D4094" s="1">
        <v>103.28408159999999</v>
      </c>
      <c r="E4094" s="1"/>
      <c r="H4094" s="2">
        <v>25.481488899999999</v>
      </c>
      <c r="I4094" s="2">
        <v>20.5993365</v>
      </c>
      <c r="J4094" s="2">
        <v>15.573283099999999</v>
      </c>
      <c r="L4094" s="2"/>
      <c r="M4094" s="2"/>
    </row>
    <row r="4095" spans="2:13">
      <c r="B4095" s="2"/>
      <c r="C4095" s="1">
        <v>31.142505750000002</v>
      </c>
      <c r="D4095" s="1">
        <v>2.137048498</v>
      </c>
      <c r="E4095" s="1"/>
      <c r="H4095" s="2">
        <v>21.163197400000001</v>
      </c>
      <c r="I4095" s="2">
        <v>24.936857199999999</v>
      </c>
      <c r="J4095" s="2">
        <v>35.978455500000003</v>
      </c>
      <c r="L4095" s="2"/>
      <c r="M4095" s="2"/>
    </row>
    <row r="4096" spans="2:13">
      <c r="B4096" s="2"/>
      <c r="C4096" s="1">
        <v>21.40368028</v>
      </c>
      <c r="D4096" s="1">
        <v>1.787469577</v>
      </c>
      <c r="E4096" s="1"/>
      <c r="H4096" s="2">
        <v>58.814416999999999</v>
      </c>
      <c r="I4096" s="2">
        <v>61.331609499999999</v>
      </c>
      <c r="J4096" s="2">
        <v>57.113625499999998</v>
      </c>
      <c r="L4096" s="2"/>
      <c r="M4096" s="2"/>
    </row>
    <row r="4097" spans="2:13">
      <c r="B4097" s="2"/>
      <c r="C4097" s="1">
        <v>102.87049500000001</v>
      </c>
      <c r="D4097" s="1">
        <v>1.9523652949999999</v>
      </c>
      <c r="E4097" s="1"/>
      <c r="H4097" s="2">
        <v>16.267944</v>
      </c>
      <c r="I4097" s="2">
        <v>80.873772599999995</v>
      </c>
      <c r="J4097" s="2">
        <v>65.977882600000001</v>
      </c>
      <c r="L4097" s="2"/>
      <c r="M4097" s="2"/>
    </row>
    <row r="4098" spans="2:13">
      <c r="B4098" s="2"/>
      <c r="C4098" s="1">
        <v>26.632336729999999</v>
      </c>
      <c r="D4098" s="1">
        <v>5.890075027</v>
      </c>
      <c r="E4098" s="1"/>
      <c r="H4098" s="2">
        <v>33.4459412</v>
      </c>
      <c r="I4098" s="2">
        <v>6.8405343900000002</v>
      </c>
      <c r="J4098" s="2">
        <v>8.8294953500000002</v>
      </c>
      <c r="L4098" s="2"/>
      <c r="M4098" s="2"/>
    </row>
    <row r="4099" spans="2:13">
      <c r="B4099" s="2"/>
      <c r="C4099" s="1">
        <v>39.758317249999998</v>
      </c>
      <c r="D4099" s="1">
        <v>0.56064543899999997</v>
      </c>
      <c r="E4099" s="1"/>
      <c r="H4099" s="2">
        <v>72.370045700000006</v>
      </c>
      <c r="I4099" s="2">
        <v>23.475470300000001</v>
      </c>
      <c r="J4099" s="2">
        <v>30.520854</v>
      </c>
      <c r="L4099" s="2"/>
      <c r="M4099" s="2"/>
    </row>
    <row r="4100" spans="2:13">
      <c r="B4100" s="2"/>
      <c r="C4100" s="1">
        <v>24.93574036</v>
      </c>
      <c r="D4100" s="1">
        <v>0.27702480499999999</v>
      </c>
      <c r="E4100" s="1"/>
      <c r="H4100" s="2">
        <v>109.676278</v>
      </c>
      <c r="I4100" s="2">
        <v>44.028166800000001</v>
      </c>
      <c r="J4100" s="2">
        <v>26.210391699999999</v>
      </c>
      <c r="L4100" s="2"/>
      <c r="M4100" s="2"/>
    </row>
    <row r="4101" spans="2:13">
      <c r="B4101" s="2"/>
      <c r="C4101" s="1">
        <v>162.55929140000001</v>
      </c>
      <c r="D4101" s="1">
        <v>7.7632903769999997</v>
      </c>
      <c r="E4101" s="1"/>
      <c r="H4101" s="2">
        <v>12.693160000000001</v>
      </c>
      <c r="I4101" s="2">
        <v>207.34592599999999</v>
      </c>
      <c r="J4101" s="2">
        <v>195.81317799999999</v>
      </c>
      <c r="L4101" s="2"/>
      <c r="M4101" s="2"/>
    </row>
    <row r="4102" spans="2:13">
      <c r="B4102" s="2"/>
      <c r="C4102" s="1">
        <v>12.612775210000001</v>
      </c>
      <c r="D4102" s="1">
        <v>2.420669132</v>
      </c>
      <c r="E4102" s="1"/>
      <c r="H4102" s="2">
        <v>41.8624461</v>
      </c>
      <c r="I4102" s="2">
        <v>21.345576600000001</v>
      </c>
      <c r="J4102" s="2">
        <v>16.268519000000001</v>
      </c>
      <c r="L4102" s="2"/>
      <c r="M4102" s="2"/>
    </row>
    <row r="4103" spans="2:13">
      <c r="B4103" s="2"/>
      <c r="C4103" s="1">
        <v>16.778794779999998</v>
      </c>
      <c r="D4103" s="1">
        <v>1.3587407119999999</v>
      </c>
      <c r="E4103" s="1"/>
      <c r="H4103" s="2">
        <v>51.248484699999999</v>
      </c>
      <c r="I4103" s="2">
        <v>6.9649077500000001</v>
      </c>
      <c r="J4103" s="2">
        <v>6.8828349600000003</v>
      </c>
      <c r="L4103" s="2"/>
      <c r="M4103" s="2"/>
    </row>
    <row r="4104" spans="2:13">
      <c r="B4104" s="2"/>
      <c r="C4104" s="1">
        <v>16.024081089999999</v>
      </c>
      <c r="D4104" s="1">
        <v>3.9509013899999998</v>
      </c>
      <c r="E4104" s="1"/>
      <c r="H4104" s="2">
        <v>165.93897699999999</v>
      </c>
      <c r="I4104" s="2">
        <v>49.453954299999999</v>
      </c>
      <c r="J4104" s="2">
        <v>41.3665333</v>
      </c>
      <c r="L4104" s="2"/>
      <c r="M4104" s="2"/>
    </row>
    <row r="4105" spans="2:13">
      <c r="B4105" s="2"/>
      <c r="C4105" s="1">
        <v>95.854676490000003</v>
      </c>
      <c r="D4105" s="1">
        <v>12.53867035</v>
      </c>
      <c r="E4105" s="1"/>
      <c r="H4105" s="2">
        <v>19.801091599999999</v>
      </c>
      <c r="I4105" s="2">
        <v>35.477498799999999</v>
      </c>
      <c r="J4105" s="2">
        <v>46.580802300000002</v>
      </c>
      <c r="L4105" s="2"/>
      <c r="M4105" s="2"/>
    </row>
    <row r="4106" spans="2:13">
      <c r="B4106" s="2"/>
      <c r="C4106" s="1">
        <v>23.064050399999999</v>
      </c>
      <c r="D4106" s="1">
        <v>1.352144883</v>
      </c>
      <c r="E4106" s="1"/>
      <c r="H4106" s="2">
        <v>8.1845305199999991</v>
      </c>
      <c r="I4106" s="2">
        <v>32.523631700000003</v>
      </c>
      <c r="J4106" s="2">
        <v>19.779460100000001</v>
      </c>
      <c r="L4106" s="2"/>
      <c r="M4106" s="2"/>
    </row>
    <row r="4107" spans="2:13">
      <c r="B4107" s="2"/>
      <c r="C4107" s="1">
        <v>13.458054539999999</v>
      </c>
      <c r="D4107" s="1">
        <v>1.2861865960000001</v>
      </c>
      <c r="E4107" s="1"/>
      <c r="H4107" s="2">
        <v>63.245721699999997</v>
      </c>
      <c r="I4107" s="2">
        <v>56.232302099999998</v>
      </c>
      <c r="J4107" s="2">
        <v>51.5517386</v>
      </c>
      <c r="L4107" s="2"/>
      <c r="M4107" s="2"/>
    </row>
    <row r="4108" spans="2:13">
      <c r="B4108" s="2"/>
      <c r="C4108" s="1">
        <v>18.270109040000001</v>
      </c>
      <c r="D4108" s="1">
        <v>0.42213303699999999</v>
      </c>
      <c r="E4108" s="1"/>
      <c r="H4108" s="2">
        <v>51.760017900000001</v>
      </c>
      <c r="I4108" s="2">
        <v>133.810181</v>
      </c>
      <c r="J4108" s="2">
        <v>162.407096</v>
      </c>
      <c r="L4108" s="2"/>
      <c r="M4108" s="2"/>
    </row>
    <row r="4109" spans="2:13">
      <c r="B4109" s="2"/>
      <c r="C4109" s="1">
        <v>73.327982230000003</v>
      </c>
      <c r="D4109" s="1">
        <v>3.9772847050000002</v>
      </c>
      <c r="E4109" s="1"/>
      <c r="H4109" s="2">
        <v>25.8800089</v>
      </c>
      <c r="I4109" s="2">
        <v>23.662030300000001</v>
      </c>
      <c r="J4109" s="2">
        <v>6.9523589999999996E-2</v>
      </c>
      <c r="L4109" s="2"/>
      <c r="M4109" s="2"/>
    </row>
    <row r="4110" spans="2:13">
      <c r="B4110" s="2"/>
      <c r="C4110" s="1">
        <v>29.645153789999998</v>
      </c>
      <c r="D4110" s="1">
        <v>0.41553720799999999</v>
      </c>
      <c r="E4110" s="1"/>
      <c r="H4110" s="2">
        <v>71.5789537</v>
      </c>
      <c r="I4110" s="2">
        <v>28.6369644</v>
      </c>
      <c r="J4110" s="2">
        <v>14.009002499999999</v>
      </c>
      <c r="L4110" s="2"/>
      <c r="M4110" s="2"/>
    </row>
    <row r="4111" spans="2:13">
      <c r="B4111" s="2"/>
      <c r="C4111" s="1">
        <v>75.537783919999995</v>
      </c>
      <c r="D4111" s="1">
        <v>0.56064543899999997</v>
      </c>
      <c r="E4111" s="1"/>
      <c r="H4111" s="2">
        <v>156.481562</v>
      </c>
      <c r="I4111" s="2">
        <v>9.6700281700000001</v>
      </c>
      <c r="J4111" s="2">
        <v>21.969453000000001</v>
      </c>
      <c r="L4111" s="2"/>
      <c r="M4111" s="2"/>
    </row>
    <row r="4112" spans="2:13">
      <c r="B4112" s="2"/>
      <c r="C4112" s="1">
        <v>158.3087439</v>
      </c>
      <c r="D4112" s="1">
        <v>2.7636522239999999</v>
      </c>
      <c r="E4112" s="1"/>
      <c r="H4112" s="2">
        <v>2.9740300000000001E-2</v>
      </c>
      <c r="I4112" s="2">
        <v>45.411820400000003</v>
      </c>
      <c r="J4112" s="2">
        <v>4.5885566400000002</v>
      </c>
      <c r="L4112" s="2"/>
      <c r="M4112" s="2"/>
    </row>
    <row r="4113" spans="2:13">
      <c r="B4113" s="2"/>
      <c r="C4113" s="1">
        <v>15.54710204</v>
      </c>
      <c r="D4113" s="1">
        <v>0.67937035599999995</v>
      </c>
      <c r="E4113" s="1"/>
      <c r="H4113" s="2">
        <v>19.789195500000002</v>
      </c>
      <c r="I4113" s="2">
        <v>6.3430409799999996</v>
      </c>
      <c r="J4113" s="2">
        <v>47.658417800000002</v>
      </c>
      <c r="L4113" s="2"/>
      <c r="M4113" s="2"/>
    </row>
    <row r="4114" spans="2:13">
      <c r="B4114" s="2"/>
      <c r="C4114" s="1">
        <v>17.992374399999999</v>
      </c>
      <c r="D4114" s="1">
        <v>0.50128298100000002</v>
      </c>
      <c r="E4114" s="1"/>
      <c r="H4114" s="2">
        <v>45.425333999999999</v>
      </c>
      <c r="I4114" s="2">
        <v>14.4428556</v>
      </c>
      <c r="J4114" s="2">
        <v>5.8399811799999997</v>
      </c>
      <c r="L4114" s="2"/>
      <c r="M4114" s="2"/>
    </row>
    <row r="4115" spans="2:13">
      <c r="B4115" s="2"/>
      <c r="C4115" s="1">
        <v>8.6701508839999999</v>
      </c>
      <c r="D4115" s="1">
        <v>1.741298776</v>
      </c>
      <c r="E4115" s="1"/>
      <c r="H4115" s="2">
        <v>7.1971525600000001</v>
      </c>
      <c r="I4115" s="2">
        <v>66.912863700000003</v>
      </c>
      <c r="J4115" s="2">
        <v>7.09140572</v>
      </c>
      <c r="L4115" s="2"/>
      <c r="M4115" s="2"/>
    </row>
    <row r="4116" spans="2:13">
      <c r="B4116" s="2"/>
      <c r="C4116" s="1">
        <v>98.0161765</v>
      </c>
      <c r="D4116" s="1">
        <v>437.2836552</v>
      </c>
      <c r="E4116" s="1"/>
      <c r="H4116" s="2">
        <v>59.111820000000002</v>
      </c>
      <c r="I4116" s="2">
        <v>18.453896199999999</v>
      </c>
      <c r="J4116" s="2">
        <v>70.010250600000006</v>
      </c>
      <c r="L4116" s="2"/>
      <c r="M4116" s="2"/>
    </row>
    <row r="4117" spans="2:13">
      <c r="B4117" s="2"/>
      <c r="C4117" s="1">
        <v>22.88291912</v>
      </c>
      <c r="D4117" s="1">
        <v>0.19127903199999999</v>
      </c>
      <c r="E4117" s="1"/>
      <c r="H4117" s="2">
        <v>7.1674122599999999</v>
      </c>
      <c r="I4117" s="2">
        <v>13.152481999999999</v>
      </c>
      <c r="J4117" s="2">
        <v>11.054250100000001</v>
      </c>
      <c r="L4117" s="2"/>
      <c r="M4117" s="2"/>
    </row>
    <row r="4118" spans="2:13">
      <c r="B4118" s="2"/>
      <c r="C4118" s="1">
        <v>8.7788296549999991</v>
      </c>
      <c r="D4118" s="1">
        <v>5.0787880970000003</v>
      </c>
      <c r="E4118" s="1"/>
      <c r="H4118" s="2">
        <v>9.0767395099999995</v>
      </c>
      <c r="I4118" s="2">
        <v>24.967950500000001</v>
      </c>
      <c r="J4118" s="2">
        <v>9.8028255499999997</v>
      </c>
      <c r="L4118" s="2"/>
      <c r="M4118" s="2"/>
    </row>
    <row r="4119" spans="2:13">
      <c r="B4119" s="2"/>
      <c r="C4119" s="1">
        <v>66.414804820000001</v>
      </c>
      <c r="D4119" s="1">
        <v>0.43532469400000001</v>
      </c>
      <c r="E4119" s="1"/>
      <c r="H4119" s="2">
        <v>77.645974800000005</v>
      </c>
      <c r="I4119" s="2">
        <v>48.225767500000003</v>
      </c>
      <c r="J4119" s="2">
        <v>47.310799899999999</v>
      </c>
      <c r="L4119" s="2"/>
      <c r="M4119" s="2"/>
    </row>
    <row r="4120" spans="2:13">
      <c r="B4120" s="2"/>
      <c r="C4120" s="1">
        <v>5.7901634389999996</v>
      </c>
      <c r="D4120" s="1">
        <v>3.7464306999999999</v>
      </c>
      <c r="E4120" s="1"/>
      <c r="H4120" s="2">
        <v>15.125916500000001</v>
      </c>
      <c r="I4120" s="2">
        <v>6.8560810600000002</v>
      </c>
      <c r="J4120" s="2">
        <v>66.360262300000002</v>
      </c>
      <c r="L4120" s="2"/>
      <c r="M4120" s="2"/>
    </row>
    <row r="4121" spans="2:13">
      <c r="B4121" s="2"/>
      <c r="C4121" s="1">
        <v>18.48746658</v>
      </c>
      <c r="D4121" s="1">
        <v>1.1146950499999999</v>
      </c>
      <c r="E4121" s="1"/>
      <c r="H4121" s="2">
        <v>11.997237</v>
      </c>
      <c r="I4121" s="2">
        <v>51.117447900000002</v>
      </c>
      <c r="J4121" s="2">
        <v>5.5618868399999997</v>
      </c>
      <c r="L4121" s="2"/>
      <c r="M4121" s="2"/>
    </row>
    <row r="4122" spans="2:13">
      <c r="B4122" s="2"/>
      <c r="C4122" s="1">
        <v>54.46617766</v>
      </c>
      <c r="D4122" s="1">
        <v>1.490657286</v>
      </c>
      <c r="E4122" s="1"/>
      <c r="H4122" s="2">
        <v>51.409082300000001</v>
      </c>
      <c r="I4122" s="2">
        <v>10.711655</v>
      </c>
      <c r="J4122" s="2">
        <v>89.546378099999998</v>
      </c>
      <c r="L4122" s="2"/>
      <c r="M4122" s="2"/>
    </row>
    <row r="4123" spans="2:13">
      <c r="B4123" s="2"/>
      <c r="C4123" s="1">
        <v>69.995166569999995</v>
      </c>
      <c r="D4123" s="1">
        <v>2.209602614</v>
      </c>
      <c r="E4123" s="1"/>
      <c r="H4123" s="2">
        <v>82.035643100000001</v>
      </c>
      <c r="I4123" s="2">
        <v>97.710815199999999</v>
      </c>
      <c r="J4123" s="2">
        <v>11.3323444</v>
      </c>
      <c r="L4123" s="2"/>
      <c r="M4123" s="2"/>
    </row>
    <row r="4124" spans="2:13">
      <c r="B4124" s="2"/>
      <c r="C4124" s="1">
        <v>3.773568456</v>
      </c>
      <c r="D4124" s="1">
        <v>8.1260609559999999</v>
      </c>
      <c r="E4124" s="1"/>
      <c r="H4124" s="2">
        <v>6.8581131500000003</v>
      </c>
      <c r="I4124" s="2">
        <v>19.5577097</v>
      </c>
      <c r="J4124" s="2">
        <v>74.216427499999995</v>
      </c>
      <c r="L4124" s="2"/>
      <c r="M4124" s="2"/>
    </row>
    <row r="4125" spans="2:13">
      <c r="B4125" s="2"/>
      <c r="C4125" s="1">
        <v>134.71941269999999</v>
      </c>
      <c r="D4125" s="1">
        <v>1.6885321470000001</v>
      </c>
      <c r="E4125" s="1"/>
      <c r="H4125" s="2">
        <v>114.892726</v>
      </c>
      <c r="I4125" s="2">
        <v>22.0451768</v>
      </c>
      <c r="J4125" s="2">
        <v>12.0275803</v>
      </c>
      <c r="L4125" s="2"/>
      <c r="M4125" s="2"/>
    </row>
    <row r="4126" spans="2:13">
      <c r="B4126" s="2"/>
      <c r="C4126" s="1">
        <v>4.4135656660000002</v>
      </c>
      <c r="D4126" s="1">
        <v>0.40894137899999999</v>
      </c>
      <c r="E4126" s="1"/>
      <c r="H4126" s="2">
        <v>11.176404700000001</v>
      </c>
      <c r="I4126" s="2">
        <v>38.042699200000001</v>
      </c>
      <c r="J4126" s="2">
        <v>16.894231300000001</v>
      </c>
      <c r="L4126" s="2"/>
      <c r="M4126" s="2"/>
    </row>
    <row r="4127" spans="2:13">
      <c r="B4127" s="2"/>
      <c r="C4127" s="1">
        <v>32.6277823</v>
      </c>
      <c r="D4127" s="1">
        <v>1.4444864850000001</v>
      </c>
      <c r="E4127" s="1"/>
      <c r="H4127" s="2">
        <v>71.834720300000001</v>
      </c>
      <c r="I4127" s="2">
        <v>26.895737499999999</v>
      </c>
      <c r="J4127" s="2">
        <v>54.645538199999997</v>
      </c>
      <c r="L4127" s="2"/>
      <c r="M4127" s="2"/>
    </row>
    <row r="4128" spans="2:13">
      <c r="B4128" s="2"/>
      <c r="C4128" s="1">
        <v>13.210508450000001</v>
      </c>
      <c r="D4128" s="1">
        <v>2.104069355</v>
      </c>
      <c r="E4128" s="1"/>
      <c r="H4128" s="2">
        <v>15.9824371</v>
      </c>
      <c r="I4128" s="2">
        <v>70.270944200000002</v>
      </c>
      <c r="J4128" s="2">
        <v>26.245153500000001</v>
      </c>
      <c r="L4128" s="2"/>
      <c r="M4128" s="2"/>
    </row>
    <row r="4129" spans="2:13">
      <c r="B4129" s="2"/>
      <c r="C4129" s="1">
        <v>26.976486179999998</v>
      </c>
      <c r="D4129" s="1">
        <v>3.0208895440000001</v>
      </c>
      <c r="E4129" s="1"/>
      <c r="H4129" s="2">
        <v>26.4034382</v>
      </c>
      <c r="I4129" s="2">
        <v>24.159523700000001</v>
      </c>
      <c r="J4129" s="2">
        <v>66.151691600000007</v>
      </c>
      <c r="L4129" s="2"/>
      <c r="M4129" s="2"/>
    </row>
    <row r="4130" spans="2:13">
      <c r="B4130" s="2"/>
      <c r="C4130" s="1">
        <v>72.023836970000005</v>
      </c>
      <c r="D4130" s="1">
        <v>1.893002836</v>
      </c>
      <c r="E4130" s="1"/>
      <c r="H4130" s="2">
        <v>52.979370199999998</v>
      </c>
      <c r="I4130" s="2">
        <v>11.3024284</v>
      </c>
      <c r="J4130" s="2">
        <v>6.5699788300000002</v>
      </c>
      <c r="L4130" s="2"/>
      <c r="M4130" s="2"/>
    </row>
    <row r="4131" spans="2:13">
      <c r="B4131" s="2"/>
      <c r="C4131" s="1">
        <v>21.349340900000001</v>
      </c>
      <c r="D4131" s="1">
        <v>2.8889729700000002</v>
      </c>
      <c r="E4131" s="1"/>
      <c r="H4131" s="2">
        <v>29.657026999999999</v>
      </c>
      <c r="I4131" s="2">
        <v>75.914385100000004</v>
      </c>
      <c r="J4131" s="2">
        <v>18.458511900000001</v>
      </c>
      <c r="L4131" s="2"/>
      <c r="M4131" s="2"/>
    </row>
    <row r="4132" spans="2:13">
      <c r="B4132" s="2"/>
      <c r="C4132" s="1">
        <v>24.211215209999999</v>
      </c>
      <c r="D4132" s="1">
        <v>0.52766629600000003</v>
      </c>
      <c r="E4132" s="1"/>
      <c r="H4132" s="2">
        <v>61.705174100000001</v>
      </c>
      <c r="I4132" s="2">
        <v>32.010591599999998</v>
      </c>
      <c r="J4132" s="2">
        <v>63.614080700000002</v>
      </c>
      <c r="L4132" s="2"/>
      <c r="M4132" s="2"/>
    </row>
    <row r="4133" spans="2:13">
      <c r="B4133" s="2"/>
      <c r="C4133" s="1">
        <v>4.4497919230000003</v>
      </c>
      <c r="D4133" s="1">
        <v>1.998536095</v>
      </c>
      <c r="E4133" s="1"/>
      <c r="H4133" s="2">
        <v>8.3332320200000005</v>
      </c>
      <c r="I4133" s="2">
        <v>37.576299200000001</v>
      </c>
      <c r="J4133" s="2">
        <v>26.453724300000001</v>
      </c>
      <c r="L4133" s="2"/>
      <c r="M4133" s="2"/>
    </row>
    <row r="4134" spans="2:13">
      <c r="B4134" s="2"/>
      <c r="C4134" s="1">
        <v>15.35993304</v>
      </c>
      <c r="D4134" s="1">
        <v>2.0447068960000001</v>
      </c>
      <c r="E4134" s="1"/>
      <c r="H4134" s="2">
        <v>22.2576404</v>
      </c>
      <c r="I4134" s="2">
        <v>16.1529892</v>
      </c>
      <c r="J4134" s="2">
        <v>30.764186599999999</v>
      </c>
      <c r="L4134" s="2"/>
      <c r="M4134" s="2"/>
    </row>
    <row r="4135" spans="2:13">
      <c r="B4135" s="2"/>
      <c r="C4135" s="1">
        <v>15.86710064</v>
      </c>
      <c r="D4135" s="1">
        <v>0.19787486100000001</v>
      </c>
      <c r="E4135" s="1"/>
      <c r="H4135" s="2">
        <v>63.733462600000003</v>
      </c>
      <c r="I4135" s="2">
        <v>11.0692284</v>
      </c>
      <c r="J4135" s="2">
        <v>23.325162899999999</v>
      </c>
      <c r="L4135" s="2"/>
      <c r="M4135" s="2"/>
    </row>
    <row r="4136" spans="2:13">
      <c r="B4136" s="2"/>
      <c r="C4136" s="1">
        <v>32.404387040000003</v>
      </c>
      <c r="D4136" s="1">
        <v>2.420669132</v>
      </c>
      <c r="E4136" s="1"/>
      <c r="H4136" s="2">
        <v>32.054095199999999</v>
      </c>
      <c r="I4136" s="2">
        <v>20.1329365</v>
      </c>
      <c r="J4136" s="2">
        <v>9.0728279000000001</v>
      </c>
      <c r="L4136" s="2"/>
      <c r="M4136" s="2"/>
    </row>
    <row r="4137" spans="2:13">
      <c r="B4137" s="2"/>
      <c r="C4137" s="1">
        <v>24.181026660000001</v>
      </c>
      <c r="D4137" s="1">
        <v>0.12532074500000001</v>
      </c>
      <c r="E4137" s="1"/>
      <c r="H4137" s="2">
        <v>39.138234599999997</v>
      </c>
      <c r="I4137" s="2">
        <v>30.4870181</v>
      </c>
      <c r="J4137" s="2">
        <v>23.533733699999999</v>
      </c>
      <c r="L4137" s="2"/>
      <c r="M4137" s="2"/>
    </row>
    <row r="4138" spans="2:13">
      <c r="B4138" s="2"/>
      <c r="C4138" s="1">
        <v>22.098016879999999</v>
      </c>
      <c r="D4138" s="1">
        <v>50.90001006</v>
      </c>
      <c r="E4138" s="1"/>
      <c r="H4138" s="2">
        <v>30.3172617</v>
      </c>
      <c r="I4138" s="2">
        <v>5.0682141200000004</v>
      </c>
      <c r="J4138" s="2">
        <v>27.0794365</v>
      </c>
      <c r="L4138" s="2"/>
      <c r="M4138" s="2"/>
    </row>
    <row r="4139" spans="2:13">
      <c r="B4139" s="2"/>
      <c r="C4139" s="1">
        <v>17.298037799999999</v>
      </c>
      <c r="D4139" s="1">
        <v>0.12532074500000001</v>
      </c>
      <c r="E4139" s="1"/>
      <c r="H4139" s="2">
        <v>12.1935229</v>
      </c>
      <c r="I4139" s="2">
        <v>33.534165199999997</v>
      </c>
      <c r="J4139" s="2">
        <v>5.5271250399999996</v>
      </c>
      <c r="L4139" s="2"/>
      <c r="M4139" s="2"/>
    </row>
    <row r="4140" spans="2:13">
      <c r="B4140" s="2"/>
      <c r="C4140" s="1">
        <v>49.020163670000002</v>
      </c>
      <c r="D4140" s="1">
        <v>8.9307520569999994</v>
      </c>
      <c r="E4140" s="1"/>
      <c r="H4140" s="2">
        <v>29.764092099999999</v>
      </c>
      <c r="I4140" s="2">
        <v>0.96389347999999997</v>
      </c>
      <c r="J4140" s="2">
        <v>44.077953200000003</v>
      </c>
      <c r="L4140" s="2"/>
      <c r="M4140" s="2"/>
    </row>
    <row r="4141" spans="2:13">
      <c r="B4141" s="2"/>
      <c r="C4141" s="1">
        <v>51.495624569999997</v>
      </c>
      <c r="D4141" s="1">
        <v>0.78490361500000005</v>
      </c>
      <c r="E4141" s="1"/>
      <c r="H4141" s="2">
        <v>26.1298274</v>
      </c>
      <c r="I4141" s="2">
        <v>28.6214178</v>
      </c>
      <c r="J4141" s="2">
        <v>1.4252335</v>
      </c>
      <c r="L4141" s="2"/>
      <c r="M4141" s="2"/>
    </row>
    <row r="4142" spans="2:13">
      <c r="B4142" s="2"/>
      <c r="C4142" s="1">
        <v>4.2263966699999997</v>
      </c>
      <c r="D4142" s="1">
        <v>1.292782425</v>
      </c>
      <c r="E4142" s="1"/>
      <c r="H4142" s="2">
        <v>6.49528149</v>
      </c>
      <c r="I4142" s="2">
        <v>3.2648005100000002</v>
      </c>
      <c r="J4142" s="2">
        <v>19.3275568</v>
      </c>
      <c r="L4142" s="2"/>
      <c r="M4142" s="2"/>
    </row>
    <row r="4143" spans="2:13">
      <c r="B4143" s="2"/>
      <c r="C4143" s="1">
        <v>20.968965189999999</v>
      </c>
      <c r="D4143" s="1">
        <v>259.4864968</v>
      </c>
      <c r="E4143" s="1"/>
      <c r="H4143" s="2">
        <v>53.1875523</v>
      </c>
      <c r="I4143" s="2">
        <v>89.377800500000006</v>
      </c>
      <c r="J4143" s="2">
        <v>2.7809434199999998</v>
      </c>
      <c r="L4143" s="2"/>
      <c r="M4143" s="2"/>
    </row>
    <row r="4144" spans="2:13">
      <c r="B4144" s="2"/>
      <c r="C4144" s="1">
        <v>2.2399902350000001</v>
      </c>
      <c r="D4144" s="1">
        <v>3.9245180749999999</v>
      </c>
      <c r="E4144" s="1"/>
      <c r="H4144" s="2">
        <v>2.2483666699999998</v>
      </c>
      <c r="I4144" s="2">
        <v>27.952911</v>
      </c>
      <c r="J4144" s="2">
        <v>87.495432300000004</v>
      </c>
      <c r="L4144" s="2"/>
      <c r="M4144" s="2"/>
    </row>
    <row r="4145" spans="2:13">
      <c r="B4145" s="2"/>
      <c r="C4145" s="1">
        <v>4.61281008</v>
      </c>
      <c r="D4145" s="1">
        <v>423.63028980000001</v>
      </c>
      <c r="E4145" s="1"/>
      <c r="H4145" s="2">
        <v>20.7111448</v>
      </c>
      <c r="I4145" s="2">
        <v>21.672056699999999</v>
      </c>
      <c r="J4145" s="2">
        <v>13.383290199999999</v>
      </c>
      <c r="L4145" s="2"/>
      <c r="M4145" s="2"/>
    </row>
    <row r="4146" spans="2:13">
      <c r="B4146" s="2"/>
      <c r="C4146" s="1">
        <v>3.6286634270000002</v>
      </c>
      <c r="D4146" s="1">
        <v>1.510444772</v>
      </c>
      <c r="E4146" s="1"/>
      <c r="H4146" s="2">
        <v>3.96140794</v>
      </c>
      <c r="I4146" s="2">
        <v>32.399258400000001</v>
      </c>
      <c r="J4146" s="2">
        <v>23.325162899999999</v>
      </c>
      <c r="L4146" s="2"/>
      <c r="M4146" s="2"/>
    </row>
    <row r="4147" spans="2:13">
      <c r="B4147" s="2"/>
      <c r="C4147" s="1">
        <v>207.20815329999999</v>
      </c>
      <c r="D4147" s="1">
        <v>11.4239753</v>
      </c>
      <c r="E4147" s="1"/>
      <c r="H4147" s="2">
        <v>108.355808</v>
      </c>
      <c r="I4147" s="2">
        <v>64.549769999999995</v>
      </c>
      <c r="J4147" s="2">
        <v>29.825618200000001</v>
      </c>
      <c r="L4147" s="2"/>
      <c r="M4147" s="2"/>
    </row>
    <row r="4148" spans="2:13">
      <c r="B4148" s="2"/>
      <c r="C4148" s="1">
        <v>8.9720363600000006</v>
      </c>
      <c r="D4148" s="1">
        <v>6.5958287000000004E-2</v>
      </c>
      <c r="E4148" s="1"/>
      <c r="H4148" s="2">
        <v>22.679952700000001</v>
      </c>
      <c r="I4148" s="2">
        <v>29.663044599999999</v>
      </c>
      <c r="J4148" s="2">
        <v>72.791194000000004</v>
      </c>
      <c r="L4148" s="2"/>
      <c r="M4148" s="2"/>
    </row>
    <row r="4149" spans="2:13">
      <c r="B4149" s="2"/>
      <c r="C4149" s="1">
        <v>16.362192820000001</v>
      </c>
      <c r="D4149" s="1">
        <v>2.6383315000000001E-2</v>
      </c>
      <c r="E4149" s="1"/>
      <c r="H4149" s="2">
        <v>23.013044000000001</v>
      </c>
      <c r="I4149" s="2">
        <v>21.905256699999999</v>
      </c>
      <c r="J4149" s="2">
        <v>36.8475003</v>
      </c>
      <c r="L4149" s="2"/>
      <c r="M4149" s="2"/>
    </row>
    <row r="4150" spans="2:13">
      <c r="B4150" s="2"/>
      <c r="C4150" s="1">
        <v>40.651898260000003</v>
      </c>
      <c r="D4150" s="1">
        <v>0.54085795299999995</v>
      </c>
      <c r="E4150" s="1"/>
      <c r="H4150" s="2">
        <v>36.086879799999998</v>
      </c>
      <c r="I4150" s="2">
        <v>51.039714600000003</v>
      </c>
      <c r="J4150" s="2">
        <v>18.6323209</v>
      </c>
      <c r="L4150" s="2"/>
      <c r="M4150" s="2"/>
    </row>
    <row r="4151" spans="2:13">
      <c r="B4151" s="2"/>
      <c r="C4151" s="1">
        <v>97.955799400000004</v>
      </c>
      <c r="D4151" s="1">
        <v>1.6687446610000001</v>
      </c>
      <c r="E4151" s="1"/>
      <c r="H4151" s="2">
        <v>94.520621000000006</v>
      </c>
      <c r="I4151" s="2">
        <v>2.3009070199999999</v>
      </c>
      <c r="J4151" s="2">
        <v>98.480158799999998</v>
      </c>
      <c r="L4151" s="2"/>
      <c r="M4151" s="2"/>
    </row>
    <row r="4152" spans="2:13">
      <c r="B4152" s="2"/>
      <c r="C4152" s="1">
        <v>49.678274010000003</v>
      </c>
      <c r="D4152" s="1">
        <v>207.86094560000001</v>
      </c>
      <c r="E4152" s="1"/>
      <c r="H4152" s="2">
        <v>47.7450774</v>
      </c>
      <c r="I4152" s="2">
        <v>1.38365355</v>
      </c>
      <c r="J4152" s="2">
        <v>2.1552311500000001</v>
      </c>
      <c r="L4152" s="2"/>
      <c r="M4152" s="2"/>
    </row>
    <row r="4153" spans="2:13">
      <c r="B4153" s="2"/>
      <c r="C4153" s="1">
        <v>15.53502662</v>
      </c>
      <c r="D4153" s="1">
        <v>0.310003949</v>
      </c>
      <c r="E4153" s="1"/>
      <c r="H4153" s="2">
        <v>23.001147899999999</v>
      </c>
      <c r="I4153" s="2">
        <v>18.624909599999999</v>
      </c>
      <c r="J4153" s="2">
        <v>1.35570992</v>
      </c>
      <c r="L4153" s="2"/>
      <c r="M4153" s="2"/>
    </row>
    <row r="4154" spans="2:13">
      <c r="B4154" s="2"/>
      <c r="C4154" s="1">
        <v>138.17298260000001</v>
      </c>
      <c r="D4154" s="1">
        <v>9.2341601999999995E-2</v>
      </c>
      <c r="E4154" s="1"/>
      <c r="H4154" s="2">
        <v>76.0043103</v>
      </c>
      <c r="I4154" s="2">
        <v>33.3942452</v>
      </c>
      <c r="J4154" s="2">
        <v>9.7333019600000004</v>
      </c>
      <c r="L4154" s="2"/>
      <c r="M4154" s="2"/>
    </row>
    <row r="4155" spans="2:13">
      <c r="B4155" s="2"/>
      <c r="C4155" s="1">
        <v>1.630181573</v>
      </c>
      <c r="D4155" s="1">
        <v>0.72554115699999999</v>
      </c>
      <c r="E4155" s="1"/>
      <c r="H4155" s="2">
        <v>2.93834163</v>
      </c>
      <c r="I4155" s="2">
        <v>15.158002400000001</v>
      </c>
      <c r="J4155" s="2">
        <v>23.672780800000002</v>
      </c>
      <c r="L4155" s="2"/>
      <c r="M4155" s="2"/>
    </row>
    <row r="4156" spans="2:13">
      <c r="B4156" s="2"/>
      <c r="C4156" s="1">
        <v>3.3931927549999998</v>
      </c>
      <c r="D4156" s="1">
        <v>5.5668794210000003</v>
      </c>
      <c r="E4156" s="1"/>
      <c r="H4156" s="2">
        <v>2.4327565299999998</v>
      </c>
      <c r="I4156" s="2">
        <v>6.2031209599999997</v>
      </c>
      <c r="J4156" s="2">
        <v>11.401868</v>
      </c>
      <c r="L4156" s="2"/>
      <c r="M4156" s="2"/>
    </row>
    <row r="4157" spans="2:13">
      <c r="B4157" s="2"/>
      <c r="C4157" s="1">
        <v>10.656557319999999</v>
      </c>
      <c r="D4157" s="1">
        <v>2.4734357619999998</v>
      </c>
      <c r="E4157" s="1"/>
      <c r="H4157" s="2">
        <v>12.907290100000001</v>
      </c>
      <c r="I4157" s="2">
        <v>0.99498682000000005</v>
      </c>
      <c r="J4157" s="2">
        <v>6.7437877899999998</v>
      </c>
      <c r="L4157" s="2"/>
      <c r="M4157" s="2"/>
    </row>
    <row r="4158" spans="2:13">
      <c r="B4158" s="2"/>
      <c r="C4158" s="1">
        <v>20.37726966</v>
      </c>
      <c r="D4158" s="1">
        <v>2.5459898769999998</v>
      </c>
      <c r="E4158" s="1"/>
      <c r="H4158" s="2">
        <v>36.889867899999999</v>
      </c>
      <c r="I4158" s="2">
        <v>11.5822685</v>
      </c>
      <c r="J4158" s="2">
        <v>1.3209481199999999</v>
      </c>
      <c r="L4158" s="2"/>
      <c r="M4158" s="2"/>
    </row>
    <row r="4159" spans="2:13">
      <c r="B4159" s="2"/>
      <c r="C4159" s="1">
        <v>11.29655453</v>
      </c>
      <c r="D4159" s="1">
        <v>0.620007898</v>
      </c>
      <c r="E4159" s="1"/>
      <c r="H4159" s="2">
        <v>17.558672999999999</v>
      </c>
      <c r="I4159" s="2">
        <v>48.754354200000002</v>
      </c>
      <c r="J4159" s="2">
        <v>15.1909034</v>
      </c>
      <c r="L4159" s="2"/>
      <c r="M4159" s="2"/>
    </row>
    <row r="4160" spans="2:13">
      <c r="B4160" s="2"/>
      <c r="C4160" s="1">
        <v>13.63314812</v>
      </c>
      <c r="D4160" s="1">
        <v>311.19119799999999</v>
      </c>
      <c r="E4160" s="1"/>
      <c r="H4160" s="2">
        <v>10.510222000000001</v>
      </c>
      <c r="I4160" s="2">
        <v>55.672621999999997</v>
      </c>
      <c r="J4160" s="2">
        <v>68.585017100000002</v>
      </c>
      <c r="L4160" s="2"/>
      <c r="M4160" s="2"/>
    </row>
    <row r="4161" spans="2:13">
      <c r="B4161" s="2"/>
      <c r="C4161" s="1">
        <v>2.716969288</v>
      </c>
      <c r="D4161" s="1">
        <v>2.3942858170000001</v>
      </c>
      <c r="E4161" s="1"/>
      <c r="H4161" s="2">
        <v>2.3197433900000002</v>
      </c>
      <c r="I4161" s="2">
        <v>42.4734999</v>
      </c>
      <c r="J4161" s="2">
        <v>59.373142000000001</v>
      </c>
      <c r="L4161" s="2"/>
      <c r="M4161" s="2"/>
    </row>
    <row r="4162" spans="2:13">
      <c r="B4162" s="2"/>
      <c r="C4162" s="1">
        <v>27.58025713</v>
      </c>
      <c r="D4162" s="1">
        <v>1.292782425</v>
      </c>
      <c r="E4162" s="1"/>
      <c r="H4162" s="2">
        <v>15.964593000000001</v>
      </c>
      <c r="I4162" s="2">
        <v>11.8932018</v>
      </c>
      <c r="J4162" s="2">
        <v>29.860379999999999</v>
      </c>
      <c r="L4162" s="2"/>
      <c r="M4162" s="2"/>
    </row>
    <row r="4163" spans="2:13">
      <c r="B4163" s="2"/>
      <c r="C4163" s="1">
        <v>45.457915049999997</v>
      </c>
      <c r="D4163" s="1">
        <v>7.2554116000000002E-2</v>
      </c>
      <c r="E4163" s="1"/>
      <c r="H4163" s="2">
        <v>67.938740999999993</v>
      </c>
      <c r="I4163" s="2">
        <v>39.068779399999997</v>
      </c>
      <c r="J4163" s="2">
        <v>13.4875756</v>
      </c>
      <c r="L4163" s="2"/>
      <c r="M4163" s="2"/>
    </row>
    <row r="4164" spans="2:13">
      <c r="B4164" s="2"/>
      <c r="C4164" s="1">
        <v>22.254997320000001</v>
      </c>
      <c r="D4164" s="1">
        <v>0.38255806399999998</v>
      </c>
      <c r="E4164" s="1"/>
      <c r="H4164" s="2">
        <v>49.731729399999999</v>
      </c>
      <c r="I4164" s="2">
        <v>37.125445800000001</v>
      </c>
      <c r="J4164" s="2">
        <v>18.597559100000002</v>
      </c>
      <c r="L4164" s="2"/>
      <c r="M4164" s="2"/>
    </row>
    <row r="4165" spans="2:13">
      <c r="B4165" s="2"/>
      <c r="C4165" s="1">
        <v>55.607304759999998</v>
      </c>
      <c r="D4165" s="1">
        <v>0.224258176</v>
      </c>
      <c r="E4165" s="1"/>
      <c r="H4165" s="2">
        <v>32.399082700000001</v>
      </c>
      <c r="I4165" s="2">
        <v>22.3250168</v>
      </c>
      <c r="J4165" s="2">
        <v>46.546040499999997</v>
      </c>
      <c r="L4165" s="2"/>
      <c r="M4165" s="2"/>
    </row>
    <row r="4166" spans="2:13">
      <c r="B4166" s="2"/>
      <c r="C4166" s="1">
        <v>15.559177460000001</v>
      </c>
      <c r="D4166" s="1">
        <v>0.29681229100000001</v>
      </c>
      <c r="E4166" s="1"/>
      <c r="H4166" s="2">
        <v>15.512540400000001</v>
      </c>
      <c r="I4166" s="2">
        <v>0.76178678</v>
      </c>
      <c r="J4166" s="2">
        <v>8.6556863899999996</v>
      </c>
      <c r="L4166" s="2"/>
      <c r="M4166" s="2"/>
    </row>
    <row r="4167" spans="2:13">
      <c r="B4167" s="2"/>
      <c r="C4167" s="1">
        <v>39.269262779999998</v>
      </c>
      <c r="D4167" s="1">
        <v>0.40894137899999999</v>
      </c>
      <c r="E4167" s="1"/>
      <c r="H4167" s="2">
        <v>30.418378700000002</v>
      </c>
      <c r="I4167" s="2">
        <v>13.7898955</v>
      </c>
      <c r="J4167" s="2">
        <v>0.62571226999999996</v>
      </c>
      <c r="L4167" s="2"/>
      <c r="M4167" s="2"/>
    </row>
    <row r="4168" spans="2:13">
      <c r="B4168" s="2"/>
      <c r="C4168" s="1">
        <v>16.04823193</v>
      </c>
      <c r="D4168" s="1">
        <v>3.792601501</v>
      </c>
      <c r="E4168" s="1"/>
      <c r="H4168" s="2">
        <v>59.718522100000001</v>
      </c>
      <c r="I4168" s="2">
        <v>8.7994146999999998</v>
      </c>
      <c r="J4168" s="2">
        <v>10.567584999999999</v>
      </c>
      <c r="L4168" s="2"/>
      <c r="M4168" s="2"/>
    </row>
    <row r="4169" spans="2:13">
      <c r="B4169" s="2"/>
      <c r="C4169" s="1">
        <v>13.989372980000001</v>
      </c>
      <c r="D4169" s="1">
        <v>0.49468715200000002</v>
      </c>
      <c r="E4169" s="1"/>
      <c r="H4169" s="2">
        <v>16.2976843</v>
      </c>
      <c r="I4169" s="2">
        <v>4.7572807399999997</v>
      </c>
      <c r="J4169" s="2">
        <v>3.5109410699999999</v>
      </c>
      <c r="L4169" s="2"/>
      <c r="M4169" s="2"/>
    </row>
    <row r="4170" spans="2:13">
      <c r="B4170" s="2"/>
      <c r="C4170" s="1">
        <v>2.0226326920000002</v>
      </c>
      <c r="D4170" s="1">
        <v>1.207036652</v>
      </c>
      <c r="E4170" s="1"/>
      <c r="H4170" s="2">
        <v>1.13607945</v>
      </c>
      <c r="I4170" s="2">
        <v>11.2557884</v>
      </c>
      <c r="J4170" s="2">
        <v>5.0404599499999998</v>
      </c>
      <c r="L4170" s="2"/>
      <c r="M4170" s="2"/>
    </row>
    <row r="4171" spans="2:13">
      <c r="B4171" s="2"/>
      <c r="C4171" s="1">
        <v>7.3660056259999998</v>
      </c>
      <c r="D4171" s="1">
        <v>0.27042897700000001</v>
      </c>
      <c r="E4171" s="1"/>
      <c r="H4171" s="2">
        <v>12.8002251</v>
      </c>
      <c r="I4171" s="2">
        <v>40.545712999999999</v>
      </c>
      <c r="J4171" s="2">
        <v>9.6290165900000009</v>
      </c>
      <c r="L4171" s="2"/>
      <c r="M4171" s="2"/>
    </row>
    <row r="4172" spans="2:13">
      <c r="B4172" s="2"/>
      <c r="C4172" s="1">
        <v>1.769048892</v>
      </c>
      <c r="D4172" s="1">
        <v>1.0949075640000001</v>
      </c>
      <c r="E4172" s="1"/>
      <c r="H4172" s="2">
        <v>5.5614360700000001</v>
      </c>
      <c r="I4172" s="2">
        <v>7.8666145500000004</v>
      </c>
      <c r="J4172" s="2">
        <v>65.352170299999997</v>
      </c>
      <c r="L4172" s="2"/>
      <c r="M4172" s="2"/>
    </row>
    <row r="4173" spans="2:13">
      <c r="B4173" s="2"/>
      <c r="C4173" s="1">
        <v>4.3109246040000002</v>
      </c>
      <c r="D4173" s="1">
        <v>0.39574972200000003</v>
      </c>
      <c r="E4173" s="1"/>
      <c r="H4173" s="2">
        <v>6.1740862500000002</v>
      </c>
      <c r="I4173" s="2">
        <v>68.809557299999994</v>
      </c>
      <c r="J4173" s="2">
        <v>10.0461581</v>
      </c>
      <c r="L4173" s="2"/>
      <c r="M4173" s="2"/>
    </row>
    <row r="4174" spans="2:13">
      <c r="B4174" s="2"/>
      <c r="C4174" s="1">
        <v>12.799944200000001</v>
      </c>
      <c r="D4174" s="1">
        <v>6.5958287000000004E-2</v>
      </c>
      <c r="E4174" s="1"/>
      <c r="H4174" s="2">
        <v>13.9422526</v>
      </c>
      <c r="I4174" s="2">
        <v>9.0792547399999997</v>
      </c>
      <c r="J4174" s="2">
        <v>38.620351700000001</v>
      </c>
      <c r="L4174" s="2"/>
      <c r="M4174" s="2"/>
    </row>
    <row r="4175" spans="2:13">
      <c r="B4175" s="2"/>
      <c r="C4175" s="1">
        <v>31.758352120000001</v>
      </c>
      <c r="D4175" s="1">
        <v>0.310003949</v>
      </c>
      <c r="E4175" s="1"/>
      <c r="H4175" s="2">
        <v>61.354238600000002</v>
      </c>
      <c r="I4175" s="2">
        <v>16.868136</v>
      </c>
      <c r="J4175" s="2">
        <v>13.730908100000001</v>
      </c>
      <c r="L4175" s="2"/>
      <c r="M4175" s="2"/>
    </row>
    <row r="4176" spans="2:13">
      <c r="B4176" s="2"/>
      <c r="C4176" s="1">
        <v>7.4686466879999998</v>
      </c>
      <c r="D4176" s="1">
        <v>0.34298309199999999</v>
      </c>
      <c r="E4176" s="1"/>
      <c r="H4176" s="2">
        <v>14.275343899999999</v>
      </c>
      <c r="I4176" s="2">
        <v>11.9087485</v>
      </c>
      <c r="J4176" s="2">
        <v>16.442328</v>
      </c>
      <c r="L4176" s="2"/>
      <c r="M4176" s="2"/>
    </row>
    <row r="4177" spans="2:13">
      <c r="B4177" s="2"/>
      <c r="C4177" s="1">
        <v>31.975709670000001</v>
      </c>
      <c r="D4177" s="1">
        <v>1.21363248</v>
      </c>
      <c r="E4177" s="1"/>
      <c r="H4177" s="2">
        <v>41.820809599999997</v>
      </c>
      <c r="I4177" s="2">
        <v>2.4097337099999998</v>
      </c>
      <c r="J4177" s="2">
        <v>11.8537713</v>
      </c>
      <c r="L4177" s="2"/>
      <c r="M4177" s="2"/>
    </row>
    <row r="4178" spans="2:13">
      <c r="B4178" s="2"/>
      <c r="C4178" s="1">
        <v>16.35615511</v>
      </c>
      <c r="D4178" s="1">
        <v>0.37596223600000001</v>
      </c>
      <c r="E4178" s="1"/>
      <c r="H4178" s="2">
        <v>14.3288765</v>
      </c>
      <c r="I4178" s="2">
        <v>6.8560810600000002</v>
      </c>
      <c r="J4178" s="2">
        <v>2.81570521</v>
      </c>
      <c r="L4178" s="2"/>
      <c r="M4178" s="2"/>
    </row>
    <row r="4179" spans="2:13">
      <c r="B4179" s="2"/>
      <c r="C4179" s="1">
        <v>41.062462510000003</v>
      </c>
      <c r="D4179" s="1">
        <v>0.31659977700000003</v>
      </c>
      <c r="E4179" s="1"/>
      <c r="H4179" s="2">
        <v>28.294921299999999</v>
      </c>
      <c r="I4179" s="2">
        <v>10.136428199999999</v>
      </c>
      <c r="J4179" s="2">
        <v>10.2199671</v>
      </c>
      <c r="L4179" s="2"/>
      <c r="M4179" s="2"/>
    </row>
    <row r="4180" spans="2:13">
      <c r="B4180" s="2"/>
      <c r="C4180" s="1">
        <v>4.2928114749999997</v>
      </c>
      <c r="D4180" s="1">
        <v>0.40234555100000002</v>
      </c>
      <c r="E4180" s="1"/>
      <c r="H4180" s="2">
        <v>15.334098600000001</v>
      </c>
      <c r="I4180" s="2">
        <v>15.375655699999999</v>
      </c>
      <c r="J4180" s="2">
        <v>6.7437877899999998</v>
      </c>
      <c r="L4180" s="2"/>
      <c r="M4180" s="2"/>
    </row>
    <row r="4181" spans="2:13">
      <c r="B4181" s="2"/>
      <c r="C4181" s="1">
        <v>4.9388463949999997</v>
      </c>
      <c r="D4181" s="1">
        <v>1.596190545</v>
      </c>
      <c r="E4181" s="1"/>
      <c r="H4181" s="2">
        <v>3.6402127000000002</v>
      </c>
      <c r="I4181" s="2">
        <v>11.3024284</v>
      </c>
      <c r="J4181" s="2">
        <v>11.2975826</v>
      </c>
      <c r="L4181" s="2"/>
      <c r="M4181" s="2"/>
    </row>
    <row r="4182" spans="2:13">
      <c r="B4182" s="2"/>
      <c r="C4182" s="1">
        <v>6.6777067389999996</v>
      </c>
      <c r="D4182" s="1">
        <v>4.7687841479999999</v>
      </c>
      <c r="E4182" s="1"/>
      <c r="H4182" s="2">
        <v>10.313936</v>
      </c>
      <c r="I4182" s="2">
        <v>5.69008088</v>
      </c>
      <c r="J4182" s="2">
        <v>15.6428067</v>
      </c>
      <c r="L4182" s="2"/>
      <c r="M4182" s="2"/>
    </row>
    <row r="4183" spans="2:13">
      <c r="B4183" s="2"/>
      <c r="C4183" s="1">
        <v>12.57051124</v>
      </c>
      <c r="D4183" s="1">
        <v>0.145108231</v>
      </c>
      <c r="E4183" s="1"/>
      <c r="H4183" s="2">
        <v>10.2485073</v>
      </c>
      <c r="I4183" s="2">
        <v>9.2191747599999996</v>
      </c>
      <c r="J4183" s="2">
        <v>3.0590377599999998</v>
      </c>
      <c r="L4183" s="2"/>
      <c r="M4183" s="2"/>
    </row>
    <row r="4184" spans="2:13">
      <c r="B4184" s="2"/>
      <c r="C4184" s="1">
        <v>26.197621649999999</v>
      </c>
      <c r="D4184" s="1">
        <v>1.840236207</v>
      </c>
      <c r="E4184" s="1"/>
      <c r="H4184" s="2">
        <v>10.8016769</v>
      </c>
      <c r="I4184" s="2">
        <v>13.4323221</v>
      </c>
      <c r="J4184" s="2">
        <v>11.2628208</v>
      </c>
      <c r="L4184" s="2"/>
      <c r="M4184" s="2"/>
    </row>
    <row r="4185" spans="2:13">
      <c r="B4185" s="2"/>
      <c r="C4185" s="1">
        <v>8.6339246270000007</v>
      </c>
      <c r="D4185" s="1">
        <v>1.7083196329999999</v>
      </c>
      <c r="E4185" s="1"/>
      <c r="H4185" s="2">
        <v>16.910334500000001</v>
      </c>
      <c r="I4185" s="2">
        <v>67.223797099999999</v>
      </c>
      <c r="J4185" s="2">
        <v>15.6428067</v>
      </c>
      <c r="L4185" s="2"/>
      <c r="M4185" s="2"/>
    </row>
    <row r="4186" spans="2:13">
      <c r="B4186" s="2"/>
      <c r="C4186" s="1">
        <v>4.4618673419999997</v>
      </c>
      <c r="D4186" s="1">
        <v>0.28362063399999998</v>
      </c>
      <c r="E4186" s="1"/>
      <c r="H4186" s="2">
        <v>4.6751751400000003</v>
      </c>
      <c r="I4186" s="2">
        <v>0.37312005999999998</v>
      </c>
      <c r="J4186" s="2">
        <v>64.031222200000002</v>
      </c>
      <c r="L4186" s="2"/>
      <c r="M4186" s="2"/>
    </row>
    <row r="4187" spans="2:13">
      <c r="B4187" s="2"/>
      <c r="C4187" s="1">
        <v>4.8362053329999997</v>
      </c>
      <c r="D4187" s="1">
        <v>0.50787881000000001</v>
      </c>
      <c r="E4187" s="1"/>
      <c r="H4187" s="2">
        <v>14.1563827</v>
      </c>
      <c r="I4187" s="2">
        <v>32.414805000000001</v>
      </c>
      <c r="J4187" s="2">
        <v>1.5990424700000001</v>
      </c>
      <c r="L4187" s="2"/>
      <c r="M4187" s="2"/>
    </row>
    <row r="4188" spans="2:13">
      <c r="B4188" s="2"/>
      <c r="C4188" s="1">
        <v>14.78635064</v>
      </c>
      <c r="D4188" s="1">
        <v>0.54085795299999995</v>
      </c>
      <c r="E4188" s="1"/>
      <c r="H4188" s="2">
        <v>18.379505300000002</v>
      </c>
      <c r="I4188" s="2">
        <v>36.596859000000002</v>
      </c>
      <c r="J4188" s="2">
        <v>18.319464799999999</v>
      </c>
      <c r="L4188" s="2"/>
      <c r="M4188" s="2"/>
    </row>
    <row r="4189" spans="2:13">
      <c r="B4189" s="2"/>
      <c r="C4189" s="1">
        <v>49.261672050000001</v>
      </c>
      <c r="D4189" s="1">
        <v>40.089446819999999</v>
      </c>
      <c r="E4189" s="1"/>
      <c r="H4189" s="2">
        <v>65.940192800000005</v>
      </c>
      <c r="I4189" s="2">
        <v>14.5361356</v>
      </c>
      <c r="J4189" s="2">
        <v>32.1894201</v>
      </c>
      <c r="L4189" s="2"/>
      <c r="M4189" s="2"/>
    </row>
    <row r="4190" spans="2:13">
      <c r="B4190" s="2"/>
      <c r="C4190" s="1">
        <v>5.5909190239999997</v>
      </c>
      <c r="D4190" s="1">
        <v>0.27702480499999999</v>
      </c>
      <c r="E4190" s="1"/>
      <c r="H4190" s="2">
        <v>2.2305224899999998</v>
      </c>
      <c r="I4190" s="2">
        <v>18.205149500000001</v>
      </c>
      <c r="J4190" s="2">
        <v>11.2628208</v>
      </c>
      <c r="L4190" s="2"/>
      <c r="M4190" s="2"/>
    </row>
    <row r="4191" spans="2:13">
      <c r="B4191" s="2"/>
      <c r="C4191" s="1">
        <v>15.528988910000001</v>
      </c>
      <c r="D4191" s="1">
        <v>1.9391736369999999</v>
      </c>
      <c r="E4191" s="1"/>
      <c r="H4191" s="2">
        <v>27.723907499999999</v>
      </c>
      <c r="I4191" s="2">
        <v>21.376670000000001</v>
      </c>
      <c r="J4191" s="2">
        <v>16.129471800000001</v>
      </c>
      <c r="L4191" s="2"/>
      <c r="M4191" s="2"/>
    </row>
    <row r="4192" spans="2:13">
      <c r="B4192" s="2"/>
      <c r="C4192" s="1">
        <v>44.063204140000003</v>
      </c>
      <c r="D4192" s="1">
        <v>0.19127903199999999</v>
      </c>
      <c r="E4192" s="1"/>
      <c r="H4192" s="2">
        <v>45.205255800000003</v>
      </c>
      <c r="I4192" s="2">
        <v>14.7848823</v>
      </c>
      <c r="J4192" s="2">
        <v>14.252335</v>
      </c>
      <c r="L4192" s="2"/>
      <c r="M4192" s="2"/>
    </row>
    <row r="4193" spans="2:13">
      <c r="B4193" s="2"/>
      <c r="C4193" s="1">
        <v>7.172798921</v>
      </c>
      <c r="D4193" s="1">
        <v>1.932577808</v>
      </c>
      <c r="E4193" s="1"/>
      <c r="H4193" s="2">
        <v>12.8002251</v>
      </c>
      <c r="I4193" s="2">
        <v>10.711655</v>
      </c>
      <c r="J4193" s="2">
        <v>23.568495500000001</v>
      </c>
      <c r="L4193" s="2"/>
      <c r="M4193" s="2"/>
    </row>
    <row r="4194" spans="2:13">
      <c r="B4194" s="2"/>
      <c r="C4194" s="1">
        <v>4.7577151090000003</v>
      </c>
      <c r="D4194" s="1">
        <v>0.30340812</v>
      </c>
      <c r="E4194" s="1"/>
      <c r="H4194" s="2">
        <v>19.765403299999999</v>
      </c>
      <c r="I4194" s="2">
        <v>30.5802981</v>
      </c>
      <c r="J4194" s="2">
        <v>14.495667600000001</v>
      </c>
      <c r="L4194" s="2"/>
      <c r="M4194" s="2"/>
    </row>
    <row r="4195" spans="2:13">
      <c r="B4195" s="2"/>
      <c r="C4195" s="1">
        <v>18.795389759999999</v>
      </c>
      <c r="D4195" s="1">
        <v>190.68540759999999</v>
      </c>
      <c r="E4195" s="1"/>
      <c r="H4195" s="2">
        <v>21.389223699999999</v>
      </c>
      <c r="I4195" s="2">
        <v>5.67453421</v>
      </c>
      <c r="J4195" s="2">
        <v>28.1222903</v>
      </c>
      <c r="L4195" s="2"/>
      <c r="M4195" s="2"/>
    </row>
    <row r="4196" spans="2:13">
      <c r="B4196" s="2"/>
      <c r="C4196" s="1">
        <v>36.999083990000003</v>
      </c>
      <c r="D4196" s="1">
        <v>180.25740250000001</v>
      </c>
      <c r="E4196" s="1"/>
      <c r="H4196" s="2">
        <v>24.1907599</v>
      </c>
      <c r="I4196" s="2">
        <v>70.721797600000002</v>
      </c>
      <c r="J4196" s="2">
        <v>3.6499882399999999</v>
      </c>
      <c r="L4196" s="2"/>
      <c r="M4196" s="2"/>
    </row>
    <row r="4197" spans="2:13">
      <c r="B4197" s="2"/>
      <c r="C4197" s="1">
        <v>10.143352009999999</v>
      </c>
      <c r="D4197" s="1">
        <v>4.4389927140000003</v>
      </c>
      <c r="E4197" s="1"/>
      <c r="H4197" s="2">
        <v>14.1682788</v>
      </c>
      <c r="I4197" s="2">
        <v>10.742748300000001</v>
      </c>
      <c r="J4197" s="2">
        <v>74.1121421</v>
      </c>
      <c r="L4197" s="2"/>
      <c r="M4197" s="2"/>
    </row>
    <row r="4198" spans="2:13">
      <c r="B4198" s="2"/>
      <c r="C4198" s="1">
        <v>58.064652539999997</v>
      </c>
      <c r="D4198" s="1">
        <v>0.15170406</v>
      </c>
      <c r="E4198" s="1"/>
      <c r="H4198" s="2">
        <v>36.408075099999998</v>
      </c>
      <c r="I4198" s="2">
        <v>19.573256399999998</v>
      </c>
      <c r="J4198" s="2">
        <v>4.7276038099999997</v>
      </c>
      <c r="L4198" s="2"/>
      <c r="M4198" s="2"/>
    </row>
    <row r="4199" spans="2:13">
      <c r="B4199" s="2"/>
      <c r="C4199" s="1">
        <v>3.278476274</v>
      </c>
      <c r="D4199" s="1">
        <v>0.712349499</v>
      </c>
      <c r="E4199" s="1"/>
      <c r="H4199" s="2">
        <v>6.3465799900000004</v>
      </c>
      <c r="I4199" s="2">
        <v>33.9383786</v>
      </c>
      <c r="J4199" s="2">
        <v>18.0066086</v>
      </c>
      <c r="L4199" s="2"/>
      <c r="M4199" s="2"/>
    </row>
    <row r="4200" spans="2:13">
      <c r="B4200" s="2"/>
      <c r="C4200" s="1">
        <v>16.99615232</v>
      </c>
      <c r="D4200" s="1">
        <v>0.33638726400000002</v>
      </c>
      <c r="E4200" s="1"/>
      <c r="H4200" s="2">
        <v>74.368593799999999</v>
      </c>
      <c r="I4200" s="2">
        <v>64.658596700000004</v>
      </c>
      <c r="J4200" s="2">
        <v>27.044674700000002</v>
      </c>
      <c r="L4200" s="2"/>
      <c r="M4200" s="2"/>
    </row>
    <row r="4201" spans="2:13">
      <c r="B4201" s="2"/>
      <c r="C4201" s="1">
        <v>10.05278637</v>
      </c>
      <c r="D4201" s="1">
        <v>0.244045662</v>
      </c>
      <c r="E4201" s="1"/>
      <c r="H4201" s="2">
        <v>7.1436200200000002</v>
      </c>
      <c r="I4201" s="2">
        <v>1.6790402600000001</v>
      </c>
      <c r="J4201" s="2">
        <v>56.766007500000001</v>
      </c>
      <c r="L4201" s="2"/>
      <c r="M4201" s="2"/>
    </row>
    <row r="4202" spans="2:13">
      <c r="B4202" s="2"/>
      <c r="C4202" s="1">
        <v>21.61500011</v>
      </c>
      <c r="D4202" s="1">
        <v>94.109283860000005</v>
      </c>
      <c r="E4202" s="1"/>
      <c r="H4202" s="2">
        <v>18.129686800000002</v>
      </c>
      <c r="I4202" s="2">
        <v>13.8831755</v>
      </c>
      <c r="J4202" s="2">
        <v>3.68475003</v>
      </c>
      <c r="L4202" s="2"/>
      <c r="M4202" s="2"/>
    </row>
    <row r="4203" spans="2:13">
      <c r="B4203" s="2"/>
      <c r="C4203" s="1">
        <v>24.766684489999999</v>
      </c>
      <c r="D4203" s="1">
        <v>0.27702480499999999</v>
      </c>
      <c r="E4203" s="1"/>
      <c r="H4203" s="2">
        <v>39.5427027</v>
      </c>
      <c r="I4203" s="2">
        <v>12.390695300000001</v>
      </c>
      <c r="J4203" s="2">
        <v>11.019488300000001</v>
      </c>
      <c r="L4203" s="2"/>
      <c r="M4203" s="2"/>
    </row>
    <row r="4204" spans="2:13">
      <c r="B4204" s="2"/>
      <c r="C4204" s="1">
        <v>30.78628089</v>
      </c>
      <c r="D4204" s="1">
        <v>37.945802499999999</v>
      </c>
      <c r="E4204" s="1"/>
      <c r="H4204" s="2">
        <v>56.274595400000003</v>
      </c>
      <c r="I4204" s="2">
        <v>7.3224811399999998</v>
      </c>
      <c r="J4204" s="2">
        <v>11.019488300000001</v>
      </c>
      <c r="L4204" s="2"/>
      <c r="M4204" s="2"/>
    </row>
    <row r="4205" spans="2:13">
      <c r="B4205" s="2"/>
      <c r="C4205" s="1">
        <v>5.5365796380000001</v>
      </c>
      <c r="D4205" s="1">
        <v>1.292782425</v>
      </c>
      <c r="E4205" s="1"/>
      <c r="H4205" s="2">
        <v>5.7577220499999999</v>
      </c>
      <c r="I4205" s="2">
        <v>19.075762999999998</v>
      </c>
      <c r="J4205" s="2">
        <v>4.0323679600000002</v>
      </c>
      <c r="L4205" s="2"/>
      <c r="M4205" s="2"/>
    </row>
    <row r="4206" spans="2:13">
      <c r="B4206" s="2"/>
      <c r="C4206" s="1">
        <v>13.50031851</v>
      </c>
      <c r="D4206" s="1">
        <v>1.6951279749999999</v>
      </c>
      <c r="E4206" s="1"/>
      <c r="H4206" s="2">
        <v>14.8939422</v>
      </c>
      <c r="I4206" s="2">
        <v>5.0526674500000004</v>
      </c>
      <c r="J4206" s="2">
        <v>28.018004900000001</v>
      </c>
      <c r="L4206" s="2"/>
      <c r="M4206" s="2"/>
    </row>
    <row r="4207" spans="2:13">
      <c r="B4207" s="2"/>
      <c r="C4207" s="1">
        <v>10.98259363</v>
      </c>
      <c r="D4207" s="1">
        <v>0.850861902</v>
      </c>
      <c r="E4207" s="1"/>
      <c r="H4207" s="2">
        <v>16.892490299999999</v>
      </c>
      <c r="I4207" s="2">
        <v>25.527630599999998</v>
      </c>
      <c r="J4207" s="2">
        <v>6.8480731700000002</v>
      </c>
      <c r="L4207" s="2"/>
      <c r="M4207" s="2"/>
    </row>
    <row r="4208" spans="2:13">
      <c r="B4208" s="2"/>
      <c r="C4208" s="1">
        <v>5.4097877380000003</v>
      </c>
      <c r="D4208" s="1">
        <v>329.69909330000002</v>
      </c>
      <c r="E4208" s="1"/>
      <c r="H4208" s="2">
        <v>5.66850115</v>
      </c>
      <c r="I4208" s="2">
        <v>12.608348599999999</v>
      </c>
      <c r="J4208" s="2">
        <v>19.2580332</v>
      </c>
      <c r="L4208" s="2"/>
      <c r="M4208" s="2"/>
    </row>
    <row r="4209" spans="2:13">
      <c r="B4209" s="2"/>
      <c r="C4209" s="1">
        <v>13.11994281</v>
      </c>
      <c r="D4209" s="1">
        <v>0.39574972200000003</v>
      </c>
      <c r="E4209" s="1"/>
      <c r="H4209" s="2">
        <v>33.005784800000001</v>
      </c>
      <c r="I4209" s="2">
        <v>33.6740852</v>
      </c>
      <c r="J4209" s="2">
        <v>14.982332700000001</v>
      </c>
      <c r="L4209" s="2"/>
      <c r="M4209" s="2"/>
    </row>
    <row r="4210" spans="2:13">
      <c r="B4210" s="2"/>
      <c r="C4210" s="1">
        <v>4.7758282379999999</v>
      </c>
      <c r="D4210" s="1">
        <v>1.035545106</v>
      </c>
      <c r="E4210" s="1"/>
      <c r="H4210" s="2">
        <v>5.8885793700000004</v>
      </c>
      <c r="I4210" s="2">
        <v>3.0160537999999999</v>
      </c>
      <c r="J4210" s="2">
        <v>45.537948499999999</v>
      </c>
      <c r="L4210" s="2"/>
      <c r="M4210" s="2"/>
    </row>
    <row r="4211" spans="2:13">
      <c r="B4211" s="2"/>
      <c r="C4211" s="1">
        <v>20.673117430000001</v>
      </c>
      <c r="D4211" s="1">
        <v>196.4435661</v>
      </c>
      <c r="E4211" s="1"/>
      <c r="H4211" s="2">
        <v>30.085287300000001</v>
      </c>
      <c r="I4211" s="2">
        <v>69.446970800000003</v>
      </c>
      <c r="J4211" s="2">
        <v>7.09140572</v>
      </c>
      <c r="L4211" s="2"/>
      <c r="M4211" s="2"/>
    </row>
    <row r="4212" spans="2:13">
      <c r="B4212" s="2"/>
      <c r="C4212" s="1">
        <v>42.614153860000002</v>
      </c>
      <c r="D4212" s="1">
        <v>2.9285479419999998</v>
      </c>
      <c r="E4212" s="1"/>
      <c r="H4212" s="2">
        <v>19.230077900000001</v>
      </c>
      <c r="I4212" s="2">
        <v>5.0993074600000003</v>
      </c>
      <c r="J4212" s="2">
        <v>117.56438300000001</v>
      </c>
      <c r="L4212" s="2"/>
      <c r="M4212" s="2"/>
    </row>
    <row r="4213" spans="2:13">
      <c r="B4213" s="2"/>
      <c r="C4213" s="1">
        <v>42.173401060000003</v>
      </c>
      <c r="D4213" s="1">
        <v>0.81788275899999996</v>
      </c>
      <c r="E4213" s="1"/>
      <c r="H4213" s="2">
        <v>45.336113099999999</v>
      </c>
      <c r="I4213" s="2">
        <v>5.3480541600000002</v>
      </c>
      <c r="J4213" s="2">
        <v>6.0137901400000002</v>
      </c>
      <c r="L4213" s="2"/>
      <c r="M4213" s="2"/>
    </row>
    <row r="4214" spans="2:13">
      <c r="B4214" s="2"/>
      <c r="C4214" s="1">
        <v>8.5554344029999996</v>
      </c>
      <c r="D4214" s="1">
        <v>1.3917198550000001</v>
      </c>
      <c r="E4214" s="1"/>
      <c r="H4214" s="2">
        <v>8.6187389000000003</v>
      </c>
      <c r="I4214" s="2">
        <v>28.294937699999998</v>
      </c>
      <c r="J4214" s="2">
        <v>5.7009340100000001</v>
      </c>
      <c r="L4214" s="2"/>
      <c r="M4214" s="2"/>
    </row>
    <row r="4215" spans="2:13">
      <c r="B4215" s="2"/>
      <c r="C4215" s="1">
        <v>154.9034757</v>
      </c>
      <c r="D4215" s="1">
        <v>0.19127903199999999</v>
      </c>
      <c r="E4215" s="1"/>
      <c r="H4215" s="2">
        <v>109.955837</v>
      </c>
      <c r="I4215" s="2">
        <v>31.2643515</v>
      </c>
      <c r="J4215" s="2">
        <v>26.036582800000001</v>
      </c>
      <c r="L4215" s="2"/>
      <c r="M4215" s="2"/>
    </row>
    <row r="4216" spans="2:13">
      <c r="B4216" s="2"/>
      <c r="C4216" s="1">
        <v>5.9592193050000004</v>
      </c>
      <c r="D4216" s="1">
        <v>0.158299889</v>
      </c>
      <c r="E4216" s="1"/>
      <c r="H4216" s="2">
        <v>7.0900874800000002</v>
      </c>
      <c r="I4216" s="2">
        <v>16.805949300000002</v>
      </c>
      <c r="J4216" s="2">
        <v>51.134597100000001</v>
      </c>
      <c r="L4216" s="2"/>
      <c r="M4216" s="2"/>
    </row>
    <row r="4217" spans="2:13">
      <c r="B4217" s="2"/>
      <c r="C4217" s="1">
        <v>26.668562990000002</v>
      </c>
      <c r="D4217" s="1">
        <v>0.112129088</v>
      </c>
      <c r="E4217" s="1"/>
      <c r="H4217" s="2">
        <v>8.7495962200000008</v>
      </c>
      <c r="I4217" s="2">
        <v>32.041685000000001</v>
      </c>
      <c r="J4217" s="2">
        <v>10.428537800000001</v>
      </c>
      <c r="L4217" s="2"/>
      <c r="M4217" s="2"/>
    </row>
    <row r="4218" spans="2:13">
      <c r="B4218" s="2"/>
      <c r="C4218" s="1">
        <v>28.576479200000001</v>
      </c>
      <c r="D4218" s="1">
        <v>0.112129088</v>
      </c>
      <c r="E4218" s="1"/>
      <c r="H4218" s="2">
        <v>31.1202498</v>
      </c>
      <c r="I4218" s="2">
        <v>2.3475470299999999</v>
      </c>
      <c r="J4218" s="2">
        <v>25.202299700000001</v>
      </c>
      <c r="L4218" s="2"/>
      <c r="M4218" s="2"/>
    </row>
    <row r="4219" spans="2:13">
      <c r="B4219" s="2"/>
      <c r="C4219" s="1">
        <v>33.895701299999999</v>
      </c>
      <c r="D4219" s="1">
        <v>2.1898151280000002</v>
      </c>
      <c r="E4219" s="1"/>
      <c r="H4219" s="2">
        <v>50.374119899999997</v>
      </c>
      <c r="I4219" s="2">
        <v>9.6078414900000002</v>
      </c>
      <c r="J4219" s="2">
        <v>2.0161839800000001</v>
      </c>
      <c r="L4219" s="2"/>
      <c r="M4219" s="2"/>
    </row>
    <row r="4220" spans="2:13">
      <c r="B4220" s="2"/>
      <c r="C4220" s="1">
        <v>14.122202590000001</v>
      </c>
      <c r="D4220" s="1">
        <v>2.0776860400000001</v>
      </c>
      <c r="E4220" s="1"/>
      <c r="H4220" s="2">
        <v>12.9786669</v>
      </c>
      <c r="I4220" s="2">
        <v>2.2231736799999999</v>
      </c>
      <c r="J4220" s="2">
        <v>7.6475944</v>
      </c>
      <c r="L4220" s="2"/>
      <c r="M4220" s="2"/>
    </row>
    <row r="4221" spans="2:13">
      <c r="B4221" s="2"/>
      <c r="C4221" s="1">
        <v>33.050421960000001</v>
      </c>
      <c r="D4221" s="1">
        <v>0.34298309199999999</v>
      </c>
      <c r="E4221" s="1"/>
      <c r="H4221" s="2">
        <v>24.8866829</v>
      </c>
      <c r="I4221" s="2">
        <v>2.4563737099999998</v>
      </c>
      <c r="J4221" s="2">
        <v>2.3290401100000002</v>
      </c>
      <c r="L4221" s="2"/>
      <c r="M4221" s="2"/>
    </row>
    <row r="4222" spans="2:13">
      <c r="B4222" s="2"/>
      <c r="C4222" s="1">
        <v>7.2814776920000002</v>
      </c>
      <c r="D4222" s="1">
        <v>3.891538932</v>
      </c>
      <c r="E4222" s="1"/>
      <c r="H4222" s="2">
        <v>3.6223685200000002</v>
      </c>
      <c r="I4222" s="2">
        <v>35.399765500000001</v>
      </c>
      <c r="J4222" s="2">
        <v>3.0590377599999998</v>
      </c>
      <c r="L4222" s="2"/>
      <c r="M4222" s="2"/>
    </row>
    <row r="4223" spans="2:13">
      <c r="B4223" s="2"/>
      <c r="C4223" s="1">
        <v>7.5652500399999996</v>
      </c>
      <c r="D4223" s="1">
        <v>0.79149944400000005</v>
      </c>
      <c r="E4223" s="1"/>
      <c r="H4223" s="2">
        <v>9.4336231099999992</v>
      </c>
      <c r="I4223" s="2">
        <v>20.0552031</v>
      </c>
      <c r="J4223" s="2">
        <v>31.702755</v>
      </c>
      <c r="L4223" s="2"/>
      <c r="M4223" s="2"/>
    </row>
    <row r="4224" spans="2:13">
      <c r="B4224" s="2"/>
      <c r="C4224" s="1">
        <v>2.2218771070000001</v>
      </c>
      <c r="D4224" s="1">
        <v>0.56064543899999997</v>
      </c>
      <c r="E4224" s="1"/>
      <c r="H4224" s="2">
        <v>2.9086013300000002</v>
      </c>
      <c r="I4224" s="2">
        <v>3.7312005799999999</v>
      </c>
      <c r="J4224" s="2">
        <v>18.2151794</v>
      </c>
      <c r="L4224" s="2"/>
      <c r="M4224" s="2"/>
    </row>
    <row r="4225" spans="2:13">
      <c r="B4225" s="2"/>
      <c r="C4225" s="1">
        <v>2.064896659</v>
      </c>
      <c r="D4225" s="1">
        <v>0.21766234700000001</v>
      </c>
      <c r="E4225" s="1"/>
      <c r="H4225" s="2">
        <v>3.9911482399999998</v>
      </c>
      <c r="I4225" s="2">
        <v>46.391260500000001</v>
      </c>
      <c r="J4225" s="2">
        <v>4.9014127700000003</v>
      </c>
      <c r="L4225" s="2"/>
      <c r="M4225" s="2"/>
    </row>
    <row r="4226" spans="2:13">
      <c r="B4226" s="2"/>
      <c r="C4226" s="1">
        <v>31.812691510000001</v>
      </c>
      <c r="D4226" s="1">
        <v>0.36936640700000001</v>
      </c>
      <c r="E4226" s="1"/>
      <c r="H4226" s="2">
        <v>34.427371100000002</v>
      </c>
      <c r="I4226" s="2">
        <v>17.287896</v>
      </c>
      <c r="J4226" s="2">
        <v>55.896962700000003</v>
      </c>
      <c r="L4226" s="2"/>
      <c r="M4226" s="2"/>
    </row>
    <row r="4227" spans="2:13">
      <c r="B4227" s="2"/>
      <c r="C4227" s="1">
        <v>39.927373119999999</v>
      </c>
      <c r="D4227" s="1">
        <v>0.20447069000000001</v>
      </c>
      <c r="E4227" s="1"/>
      <c r="H4227" s="2">
        <v>21.686626700000001</v>
      </c>
      <c r="I4227" s="2">
        <v>13.1835754</v>
      </c>
      <c r="J4227" s="2">
        <v>16.824707700000001</v>
      </c>
      <c r="L4227" s="2"/>
      <c r="M4227" s="2"/>
    </row>
    <row r="4228" spans="2:13">
      <c r="B4228" s="2"/>
      <c r="C4228" s="1">
        <v>7.0037430540000001</v>
      </c>
      <c r="D4228" s="1">
        <v>6.5958290000000001E-3</v>
      </c>
      <c r="E4228" s="1"/>
      <c r="H4228" s="2">
        <v>7.3993865999999997</v>
      </c>
      <c r="I4228" s="2">
        <v>6.2031209599999997</v>
      </c>
      <c r="J4228" s="2">
        <v>9.7333019600000004</v>
      </c>
      <c r="L4228" s="2"/>
      <c r="M4228" s="2"/>
    </row>
    <row r="4229" spans="2:13">
      <c r="B4229" s="2"/>
      <c r="C4229" s="1">
        <v>57.285788009999997</v>
      </c>
      <c r="D4229" s="1">
        <v>8.5745772999999997E-2</v>
      </c>
      <c r="E4229" s="1"/>
      <c r="H4229" s="2">
        <v>54.371216199999999</v>
      </c>
      <c r="I4229" s="2">
        <v>4.7572807399999997</v>
      </c>
      <c r="J4229" s="2">
        <v>4.2061769199999999</v>
      </c>
      <c r="L4229" s="2"/>
      <c r="M4229" s="2"/>
    </row>
    <row r="4230" spans="2:13">
      <c r="B4230" s="2"/>
      <c r="C4230" s="1">
        <v>10.976555919999999</v>
      </c>
      <c r="D4230" s="1">
        <v>9.8937430000000007E-2</v>
      </c>
      <c r="E4230" s="1"/>
      <c r="H4230" s="2">
        <v>21.305950800000002</v>
      </c>
      <c r="I4230" s="2">
        <v>3.7001072399999999</v>
      </c>
      <c r="J4230" s="2">
        <v>7.0218821299999998</v>
      </c>
      <c r="L4230" s="2"/>
      <c r="M4230" s="2"/>
    </row>
    <row r="4231" spans="2:13">
      <c r="B4231" s="2"/>
      <c r="C4231" s="1">
        <v>25.14102248</v>
      </c>
      <c r="D4231" s="1">
        <v>2.6383315000000001E-2</v>
      </c>
      <c r="E4231" s="1"/>
      <c r="H4231" s="2">
        <v>11.854483500000001</v>
      </c>
      <c r="I4231" s="2">
        <v>0.17101336</v>
      </c>
      <c r="J4231" s="2">
        <v>3.5109410699999999</v>
      </c>
      <c r="L4231" s="2"/>
      <c r="M4231" s="2"/>
    </row>
    <row r="4232" spans="2:13">
      <c r="B4232" s="2"/>
      <c r="C4232" s="1">
        <v>9.6784483750000003</v>
      </c>
      <c r="D4232" s="1">
        <v>1.21363248</v>
      </c>
      <c r="E4232" s="1"/>
      <c r="H4232" s="2">
        <v>5.5019554700000004</v>
      </c>
      <c r="I4232" s="2">
        <v>5.9388275899999998</v>
      </c>
      <c r="J4232" s="2">
        <v>0.10428538</v>
      </c>
      <c r="L4232" s="2"/>
      <c r="M4232" s="2"/>
    </row>
    <row r="4233" spans="2:13">
      <c r="B4233" s="2"/>
      <c r="C4233" s="1">
        <v>9.5154302180000006</v>
      </c>
      <c r="D4233" s="1">
        <v>0.50787881000000001</v>
      </c>
      <c r="E4233" s="1"/>
      <c r="H4233" s="2">
        <v>12.615835199999999</v>
      </c>
      <c r="I4233" s="2">
        <v>2.2387203499999999</v>
      </c>
      <c r="J4233" s="2">
        <v>3.3023703100000001</v>
      </c>
      <c r="L4233" s="2"/>
      <c r="M4233" s="2"/>
    </row>
    <row r="4234" spans="2:13">
      <c r="B4234" s="2"/>
      <c r="C4234" s="1">
        <v>8.3924162459999998</v>
      </c>
      <c r="D4234" s="1">
        <v>1.523636429</v>
      </c>
      <c r="E4234" s="1"/>
      <c r="H4234" s="2">
        <v>5.3175656099999999</v>
      </c>
      <c r="I4234" s="2">
        <v>1.9588802999999999</v>
      </c>
      <c r="J4234" s="2">
        <v>3.1633231400000001</v>
      </c>
      <c r="L4234" s="2"/>
      <c r="M4234" s="2"/>
    </row>
    <row r="4235" spans="2:13">
      <c r="B4235" s="2"/>
      <c r="C4235" s="1">
        <v>0.15698044799999999</v>
      </c>
      <c r="D4235" s="1">
        <v>3.753026529</v>
      </c>
      <c r="E4235" s="1"/>
      <c r="H4235" s="2">
        <v>0.20818210000000001</v>
      </c>
      <c r="I4235" s="2">
        <v>8.8305080399999998</v>
      </c>
      <c r="J4235" s="2">
        <v>0.72999765000000005</v>
      </c>
      <c r="L4235" s="2"/>
      <c r="M4235" s="2"/>
    </row>
    <row r="4236" spans="2:13">
      <c r="B4236" s="2"/>
      <c r="C4236" s="1">
        <v>6.5267640010000001</v>
      </c>
      <c r="D4236" s="1">
        <v>0.20447069000000001</v>
      </c>
      <c r="E4236" s="1"/>
      <c r="H4236" s="2">
        <v>5.9123716100000001</v>
      </c>
      <c r="I4236" s="2">
        <v>7.5401344999999997</v>
      </c>
      <c r="J4236" s="2">
        <v>13.591861</v>
      </c>
      <c r="L4236" s="2"/>
      <c r="M4236" s="2"/>
    </row>
    <row r="4237" spans="2:13">
      <c r="B4237" s="2"/>
      <c r="C4237" s="1">
        <v>3.9848882890000001</v>
      </c>
      <c r="D4237" s="1">
        <v>2.908760456</v>
      </c>
      <c r="E4237" s="1"/>
      <c r="H4237" s="2">
        <v>4.3718240799999997</v>
      </c>
      <c r="I4237" s="2">
        <v>24.828030500000001</v>
      </c>
      <c r="J4237" s="2">
        <v>9.6985401699999993</v>
      </c>
      <c r="L4237" s="2"/>
      <c r="M4237" s="2"/>
    </row>
    <row r="4238" spans="2:13">
      <c r="B4238" s="2"/>
      <c r="C4238" s="1">
        <v>0.57962011499999999</v>
      </c>
      <c r="D4238" s="1">
        <v>0.89043687400000004</v>
      </c>
      <c r="E4238" s="1"/>
      <c r="H4238" s="2">
        <v>1.05280661</v>
      </c>
      <c r="I4238" s="2">
        <v>51.677128000000003</v>
      </c>
      <c r="J4238" s="2">
        <v>47.623655999999997</v>
      </c>
      <c r="L4238" s="2"/>
      <c r="M4238" s="2"/>
    </row>
    <row r="4239" spans="2:13">
      <c r="B4239" s="2"/>
      <c r="C4239" s="1">
        <v>32.597593750000001</v>
      </c>
      <c r="D4239" s="1">
        <v>1.510444772</v>
      </c>
      <c r="E4239" s="1"/>
      <c r="H4239" s="2">
        <v>17.166101099999999</v>
      </c>
      <c r="I4239" s="2">
        <v>8.0687212499999994</v>
      </c>
      <c r="J4239" s="2">
        <v>62.779797700000003</v>
      </c>
      <c r="L4239" s="2"/>
      <c r="M4239" s="2"/>
    </row>
    <row r="4240" spans="2:13">
      <c r="B4240" s="2"/>
      <c r="C4240" s="1">
        <v>20.479910719999999</v>
      </c>
      <c r="D4240" s="1">
        <v>0.74532864300000001</v>
      </c>
      <c r="E4240" s="1"/>
      <c r="H4240" s="2">
        <v>8.1488421599999992</v>
      </c>
      <c r="I4240" s="2">
        <v>48.303500800000002</v>
      </c>
      <c r="J4240" s="2">
        <v>9.1423514899999994</v>
      </c>
      <c r="L4240" s="2"/>
      <c r="M4240" s="2"/>
    </row>
    <row r="4241" spans="2:13">
      <c r="B4241" s="2"/>
      <c r="C4241" s="1">
        <v>45.699423430000003</v>
      </c>
      <c r="D4241" s="1">
        <v>0.38255806399999998</v>
      </c>
      <c r="E4241" s="1"/>
      <c r="H4241" s="2">
        <v>52.146641799999998</v>
      </c>
      <c r="I4241" s="2">
        <v>16.2462692</v>
      </c>
      <c r="J4241" s="2">
        <v>31.702755</v>
      </c>
      <c r="L4241" s="2"/>
      <c r="M4241" s="2"/>
    </row>
    <row r="4242" spans="2:13">
      <c r="B4242" s="2"/>
      <c r="C4242" s="1">
        <v>71.740064630000006</v>
      </c>
      <c r="D4242" s="1">
        <v>2.2359859289999999</v>
      </c>
      <c r="E4242" s="1"/>
      <c r="H4242" s="2">
        <v>68.8487942</v>
      </c>
      <c r="I4242" s="2">
        <v>18.578269599999999</v>
      </c>
      <c r="J4242" s="2">
        <v>20.613743100000001</v>
      </c>
      <c r="L4242" s="2"/>
      <c r="M4242" s="2"/>
    </row>
    <row r="4243" spans="2:13">
      <c r="B4243" s="2"/>
      <c r="C4243" s="1">
        <v>3.2301745980000001</v>
      </c>
      <c r="D4243" s="1">
        <v>373.9439122</v>
      </c>
      <c r="E4243" s="1"/>
      <c r="H4243" s="2">
        <v>8.9815705500000007</v>
      </c>
      <c r="I4243" s="2">
        <v>16.2929092</v>
      </c>
      <c r="J4243" s="2">
        <v>15.5037596</v>
      </c>
      <c r="L4243" s="2"/>
      <c r="M4243" s="2"/>
    </row>
    <row r="4244" spans="2:13">
      <c r="B4244" s="2"/>
      <c r="C4244" s="1">
        <v>20.117648150000001</v>
      </c>
      <c r="D4244" s="1">
        <v>2.1502401550000001</v>
      </c>
      <c r="E4244" s="1"/>
      <c r="H4244" s="2">
        <v>49.4581187</v>
      </c>
      <c r="I4244" s="2">
        <v>6.1720276199999997</v>
      </c>
      <c r="J4244" s="2">
        <v>12.8966251</v>
      </c>
      <c r="L4244" s="2"/>
      <c r="M4244" s="2"/>
    </row>
    <row r="4245" spans="2:13">
      <c r="B4245" s="2"/>
      <c r="C4245" s="1">
        <v>32.416462459999998</v>
      </c>
      <c r="D4245" s="1">
        <v>6.1605040039999999</v>
      </c>
      <c r="E4245" s="1"/>
      <c r="H4245" s="2">
        <v>24.5773838</v>
      </c>
      <c r="I4245" s="2">
        <v>61.222782799999997</v>
      </c>
      <c r="J4245" s="2">
        <v>8.2733066700000002</v>
      </c>
      <c r="L4245" s="2"/>
      <c r="M4245" s="2"/>
    </row>
    <row r="4246" spans="2:13">
      <c r="B4246" s="2"/>
      <c r="C4246" s="1">
        <v>15.058047569999999</v>
      </c>
      <c r="D4246" s="1">
        <v>2.7768438820000001</v>
      </c>
      <c r="E4246" s="1"/>
      <c r="H4246" s="2">
        <v>23.548369399999999</v>
      </c>
      <c r="I4246" s="2">
        <v>31.419818200000002</v>
      </c>
      <c r="J4246" s="2">
        <v>53.602684400000001</v>
      </c>
      <c r="L4246" s="2"/>
      <c r="M4246" s="2"/>
    </row>
    <row r="4247" spans="2:13">
      <c r="B4247" s="2"/>
      <c r="C4247" s="1">
        <v>14.484465159999999</v>
      </c>
      <c r="D4247" s="1">
        <v>3.086847831</v>
      </c>
      <c r="E4247" s="1"/>
      <c r="H4247" s="2">
        <v>15.447111700000001</v>
      </c>
      <c r="I4247" s="2">
        <v>20.941363299999999</v>
      </c>
      <c r="J4247" s="2">
        <v>38.411780999999998</v>
      </c>
      <c r="L4247" s="2"/>
      <c r="M4247" s="2"/>
    </row>
    <row r="4248" spans="2:13">
      <c r="B4248" s="2"/>
      <c r="C4248" s="1">
        <v>6.8467626060000004</v>
      </c>
      <c r="D4248" s="1">
        <v>0.32319560600000002</v>
      </c>
      <c r="E4248" s="1"/>
      <c r="H4248" s="2">
        <v>9.6537013300000005</v>
      </c>
      <c r="I4248" s="2">
        <v>60.243342699999999</v>
      </c>
      <c r="J4248" s="2">
        <v>26.870865800000001</v>
      </c>
      <c r="L4248" s="2"/>
      <c r="M4248" s="2"/>
    </row>
    <row r="4249" spans="2:13">
      <c r="B4249" s="2"/>
      <c r="C4249" s="1">
        <v>16.57955037</v>
      </c>
      <c r="D4249" s="1">
        <v>0.145108231</v>
      </c>
      <c r="E4249" s="1"/>
      <c r="H4249" s="2">
        <v>53.913215600000001</v>
      </c>
      <c r="I4249" s="2">
        <v>18.935842900000001</v>
      </c>
      <c r="J4249" s="2">
        <v>76.0240407</v>
      </c>
      <c r="L4249" s="2"/>
      <c r="M4249" s="2"/>
    </row>
    <row r="4250" spans="2:13">
      <c r="B4250" s="2"/>
      <c r="C4250" s="1">
        <v>50.106951379999998</v>
      </c>
      <c r="D4250" s="1">
        <v>1.615978031</v>
      </c>
      <c r="E4250" s="1"/>
      <c r="H4250" s="2">
        <v>43.2245518</v>
      </c>
      <c r="I4250" s="2">
        <v>36.985525699999997</v>
      </c>
      <c r="J4250" s="2">
        <v>26.558009599999998</v>
      </c>
      <c r="L4250" s="2"/>
      <c r="M4250" s="2"/>
    </row>
    <row r="4251" spans="2:13">
      <c r="B4251" s="2"/>
      <c r="C4251" s="1">
        <v>22.979522469999999</v>
      </c>
      <c r="D4251" s="1">
        <v>2.3547108450000001</v>
      </c>
      <c r="E4251" s="1"/>
      <c r="H4251" s="2">
        <v>30.257781099999999</v>
      </c>
      <c r="I4251" s="2">
        <v>13.012562000000001</v>
      </c>
      <c r="J4251" s="2">
        <v>48.388415500000001</v>
      </c>
      <c r="L4251" s="2"/>
      <c r="M4251" s="2"/>
    </row>
    <row r="4252" spans="2:13">
      <c r="B4252" s="2"/>
      <c r="C4252" s="1">
        <v>138.80694209999999</v>
      </c>
      <c r="D4252" s="1">
        <v>32.70871451</v>
      </c>
      <c r="E4252" s="1"/>
      <c r="H4252" s="2">
        <v>95.793505800000005</v>
      </c>
      <c r="I4252" s="2">
        <v>10.944855</v>
      </c>
      <c r="J4252" s="2">
        <v>4.9709363599999996</v>
      </c>
      <c r="L4252" s="2"/>
      <c r="M4252" s="2"/>
    </row>
    <row r="4253" spans="2:13">
      <c r="B4253" s="2"/>
      <c r="C4253" s="1">
        <v>52.473733520000003</v>
      </c>
      <c r="D4253" s="1">
        <v>0.21106651800000001</v>
      </c>
      <c r="E4253" s="1"/>
      <c r="H4253" s="2">
        <v>35.593190900000003</v>
      </c>
      <c r="I4253" s="2">
        <v>29.740777900000001</v>
      </c>
      <c r="J4253" s="2">
        <v>6.0137901400000002</v>
      </c>
      <c r="L4253" s="2"/>
      <c r="M4253" s="2"/>
    </row>
    <row r="4254" spans="2:13">
      <c r="B4254" s="2"/>
      <c r="C4254" s="1">
        <v>59.84577685</v>
      </c>
      <c r="D4254" s="1">
        <v>53.69664143</v>
      </c>
      <c r="E4254" s="1"/>
      <c r="H4254" s="2">
        <v>61.413719200000003</v>
      </c>
      <c r="I4254" s="2">
        <v>36.037178900000001</v>
      </c>
      <c r="J4254" s="2">
        <v>31.1465663</v>
      </c>
      <c r="L4254" s="2"/>
      <c r="M4254" s="2"/>
    </row>
    <row r="4255" spans="2:13">
      <c r="B4255" s="2"/>
      <c r="C4255" s="1">
        <v>5.1139399709999998</v>
      </c>
      <c r="D4255" s="1">
        <v>0.60022041100000001</v>
      </c>
      <c r="E4255" s="1"/>
      <c r="H4255" s="2">
        <v>9.4038828100000007</v>
      </c>
      <c r="I4255" s="2">
        <v>94.368281300000007</v>
      </c>
      <c r="J4255" s="2">
        <v>47.102229100000002</v>
      </c>
      <c r="L4255" s="2"/>
      <c r="M4255" s="2"/>
    </row>
    <row r="4256" spans="2:13">
      <c r="B4256" s="2"/>
      <c r="C4256" s="1">
        <v>8.4769441790000002</v>
      </c>
      <c r="D4256" s="1">
        <v>1.121290879</v>
      </c>
      <c r="E4256" s="1"/>
      <c r="H4256" s="2">
        <v>7.2923215199999998</v>
      </c>
      <c r="I4256" s="2">
        <v>7.4313078199999998</v>
      </c>
      <c r="J4256" s="2">
        <v>67.020736400000004</v>
      </c>
      <c r="L4256" s="2"/>
      <c r="M4256" s="2"/>
    </row>
    <row r="4257" spans="2:13">
      <c r="B4257" s="2"/>
      <c r="C4257" s="1">
        <v>26.052716620000002</v>
      </c>
      <c r="D4257" s="1">
        <v>1.787469577</v>
      </c>
      <c r="E4257" s="1"/>
      <c r="H4257" s="2">
        <v>42.5583691</v>
      </c>
      <c r="I4257" s="2">
        <v>7.5245878299999998</v>
      </c>
      <c r="J4257" s="2">
        <v>3.4414174800000001</v>
      </c>
      <c r="L4257" s="2"/>
      <c r="M4257" s="2"/>
    </row>
    <row r="4258" spans="2:13">
      <c r="B4258" s="2"/>
      <c r="C4258" s="1">
        <v>48.766579870000001</v>
      </c>
      <c r="D4258" s="1">
        <v>9.2341601999999995E-2</v>
      </c>
      <c r="E4258" s="1"/>
      <c r="H4258" s="2">
        <v>54.650775000000003</v>
      </c>
      <c r="I4258" s="2">
        <v>15.950882500000001</v>
      </c>
      <c r="J4258" s="2">
        <v>5.9095047599999999</v>
      </c>
      <c r="L4258" s="2"/>
      <c r="M4258" s="2"/>
    </row>
    <row r="4259" spans="2:13">
      <c r="B4259" s="2"/>
      <c r="C4259" s="1">
        <v>55.28730616</v>
      </c>
      <c r="D4259" s="1">
        <v>0.93660767499999997</v>
      </c>
      <c r="E4259" s="1"/>
      <c r="H4259" s="2">
        <v>91.362201099999993</v>
      </c>
      <c r="I4259" s="2">
        <v>21.998536699999999</v>
      </c>
      <c r="J4259" s="2">
        <v>11.8885331</v>
      </c>
      <c r="L4259" s="2"/>
      <c r="M4259" s="2"/>
    </row>
    <row r="4260" spans="2:13">
      <c r="B4260" s="2"/>
      <c r="C4260" s="1">
        <v>5.053562876</v>
      </c>
      <c r="D4260" s="1">
        <v>5.9890124570000003</v>
      </c>
      <c r="E4260" s="1"/>
      <c r="H4260" s="2">
        <v>5.68634533</v>
      </c>
      <c r="I4260" s="2">
        <v>39.441899499999998</v>
      </c>
      <c r="J4260" s="2">
        <v>18.806129899999998</v>
      </c>
      <c r="L4260" s="2"/>
      <c r="M4260" s="2"/>
    </row>
    <row r="4261" spans="2:13">
      <c r="B4261" s="2"/>
      <c r="C4261" s="1">
        <v>3.2543254359999998</v>
      </c>
      <c r="D4261" s="1">
        <v>0.98277847600000001</v>
      </c>
      <c r="E4261" s="1"/>
      <c r="H4261" s="2">
        <v>7.6313609400000004</v>
      </c>
      <c r="I4261" s="2">
        <v>3.0626938099999998</v>
      </c>
      <c r="J4261" s="2">
        <v>29.199905900000001</v>
      </c>
      <c r="L4261" s="2"/>
      <c r="M4261" s="2"/>
    </row>
    <row r="4262" spans="2:13">
      <c r="B4262" s="2"/>
      <c r="C4262" s="1">
        <v>5.9894078530000003</v>
      </c>
      <c r="D4262" s="1">
        <v>9.2341601999999995E-2</v>
      </c>
      <c r="E4262" s="1"/>
      <c r="H4262" s="2">
        <v>14.6381756</v>
      </c>
      <c r="I4262" s="2">
        <v>17.381176</v>
      </c>
      <c r="J4262" s="2">
        <v>2.81570521</v>
      </c>
      <c r="L4262" s="2"/>
      <c r="M4262" s="2"/>
    </row>
    <row r="4263" spans="2:13">
      <c r="B4263" s="2"/>
      <c r="C4263" s="1">
        <v>22.321412129999999</v>
      </c>
      <c r="D4263" s="1">
        <v>0.25723731900000002</v>
      </c>
      <c r="E4263" s="1"/>
      <c r="H4263" s="2">
        <v>25.255462600000001</v>
      </c>
      <c r="I4263" s="2">
        <v>80.889319200000003</v>
      </c>
      <c r="J4263" s="2">
        <v>18.979938799999999</v>
      </c>
      <c r="L4263" s="2"/>
      <c r="M4263" s="2"/>
    </row>
    <row r="4264" spans="2:13">
      <c r="B4264" s="2"/>
      <c r="C4264" s="1">
        <v>19.912366030000001</v>
      </c>
      <c r="D4264" s="1">
        <v>0.50128298100000002</v>
      </c>
      <c r="E4264" s="1"/>
      <c r="H4264" s="2">
        <v>41.933822800000002</v>
      </c>
      <c r="I4264" s="2">
        <v>23.0401636</v>
      </c>
      <c r="J4264" s="2">
        <v>57.8783849</v>
      </c>
      <c r="L4264" s="2"/>
      <c r="M4264" s="2"/>
    </row>
    <row r="4265" spans="2:13">
      <c r="B4265" s="2"/>
      <c r="C4265" s="1">
        <v>4.7637528189999996</v>
      </c>
      <c r="D4265" s="1">
        <v>2.0644943819999999</v>
      </c>
      <c r="E4265" s="1"/>
      <c r="H4265" s="2">
        <v>3.8483947999999999</v>
      </c>
      <c r="I4265" s="2">
        <v>3.9799472800000002</v>
      </c>
      <c r="J4265" s="2">
        <v>25.793250199999999</v>
      </c>
      <c r="L4265" s="2"/>
      <c r="M4265" s="2"/>
    </row>
    <row r="4266" spans="2:13">
      <c r="B4266" s="2"/>
      <c r="C4266" s="1">
        <v>15.18483947</v>
      </c>
      <c r="D4266" s="1">
        <v>3.753026529</v>
      </c>
      <c r="E4266" s="1"/>
      <c r="H4266" s="2">
        <v>17.457556</v>
      </c>
      <c r="I4266" s="2">
        <v>2.6740270800000001</v>
      </c>
      <c r="J4266" s="2">
        <v>1.70332784</v>
      </c>
      <c r="L4266" s="2"/>
      <c r="M4266" s="2"/>
    </row>
    <row r="4267" spans="2:13">
      <c r="B4267" s="2"/>
      <c r="C4267" s="1">
        <v>103.3293609</v>
      </c>
      <c r="D4267" s="1">
        <v>0.38915389299999997</v>
      </c>
      <c r="E4267" s="1"/>
      <c r="H4267" s="2">
        <v>80.084679399999999</v>
      </c>
      <c r="I4267" s="2">
        <v>20.0552031</v>
      </c>
      <c r="J4267" s="2">
        <v>2.2247547299999999</v>
      </c>
      <c r="L4267" s="2"/>
      <c r="M4267" s="2"/>
    </row>
    <row r="4268" spans="2:13">
      <c r="B4268" s="2"/>
      <c r="C4268" s="1">
        <v>30.46024457</v>
      </c>
      <c r="D4268" s="1">
        <v>0.30340812</v>
      </c>
      <c r="E4268" s="1"/>
      <c r="H4268" s="2">
        <v>25.433904399999999</v>
      </c>
      <c r="I4268" s="2">
        <v>27.470964299999999</v>
      </c>
      <c r="J4268" s="2">
        <v>17.0332784</v>
      </c>
      <c r="L4268" s="2"/>
      <c r="M4268" s="2"/>
    </row>
    <row r="4269" spans="2:13">
      <c r="B4269" s="2"/>
      <c r="C4269" s="1">
        <v>2.3124427500000002</v>
      </c>
      <c r="D4269" s="1">
        <v>5.3690045599999996</v>
      </c>
      <c r="E4269" s="1"/>
      <c r="H4269" s="2">
        <v>2.7658478899999999</v>
      </c>
      <c r="I4269" s="2">
        <v>93.015721099999993</v>
      </c>
      <c r="J4269" s="2">
        <v>33.301797399999998</v>
      </c>
      <c r="L4269" s="2"/>
      <c r="M4269" s="2"/>
    </row>
    <row r="4270" spans="2:13">
      <c r="B4270" s="2"/>
      <c r="C4270" s="1">
        <v>5.053562876</v>
      </c>
      <c r="D4270" s="1">
        <v>0.97618264700000001</v>
      </c>
      <c r="E4270" s="1"/>
      <c r="H4270" s="2">
        <v>2.95618581</v>
      </c>
      <c r="I4270" s="2">
        <v>10.851575</v>
      </c>
      <c r="J4270" s="2">
        <v>63.127415599999999</v>
      </c>
      <c r="L4270" s="2"/>
      <c r="M4270" s="2"/>
    </row>
    <row r="4271" spans="2:13">
      <c r="B4271" s="2"/>
      <c r="C4271" s="1">
        <v>8.2414735070000003</v>
      </c>
      <c r="D4271" s="1">
        <v>2.0249194099999999</v>
      </c>
      <c r="E4271" s="1"/>
      <c r="H4271" s="2">
        <v>20.122286899999999</v>
      </c>
      <c r="I4271" s="2">
        <v>8.8616013799999998</v>
      </c>
      <c r="J4271" s="2">
        <v>12.4447218</v>
      </c>
      <c r="L4271" s="2"/>
      <c r="M4271" s="2"/>
    </row>
    <row r="4272" spans="2:13">
      <c r="B4272" s="2"/>
      <c r="C4272" s="1">
        <v>33.509287890000003</v>
      </c>
      <c r="D4272" s="1">
        <v>1.2004408230000001</v>
      </c>
      <c r="E4272" s="1"/>
      <c r="H4272" s="2">
        <v>35.390956799999998</v>
      </c>
      <c r="I4272" s="2">
        <v>10.509548300000001</v>
      </c>
      <c r="J4272" s="2">
        <v>6.9523585499999996</v>
      </c>
      <c r="L4272" s="2"/>
      <c r="M4272" s="2"/>
    </row>
    <row r="4273" spans="2:13">
      <c r="B4273" s="2"/>
      <c r="C4273" s="1">
        <v>87.275091239999995</v>
      </c>
      <c r="D4273" s="1">
        <v>1.754490434</v>
      </c>
      <c r="E4273" s="1"/>
      <c r="H4273" s="2">
        <v>71.293446799999998</v>
      </c>
      <c r="I4273" s="2">
        <v>32.990031799999997</v>
      </c>
      <c r="J4273" s="2">
        <v>11.089011899999999</v>
      </c>
      <c r="L4273" s="2"/>
      <c r="M4273" s="2"/>
    </row>
    <row r="4274" spans="2:13">
      <c r="B4274" s="2"/>
      <c r="C4274" s="1">
        <v>7.2754399830000001</v>
      </c>
      <c r="D4274" s="1">
        <v>6.945407619</v>
      </c>
      <c r="E4274" s="1"/>
      <c r="H4274" s="2">
        <v>15.4590079</v>
      </c>
      <c r="I4274" s="2">
        <v>45.800487099999998</v>
      </c>
      <c r="J4274" s="2">
        <v>23.012306800000001</v>
      </c>
      <c r="L4274" s="2"/>
      <c r="M4274" s="2"/>
    </row>
    <row r="4275" spans="2:13">
      <c r="B4275" s="2"/>
      <c r="C4275" s="1">
        <v>10.44523749</v>
      </c>
      <c r="D4275" s="1">
        <v>0.83107441599999998</v>
      </c>
      <c r="E4275" s="1"/>
      <c r="H4275" s="2">
        <v>10.932534199999999</v>
      </c>
      <c r="I4275" s="2">
        <v>14.6449623</v>
      </c>
      <c r="J4275" s="2">
        <v>37.368927200000002</v>
      </c>
      <c r="L4275" s="2"/>
      <c r="M4275" s="2"/>
    </row>
    <row r="4276" spans="2:13">
      <c r="B4276" s="2"/>
      <c r="C4276" s="1">
        <v>16.289740309999999</v>
      </c>
      <c r="D4276" s="1">
        <v>0.18468320399999999</v>
      </c>
      <c r="E4276" s="1"/>
      <c r="H4276" s="2">
        <v>16.315528499999999</v>
      </c>
      <c r="I4276" s="2">
        <v>23.0557102</v>
      </c>
      <c r="J4276" s="2">
        <v>10.741394</v>
      </c>
      <c r="L4276" s="2"/>
      <c r="M4276" s="2"/>
    </row>
    <row r="4277" spans="2:13">
      <c r="B4277" s="2"/>
      <c r="C4277" s="1">
        <v>22.357638390000002</v>
      </c>
      <c r="D4277" s="1">
        <v>0.41553720799999999</v>
      </c>
      <c r="E4277" s="1"/>
      <c r="H4277" s="2">
        <v>39.120390399999998</v>
      </c>
      <c r="I4277" s="2">
        <v>131.78911400000001</v>
      </c>
      <c r="J4277" s="2">
        <v>34.205604000000001</v>
      </c>
      <c r="L4277" s="2"/>
      <c r="M4277" s="2"/>
    </row>
    <row r="4278" spans="2:13">
      <c r="B4278" s="2"/>
      <c r="C4278" s="1">
        <v>48.808843830000001</v>
      </c>
      <c r="D4278" s="1">
        <v>1.3191657400000001</v>
      </c>
      <c r="E4278" s="1"/>
      <c r="H4278" s="2">
        <v>42.600005500000002</v>
      </c>
      <c r="I4278" s="2">
        <v>18.998029599999999</v>
      </c>
      <c r="J4278" s="2">
        <v>162.68519000000001</v>
      </c>
      <c r="L4278" s="2"/>
      <c r="M4278" s="2"/>
    </row>
    <row r="4279" spans="2:13">
      <c r="B4279" s="2"/>
      <c r="C4279" s="1">
        <v>72.802701499999998</v>
      </c>
      <c r="D4279" s="1">
        <v>0.54085795299999995</v>
      </c>
      <c r="E4279" s="1"/>
      <c r="H4279" s="2">
        <v>17.106620499999998</v>
      </c>
      <c r="I4279" s="2">
        <v>4.0421339600000001</v>
      </c>
      <c r="J4279" s="2">
        <v>15.017094500000001</v>
      </c>
      <c r="L4279" s="2"/>
      <c r="M4279" s="2"/>
    </row>
    <row r="4280" spans="2:13">
      <c r="B4280" s="2"/>
      <c r="C4280" s="1">
        <v>50.100913669999997</v>
      </c>
      <c r="D4280" s="1">
        <v>0.41553720799999999</v>
      </c>
      <c r="E4280" s="1"/>
      <c r="H4280" s="2">
        <v>37.609583200000003</v>
      </c>
      <c r="I4280" s="2">
        <v>10.851575</v>
      </c>
      <c r="J4280" s="2">
        <v>4.4147476799999996</v>
      </c>
      <c r="L4280" s="2"/>
      <c r="M4280" s="2"/>
    </row>
    <row r="4281" spans="2:13">
      <c r="B4281" s="2"/>
      <c r="C4281" s="1">
        <v>100.5761653</v>
      </c>
      <c r="D4281" s="1">
        <v>1.846832035</v>
      </c>
      <c r="E4281" s="1"/>
      <c r="H4281" s="2">
        <v>148.410044</v>
      </c>
      <c r="I4281" s="2">
        <v>32.243791700000003</v>
      </c>
      <c r="J4281" s="2">
        <v>10.463299599999999</v>
      </c>
      <c r="L4281" s="2"/>
      <c r="M4281" s="2"/>
    </row>
    <row r="4282" spans="2:13">
      <c r="B4282" s="2"/>
      <c r="C4282" s="1">
        <v>20.896512680000001</v>
      </c>
      <c r="D4282" s="1">
        <v>1.1344825359999999</v>
      </c>
      <c r="E4282" s="1"/>
      <c r="H4282" s="2">
        <v>20.318572899999999</v>
      </c>
      <c r="I4282" s="2">
        <v>12.2041352</v>
      </c>
      <c r="J4282" s="2">
        <v>59.303618399999998</v>
      </c>
      <c r="L4282" s="2"/>
      <c r="M4282" s="2"/>
    </row>
    <row r="4283" spans="2:13">
      <c r="B4283" s="2"/>
      <c r="C4283" s="1">
        <v>4.7214888520000002</v>
      </c>
      <c r="D4283" s="1">
        <v>4.4455885420000003</v>
      </c>
      <c r="E4283" s="1"/>
      <c r="H4283" s="2">
        <v>4.5026814000000002</v>
      </c>
      <c r="I4283" s="2">
        <v>7.0270944200000001</v>
      </c>
      <c r="J4283" s="2">
        <v>15.2951888</v>
      </c>
      <c r="L4283" s="2"/>
      <c r="M4283" s="2"/>
    </row>
    <row r="4284" spans="2:13">
      <c r="B4284" s="2"/>
      <c r="C4284" s="1">
        <v>8.6097737890000001</v>
      </c>
      <c r="D4284" s="1">
        <v>5.4151753610000002</v>
      </c>
      <c r="E4284" s="1"/>
      <c r="H4284" s="2">
        <v>9.4157789300000001</v>
      </c>
      <c r="I4284" s="2">
        <v>30.8134981</v>
      </c>
      <c r="J4284" s="2">
        <v>5.4228396700000001</v>
      </c>
      <c r="L4284" s="2"/>
      <c r="M4284" s="2"/>
    </row>
    <row r="4285" spans="2:13">
      <c r="B4285" s="2"/>
      <c r="C4285" s="1">
        <v>39.377941550000003</v>
      </c>
      <c r="D4285" s="1">
        <v>2.6581189649999999</v>
      </c>
      <c r="E4285" s="1"/>
      <c r="H4285" s="2">
        <v>44.515280799999999</v>
      </c>
      <c r="I4285" s="2">
        <v>22.4960302</v>
      </c>
      <c r="J4285" s="2">
        <v>36.812738500000002</v>
      </c>
      <c r="L4285" s="2"/>
      <c r="M4285" s="2"/>
    </row>
    <row r="4286" spans="2:13">
      <c r="B4286" s="2"/>
      <c r="C4286" s="1">
        <v>9.9924092709999996</v>
      </c>
      <c r="D4286" s="1">
        <v>108.03307820000001</v>
      </c>
      <c r="E4286" s="1"/>
      <c r="H4286" s="2">
        <v>19.075428299999999</v>
      </c>
      <c r="I4286" s="2">
        <v>31.886218299999999</v>
      </c>
      <c r="J4286" s="2">
        <v>27.5661016</v>
      </c>
      <c r="L4286" s="2"/>
      <c r="M4286" s="2"/>
    </row>
    <row r="4287" spans="2:13">
      <c r="B4287" s="2"/>
      <c r="C4287" s="1">
        <v>11.42334643</v>
      </c>
      <c r="D4287" s="1">
        <v>1.141078365</v>
      </c>
      <c r="E4287" s="1"/>
      <c r="H4287" s="2">
        <v>7.3161137600000004</v>
      </c>
      <c r="I4287" s="2">
        <v>88.787027100000003</v>
      </c>
      <c r="J4287" s="2">
        <v>45.433663099999997</v>
      </c>
      <c r="L4287" s="2"/>
      <c r="M4287" s="2"/>
    </row>
    <row r="4288" spans="2:13">
      <c r="B4288" s="2"/>
      <c r="C4288" s="1">
        <v>22.073866039999999</v>
      </c>
      <c r="D4288" s="1">
        <v>0.43532469400000001</v>
      </c>
      <c r="E4288" s="1"/>
      <c r="H4288" s="2">
        <v>41.874342200000001</v>
      </c>
      <c r="I4288" s="2">
        <v>13.012562000000001</v>
      </c>
      <c r="J4288" s="2">
        <v>64.552649099999996</v>
      </c>
      <c r="L4288" s="2"/>
      <c r="M4288" s="2"/>
    </row>
    <row r="4289" spans="2:13">
      <c r="B4289" s="2"/>
      <c r="C4289" s="1">
        <v>24.863287840000002</v>
      </c>
      <c r="D4289" s="1">
        <v>0.69915784199999997</v>
      </c>
      <c r="E4289" s="1"/>
      <c r="H4289" s="2">
        <v>32.7500182</v>
      </c>
      <c r="I4289" s="2">
        <v>150.33628999999999</v>
      </c>
      <c r="J4289" s="2">
        <v>16.198995400000001</v>
      </c>
      <c r="L4289" s="2"/>
      <c r="M4289" s="2"/>
    </row>
    <row r="4290" spans="2:13">
      <c r="B4290" s="2"/>
      <c r="C4290" s="1">
        <v>73.152888660000002</v>
      </c>
      <c r="D4290" s="1">
        <v>0.18468320399999999</v>
      </c>
      <c r="E4290" s="1"/>
      <c r="H4290" s="2">
        <v>61.7230183</v>
      </c>
      <c r="I4290" s="2">
        <v>20.614883200000001</v>
      </c>
      <c r="J4290" s="2">
        <v>105.432517</v>
      </c>
      <c r="L4290" s="2"/>
      <c r="M4290" s="2"/>
    </row>
    <row r="4291" spans="2:13">
      <c r="B4291" s="2"/>
      <c r="C4291" s="1">
        <v>102.9670983</v>
      </c>
      <c r="D4291" s="1">
        <v>0.81128692999999996</v>
      </c>
      <c r="E4291" s="1"/>
      <c r="H4291" s="2">
        <v>94.818023999999994</v>
      </c>
      <c r="I4291" s="2">
        <v>10.571735</v>
      </c>
      <c r="J4291" s="2">
        <v>21.5870733</v>
      </c>
      <c r="L4291" s="2"/>
      <c r="M4291" s="2"/>
    </row>
    <row r="4292" spans="2:13">
      <c r="B4292" s="2"/>
      <c r="C4292" s="1">
        <v>12.75164253</v>
      </c>
      <c r="D4292" s="1">
        <v>3.0208895440000001</v>
      </c>
      <c r="E4292" s="1"/>
      <c r="H4292" s="2">
        <v>18.0285698</v>
      </c>
      <c r="I4292" s="2">
        <v>9.6389348300000002</v>
      </c>
      <c r="J4292" s="2">
        <v>13.4875756</v>
      </c>
      <c r="L4292" s="2"/>
      <c r="M4292" s="2"/>
    </row>
    <row r="4293" spans="2:13">
      <c r="B4293" s="2"/>
      <c r="C4293" s="1">
        <v>89.647911089999994</v>
      </c>
      <c r="D4293" s="1">
        <v>0.224258176</v>
      </c>
      <c r="E4293" s="1"/>
      <c r="H4293" s="2">
        <v>166.32560100000001</v>
      </c>
      <c r="I4293" s="2">
        <v>2.2076270099999999</v>
      </c>
      <c r="J4293" s="2">
        <v>9.7333019600000004</v>
      </c>
      <c r="L4293" s="2"/>
      <c r="M4293" s="2"/>
    </row>
    <row r="4294" spans="2:13">
      <c r="B4294" s="2"/>
      <c r="C4294" s="1">
        <v>16.978039200000001</v>
      </c>
      <c r="D4294" s="1">
        <v>0.86405355900000003</v>
      </c>
      <c r="E4294" s="1"/>
      <c r="H4294" s="2">
        <v>26.462918800000001</v>
      </c>
      <c r="I4294" s="2">
        <v>32.337071700000003</v>
      </c>
      <c r="J4294" s="2">
        <v>2.7809434199999998</v>
      </c>
      <c r="L4294" s="2"/>
      <c r="M4294" s="2"/>
    </row>
    <row r="4295" spans="2:13">
      <c r="B4295" s="2"/>
      <c r="C4295" s="1">
        <v>7.3358170779999998</v>
      </c>
      <c r="D4295" s="1">
        <v>2.4140733029999999</v>
      </c>
      <c r="E4295" s="1"/>
      <c r="H4295" s="2">
        <v>16.761633</v>
      </c>
      <c r="I4295" s="2">
        <v>26.786910800000001</v>
      </c>
      <c r="J4295" s="2">
        <v>26.210391699999999</v>
      </c>
      <c r="L4295" s="2"/>
      <c r="M4295" s="2"/>
    </row>
    <row r="4296" spans="2:13">
      <c r="B4296" s="2"/>
      <c r="C4296" s="1">
        <v>21.30103922</v>
      </c>
      <c r="D4296" s="1">
        <v>0.43532469400000001</v>
      </c>
      <c r="E4296" s="1"/>
      <c r="H4296" s="2">
        <v>16.083554199999998</v>
      </c>
      <c r="I4296" s="2">
        <v>2.5185603900000002</v>
      </c>
      <c r="J4296" s="2">
        <v>21.552311499999998</v>
      </c>
      <c r="L4296" s="2"/>
      <c r="M4296" s="2"/>
    </row>
    <row r="4297" spans="2:13">
      <c r="B4297" s="2"/>
      <c r="C4297" s="1">
        <v>6.3577081340000001</v>
      </c>
      <c r="D4297" s="1">
        <v>109.29947730000001</v>
      </c>
      <c r="E4297" s="1"/>
      <c r="H4297" s="2">
        <v>4.1993303400000004</v>
      </c>
      <c r="I4297" s="2">
        <v>20.770349899999999</v>
      </c>
      <c r="J4297" s="2">
        <v>3.7890354099999999</v>
      </c>
      <c r="L4297" s="2"/>
      <c r="M4297" s="2"/>
    </row>
    <row r="4298" spans="2:13">
      <c r="B4298" s="2"/>
      <c r="C4298" s="1">
        <v>12.12975844</v>
      </c>
      <c r="D4298" s="1">
        <v>1.6225738599999999</v>
      </c>
      <c r="E4298" s="1"/>
      <c r="H4298" s="2">
        <v>30.947755999999998</v>
      </c>
      <c r="I4298" s="2">
        <v>35.493045500000001</v>
      </c>
      <c r="J4298" s="2">
        <v>16.164233599999999</v>
      </c>
      <c r="L4298" s="2"/>
      <c r="M4298" s="2"/>
    </row>
    <row r="4299" spans="2:13">
      <c r="B4299" s="2"/>
      <c r="C4299" s="1">
        <v>32.42853788</v>
      </c>
      <c r="D4299" s="1">
        <v>43.49289443</v>
      </c>
      <c r="E4299" s="1"/>
      <c r="H4299" s="2">
        <v>22.0435102</v>
      </c>
      <c r="I4299" s="2">
        <v>1.9899736400000001</v>
      </c>
      <c r="J4299" s="2">
        <v>57.947908499999997</v>
      </c>
      <c r="L4299" s="2"/>
      <c r="M4299" s="2"/>
    </row>
    <row r="4300" spans="2:13">
      <c r="B4300" s="2"/>
      <c r="C4300" s="1">
        <v>3.326777951</v>
      </c>
      <c r="D4300" s="1">
        <v>2.7372689100000001</v>
      </c>
      <c r="E4300" s="1"/>
      <c r="H4300" s="2">
        <v>4.8238766399999999</v>
      </c>
      <c r="I4300" s="2">
        <v>347.31258700000001</v>
      </c>
      <c r="J4300" s="2">
        <v>3.5109410699999999</v>
      </c>
      <c r="L4300" s="2"/>
      <c r="M4300" s="2"/>
    </row>
    <row r="4301" spans="2:13">
      <c r="B4301" s="2"/>
      <c r="C4301" s="1">
        <v>17.87162021</v>
      </c>
      <c r="D4301" s="1">
        <v>0.15170406</v>
      </c>
      <c r="E4301" s="1"/>
      <c r="H4301" s="2">
        <v>17.9869333</v>
      </c>
      <c r="I4301" s="2">
        <v>31.870671600000001</v>
      </c>
      <c r="J4301" s="2">
        <v>544.57824500000004</v>
      </c>
      <c r="L4301" s="2"/>
      <c r="M4301" s="2"/>
    </row>
    <row r="4302" spans="2:13">
      <c r="B4302" s="2"/>
      <c r="C4302" s="1">
        <v>55.178627390000003</v>
      </c>
      <c r="D4302" s="1">
        <v>2.9285479419999998</v>
      </c>
      <c r="E4302" s="1"/>
      <c r="H4302" s="2">
        <v>60.117042099999999</v>
      </c>
      <c r="I4302" s="2">
        <v>195.266164</v>
      </c>
      <c r="J4302" s="2">
        <v>23.811827999999998</v>
      </c>
      <c r="L4302" s="2"/>
      <c r="M4302" s="2"/>
    </row>
    <row r="4303" spans="2:13">
      <c r="B4303" s="2"/>
      <c r="C4303" s="1">
        <v>7.2512891450000003</v>
      </c>
      <c r="D4303" s="1">
        <v>3.2121685759999998</v>
      </c>
      <c r="E4303" s="1"/>
      <c r="H4303" s="2">
        <v>4.8893053000000002</v>
      </c>
      <c r="I4303" s="2">
        <v>63.072836500000001</v>
      </c>
      <c r="J4303" s="2">
        <v>239.61303699999999</v>
      </c>
      <c r="L4303" s="2"/>
      <c r="M4303" s="2"/>
    </row>
    <row r="4304" spans="2:13">
      <c r="B4304" s="2"/>
      <c r="C4304" s="1">
        <v>474.26208350000002</v>
      </c>
      <c r="D4304" s="1">
        <v>0.76511612900000003</v>
      </c>
      <c r="E4304" s="1"/>
      <c r="H4304" s="2">
        <v>476.70131800000001</v>
      </c>
      <c r="I4304" s="2">
        <v>2.87613378</v>
      </c>
      <c r="J4304" s="2">
        <v>62.015038199999999</v>
      </c>
      <c r="L4304" s="2"/>
      <c r="M4304" s="2"/>
    </row>
    <row r="4305" spans="2:13">
      <c r="B4305" s="2"/>
      <c r="C4305" s="1">
        <v>21.059530840000001</v>
      </c>
      <c r="D4305" s="1">
        <v>4.6104842599999998</v>
      </c>
      <c r="E4305" s="1"/>
      <c r="H4305" s="2">
        <v>33.0533693</v>
      </c>
      <c r="I4305" s="2">
        <v>34.793445400000003</v>
      </c>
      <c r="J4305" s="2">
        <v>1.21666275</v>
      </c>
      <c r="L4305" s="2"/>
      <c r="M4305" s="2"/>
    </row>
    <row r="4306" spans="2:13">
      <c r="B4306" s="2"/>
      <c r="C4306" s="1">
        <v>151.52839610000001</v>
      </c>
      <c r="D4306" s="1">
        <v>0.69256201299999998</v>
      </c>
      <c r="E4306" s="1"/>
      <c r="H4306" s="2">
        <v>249.17017999999999</v>
      </c>
      <c r="I4306" s="2">
        <v>92.689241100000004</v>
      </c>
      <c r="J4306" s="2">
        <v>34.414174799999998</v>
      </c>
      <c r="L4306" s="2"/>
      <c r="M4306" s="2"/>
    </row>
    <row r="4307" spans="2:13">
      <c r="B4307" s="2"/>
      <c r="C4307" s="1">
        <v>60.727282440000003</v>
      </c>
      <c r="D4307" s="1">
        <v>0.82447858699999998</v>
      </c>
      <c r="E4307" s="1"/>
      <c r="H4307" s="2">
        <v>67.320142700000005</v>
      </c>
      <c r="I4307" s="2">
        <v>16.8836826</v>
      </c>
      <c r="J4307" s="2">
        <v>71.817863799999998</v>
      </c>
      <c r="L4307" s="2"/>
      <c r="M4307" s="2"/>
    </row>
    <row r="4308" spans="2:13">
      <c r="B4308" s="2"/>
      <c r="C4308" s="1">
        <v>1.4792388350000001</v>
      </c>
      <c r="D4308" s="1">
        <v>2.8493979970000001</v>
      </c>
      <c r="E4308" s="1"/>
      <c r="H4308" s="2">
        <v>2.20078219</v>
      </c>
      <c r="I4308" s="2">
        <v>67.705743799999993</v>
      </c>
      <c r="J4308" s="2">
        <v>20.578981299999999</v>
      </c>
      <c r="L4308" s="2"/>
      <c r="M4308" s="2"/>
    </row>
    <row r="4309" spans="2:13">
      <c r="B4309" s="2"/>
      <c r="C4309" s="1">
        <v>70.755917969999999</v>
      </c>
      <c r="D4309" s="1">
        <v>0.40234555100000002</v>
      </c>
      <c r="E4309" s="1"/>
      <c r="H4309" s="2">
        <v>50.814276300000003</v>
      </c>
      <c r="I4309" s="2">
        <v>15.142455699999999</v>
      </c>
      <c r="J4309" s="2">
        <v>51.134597100000001</v>
      </c>
      <c r="L4309" s="2"/>
      <c r="M4309" s="2"/>
    </row>
    <row r="4310" spans="2:13">
      <c r="B4310" s="2"/>
      <c r="C4310" s="1">
        <v>53.693350840000001</v>
      </c>
      <c r="D4310" s="1">
        <v>4.1355845929999999</v>
      </c>
      <c r="E4310" s="1"/>
      <c r="H4310" s="2">
        <v>73.244410500000001</v>
      </c>
      <c r="I4310" s="2">
        <v>21.672056699999999</v>
      </c>
      <c r="J4310" s="2">
        <v>23.603257299999999</v>
      </c>
      <c r="L4310" s="2"/>
      <c r="M4310" s="2"/>
    </row>
    <row r="4311" spans="2:13">
      <c r="B4311" s="2"/>
      <c r="C4311" s="1">
        <v>9.6180712800000006</v>
      </c>
      <c r="D4311" s="1">
        <v>0.13191657400000001</v>
      </c>
      <c r="E4311" s="1"/>
      <c r="H4311" s="2">
        <v>21.079924500000001</v>
      </c>
      <c r="I4311" s="2">
        <v>69.244864100000001</v>
      </c>
      <c r="J4311" s="2">
        <v>9.0728279000000001</v>
      </c>
      <c r="L4311" s="2"/>
      <c r="M4311" s="2"/>
    </row>
    <row r="4312" spans="2:13">
      <c r="B4312" s="2"/>
      <c r="C4312" s="1">
        <v>29.445909369999999</v>
      </c>
      <c r="D4312" s="1">
        <v>1.0157576189999999</v>
      </c>
      <c r="E4312" s="1"/>
      <c r="H4312" s="2">
        <v>57.059739299999997</v>
      </c>
      <c r="I4312" s="2">
        <v>8.8149613700000007</v>
      </c>
      <c r="J4312" s="2">
        <v>30.068950699999998</v>
      </c>
      <c r="L4312" s="2"/>
      <c r="M4312" s="2"/>
    </row>
    <row r="4313" spans="2:13">
      <c r="B4313" s="2"/>
      <c r="C4313" s="1">
        <v>9.255808708</v>
      </c>
      <c r="D4313" s="1">
        <v>1.6291696879999999</v>
      </c>
      <c r="E4313" s="1"/>
      <c r="H4313" s="2">
        <v>22.679952700000001</v>
      </c>
      <c r="I4313" s="2">
        <v>61.7047296</v>
      </c>
      <c r="J4313" s="2">
        <v>8.8294953500000002</v>
      </c>
      <c r="L4313" s="2"/>
      <c r="M4313" s="2"/>
    </row>
    <row r="4314" spans="2:13">
      <c r="B4314" s="2"/>
      <c r="C4314" s="1">
        <v>13.445979120000001</v>
      </c>
      <c r="D4314" s="1">
        <v>0.42213303699999999</v>
      </c>
      <c r="E4314" s="1"/>
      <c r="H4314" s="2">
        <v>12.699108000000001</v>
      </c>
      <c r="I4314" s="2">
        <v>3.0160537999999999</v>
      </c>
      <c r="J4314" s="2">
        <v>49.187936700000002</v>
      </c>
      <c r="L4314" s="2"/>
      <c r="M4314" s="2"/>
    </row>
    <row r="4315" spans="2:13">
      <c r="B4315" s="2"/>
      <c r="C4315" s="1">
        <v>77.240418009999999</v>
      </c>
      <c r="D4315" s="1">
        <v>0.54085795299999995</v>
      </c>
      <c r="E4315" s="1"/>
      <c r="H4315" s="2">
        <v>51.064094799999999</v>
      </c>
      <c r="I4315" s="2">
        <v>25.791924000000002</v>
      </c>
      <c r="J4315" s="2">
        <v>3.4414174800000001</v>
      </c>
      <c r="L4315" s="2"/>
      <c r="M4315" s="2"/>
    </row>
    <row r="4316" spans="2:13">
      <c r="B4316" s="2"/>
      <c r="C4316" s="1">
        <v>5.9471438860000001</v>
      </c>
      <c r="D4316" s="1">
        <v>1.787469577</v>
      </c>
      <c r="E4316" s="1"/>
      <c r="H4316" s="2">
        <v>10.8671056</v>
      </c>
      <c r="I4316" s="2">
        <v>23.833043700000001</v>
      </c>
      <c r="J4316" s="2">
        <v>19.918507200000001</v>
      </c>
      <c r="L4316" s="2"/>
      <c r="M4316" s="2"/>
    </row>
    <row r="4317" spans="2:13">
      <c r="B4317" s="2"/>
      <c r="C4317" s="1">
        <v>127.5043498</v>
      </c>
      <c r="D4317" s="1">
        <v>1.4510823129999999</v>
      </c>
      <c r="E4317" s="1"/>
      <c r="H4317" s="2">
        <v>57.684285600000003</v>
      </c>
      <c r="I4317" s="2">
        <v>8.56621466</v>
      </c>
      <c r="J4317" s="2">
        <v>31.181328100000002</v>
      </c>
      <c r="L4317" s="2"/>
      <c r="M4317" s="2"/>
    </row>
    <row r="4318" spans="2:13">
      <c r="B4318" s="2"/>
      <c r="C4318" s="1">
        <v>4.4256410849999996</v>
      </c>
      <c r="D4318" s="1">
        <v>185.23065729999999</v>
      </c>
      <c r="E4318" s="1"/>
      <c r="H4318" s="2">
        <v>4.8893053000000002</v>
      </c>
      <c r="I4318" s="2">
        <v>10.6805617</v>
      </c>
      <c r="J4318" s="2">
        <v>8.2385448799999992</v>
      </c>
      <c r="L4318" s="2"/>
      <c r="M4318" s="2"/>
    </row>
    <row r="4319" spans="2:13">
      <c r="B4319" s="2"/>
      <c r="C4319" s="1">
        <v>13.590884150000001</v>
      </c>
      <c r="D4319" s="1">
        <v>0.44192052300000001</v>
      </c>
      <c r="E4319" s="1"/>
      <c r="H4319" s="2">
        <v>23.988525899999999</v>
      </c>
      <c r="I4319" s="2">
        <v>11.6910951</v>
      </c>
      <c r="J4319" s="2">
        <v>9.3856840399999992</v>
      </c>
      <c r="L4319" s="2"/>
      <c r="M4319" s="2"/>
    </row>
    <row r="4320" spans="2:13">
      <c r="B4320" s="2"/>
      <c r="C4320" s="1">
        <v>35.405128679999997</v>
      </c>
      <c r="D4320" s="1">
        <v>0.98937430500000001</v>
      </c>
      <c r="E4320" s="1"/>
      <c r="H4320" s="2">
        <v>39.655715800000003</v>
      </c>
      <c r="I4320" s="2">
        <v>23.972963700000001</v>
      </c>
      <c r="J4320" s="2">
        <v>29.060858700000001</v>
      </c>
      <c r="L4320" s="2"/>
      <c r="M4320" s="2"/>
    </row>
    <row r="4321" spans="2:13">
      <c r="B4321" s="2"/>
      <c r="C4321" s="1">
        <v>10.1373143</v>
      </c>
      <c r="D4321" s="1">
        <v>0.48809132399999999</v>
      </c>
      <c r="E4321" s="1"/>
      <c r="H4321" s="2">
        <v>10.4685855</v>
      </c>
      <c r="I4321" s="2">
        <v>51.257368</v>
      </c>
      <c r="J4321" s="2">
        <v>22.038976600000002</v>
      </c>
      <c r="L4321" s="2"/>
      <c r="M4321" s="2"/>
    </row>
    <row r="4322" spans="2:13">
      <c r="B4322" s="2"/>
      <c r="C4322" s="1">
        <v>16.784832489999999</v>
      </c>
      <c r="D4322" s="1">
        <v>1.701723804</v>
      </c>
      <c r="E4322" s="1"/>
      <c r="H4322" s="2">
        <v>10.8492614</v>
      </c>
      <c r="I4322" s="2">
        <v>12.0953085</v>
      </c>
      <c r="J4322" s="2">
        <v>48.040797599999998</v>
      </c>
      <c r="L4322" s="2"/>
      <c r="M4322" s="2"/>
    </row>
    <row r="4323" spans="2:13">
      <c r="B4323" s="2"/>
      <c r="C4323" s="1">
        <v>38.315304670000003</v>
      </c>
      <c r="D4323" s="1">
        <v>1.965556952</v>
      </c>
      <c r="E4323" s="1"/>
      <c r="H4323" s="2">
        <v>26.177411899999999</v>
      </c>
      <c r="I4323" s="2">
        <v>9.1725347599999996</v>
      </c>
      <c r="J4323" s="2">
        <v>10.637108599999999</v>
      </c>
      <c r="L4323" s="2"/>
      <c r="M4323" s="2"/>
    </row>
    <row r="4324" spans="2:13">
      <c r="B4324" s="2"/>
      <c r="C4324" s="1">
        <v>24.44668588</v>
      </c>
      <c r="D4324" s="1">
        <v>1.187249166</v>
      </c>
      <c r="E4324" s="1"/>
      <c r="H4324" s="2">
        <v>25.1662417</v>
      </c>
      <c r="I4324" s="2">
        <v>10.556188300000001</v>
      </c>
      <c r="J4324" s="2">
        <v>18.423750099999999</v>
      </c>
      <c r="L4324" s="2"/>
      <c r="M4324" s="2"/>
    </row>
    <row r="4325" spans="2:13">
      <c r="B4325" s="2"/>
      <c r="C4325" s="1">
        <v>36.564368909999999</v>
      </c>
      <c r="D4325" s="1">
        <v>0.95639516099999999</v>
      </c>
      <c r="E4325" s="1"/>
      <c r="H4325" s="2">
        <v>39.786573099999998</v>
      </c>
      <c r="I4325" s="2">
        <v>60.538729400000001</v>
      </c>
      <c r="J4325" s="2">
        <v>7.8909269499999999</v>
      </c>
      <c r="L4325" s="2"/>
      <c r="M4325" s="2"/>
    </row>
    <row r="4326" spans="2:13">
      <c r="B4326" s="2"/>
      <c r="C4326" s="1">
        <v>6.8950642819999999</v>
      </c>
      <c r="D4326" s="1">
        <v>0.244045662</v>
      </c>
      <c r="E4326" s="1"/>
      <c r="H4326" s="2">
        <v>13.5556287</v>
      </c>
      <c r="I4326" s="2">
        <v>18.624909599999999</v>
      </c>
      <c r="J4326" s="2">
        <v>54.715061800000001</v>
      </c>
      <c r="L4326" s="2"/>
      <c r="M4326" s="2"/>
    </row>
    <row r="4327" spans="2:13">
      <c r="B4327" s="2"/>
      <c r="C4327" s="1">
        <v>27.773463830000001</v>
      </c>
      <c r="D4327" s="1">
        <v>138.1826112</v>
      </c>
      <c r="E4327" s="1"/>
      <c r="H4327" s="2">
        <v>22.1743676</v>
      </c>
      <c r="I4327" s="2">
        <v>42.4734999</v>
      </c>
      <c r="J4327" s="2">
        <v>15.8513775</v>
      </c>
      <c r="L4327" s="2"/>
      <c r="M4327" s="2"/>
    </row>
    <row r="4328" spans="2:13">
      <c r="B4328" s="2"/>
      <c r="C4328" s="1">
        <v>9.4731662510000003</v>
      </c>
      <c r="D4328" s="1">
        <v>0.224258176</v>
      </c>
      <c r="E4328" s="1"/>
      <c r="H4328" s="2">
        <v>14.560850800000001</v>
      </c>
      <c r="I4328" s="2">
        <v>33.440885199999997</v>
      </c>
      <c r="J4328" s="2">
        <v>19.3275568</v>
      </c>
      <c r="L4328" s="2"/>
      <c r="M4328" s="2"/>
    </row>
    <row r="4329" spans="2:13">
      <c r="B4329" s="2"/>
      <c r="C4329" s="1">
        <v>37.796061649999999</v>
      </c>
      <c r="D4329" s="1">
        <v>3.297914349</v>
      </c>
      <c r="E4329" s="1"/>
      <c r="H4329" s="2">
        <v>46.388919700000002</v>
      </c>
      <c r="I4329" s="2">
        <v>3.4047205300000001</v>
      </c>
      <c r="J4329" s="2">
        <v>27.7051488</v>
      </c>
      <c r="L4329" s="2"/>
      <c r="M4329" s="2"/>
    </row>
    <row r="4330" spans="2:13">
      <c r="B4330" s="2"/>
      <c r="C4330" s="1">
        <v>65.986127440000004</v>
      </c>
      <c r="D4330" s="1">
        <v>0.68596618499999995</v>
      </c>
      <c r="E4330" s="1"/>
      <c r="H4330" s="2">
        <v>26.040606499999999</v>
      </c>
      <c r="I4330" s="2">
        <v>35.151018800000003</v>
      </c>
      <c r="J4330" s="2">
        <v>2.8504670000000001</v>
      </c>
      <c r="L4330" s="2"/>
      <c r="M4330" s="2"/>
    </row>
    <row r="4331" spans="2:13">
      <c r="B4331" s="2"/>
      <c r="C4331" s="1">
        <v>15.77049729</v>
      </c>
      <c r="D4331" s="1">
        <v>0.42213303699999999</v>
      </c>
      <c r="E4331" s="1"/>
      <c r="H4331" s="2">
        <v>28.074843099999999</v>
      </c>
      <c r="I4331" s="2">
        <v>9.2658147700000004</v>
      </c>
      <c r="J4331" s="2">
        <v>22.421356299999999</v>
      </c>
      <c r="L4331" s="2"/>
      <c r="M4331" s="2"/>
    </row>
    <row r="4332" spans="2:13">
      <c r="B4332" s="2"/>
      <c r="C4332" s="1">
        <v>24.005933089999999</v>
      </c>
      <c r="D4332" s="1">
        <v>1.154270022</v>
      </c>
      <c r="E4332" s="1"/>
      <c r="H4332" s="2">
        <v>26.076294900000001</v>
      </c>
      <c r="I4332" s="2">
        <v>24.159523700000001</v>
      </c>
      <c r="J4332" s="2">
        <v>6.5699788300000002</v>
      </c>
      <c r="L4332" s="2"/>
      <c r="M4332" s="2"/>
    </row>
    <row r="4333" spans="2:13">
      <c r="B4333" s="2"/>
      <c r="C4333" s="1">
        <v>2.2218771070000001</v>
      </c>
      <c r="D4333" s="1">
        <v>1.7083196329999999</v>
      </c>
      <c r="E4333" s="1"/>
      <c r="H4333" s="2">
        <v>4.0387327199999996</v>
      </c>
      <c r="I4333" s="2">
        <v>11.1780551</v>
      </c>
      <c r="J4333" s="2">
        <v>28.435146499999998</v>
      </c>
      <c r="L4333" s="2"/>
      <c r="M4333" s="2"/>
    </row>
    <row r="4334" spans="2:13">
      <c r="B4334" s="2"/>
      <c r="C4334" s="1">
        <v>18.783314350000001</v>
      </c>
      <c r="D4334" s="1">
        <v>1.8732153499999999</v>
      </c>
      <c r="E4334" s="1"/>
      <c r="H4334" s="2">
        <v>28.931363699999999</v>
      </c>
      <c r="I4334" s="2">
        <v>10.6805617</v>
      </c>
      <c r="J4334" s="2">
        <v>17.102802000000001</v>
      </c>
      <c r="L4334" s="2"/>
      <c r="M4334" s="2"/>
    </row>
    <row r="4335" spans="2:13">
      <c r="B4335" s="2"/>
      <c r="C4335" s="1">
        <v>5.9048799199999999</v>
      </c>
      <c r="D4335" s="1">
        <v>0.36277057800000001</v>
      </c>
      <c r="E4335" s="1"/>
      <c r="H4335" s="2">
        <v>10.224715099999999</v>
      </c>
      <c r="I4335" s="2">
        <v>11.0847751</v>
      </c>
      <c r="J4335" s="2">
        <v>5.94426656</v>
      </c>
      <c r="L4335" s="2"/>
      <c r="M4335" s="2"/>
    </row>
    <row r="4336" spans="2:13">
      <c r="B4336" s="2"/>
      <c r="C4336" s="1">
        <v>29.82024736</v>
      </c>
      <c r="D4336" s="1">
        <v>1.985344438</v>
      </c>
      <c r="E4336" s="1"/>
      <c r="H4336" s="2">
        <v>43.117486700000001</v>
      </c>
      <c r="I4336" s="2">
        <v>32.321525000000001</v>
      </c>
      <c r="J4336" s="2">
        <v>10.324252400000001</v>
      </c>
      <c r="L4336" s="2"/>
      <c r="M4336" s="2"/>
    </row>
    <row r="4337" spans="2:13">
      <c r="B4337" s="2"/>
      <c r="C4337" s="1">
        <v>9.2316578699999994</v>
      </c>
      <c r="D4337" s="1">
        <v>588.59196550000001</v>
      </c>
      <c r="E4337" s="1"/>
      <c r="H4337" s="2">
        <v>21.9840296</v>
      </c>
      <c r="I4337" s="2">
        <v>23.817496999999999</v>
      </c>
      <c r="J4337" s="2">
        <v>26.870865800000001</v>
      </c>
      <c r="L4337" s="2"/>
      <c r="M4337" s="2"/>
    </row>
    <row r="4338" spans="2:13">
      <c r="B4338" s="2"/>
      <c r="C4338" s="1">
        <v>8.5071327270000001</v>
      </c>
      <c r="D4338" s="1">
        <v>0.73213698500000002</v>
      </c>
      <c r="E4338" s="1"/>
      <c r="H4338" s="2">
        <v>10.9801187</v>
      </c>
      <c r="I4338" s="2">
        <v>14.7226956</v>
      </c>
      <c r="J4338" s="2">
        <v>20.300886999999999</v>
      </c>
      <c r="L4338" s="2"/>
      <c r="M4338" s="2"/>
    </row>
    <row r="4339" spans="2:13">
      <c r="B4339" s="2"/>
      <c r="C4339" s="1">
        <v>14.77427522</v>
      </c>
      <c r="D4339" s="1">
        <v>165.73338770000001</v>
      </c>
      <c r="E4339" s="1"/>
      <c r="H4339" s="2">
        <v>13.7221744</v>
      </c>
      <c r="I4339" s="2">
        <v>9.2347214300000005</v>
      </c>
      <c r="J4339" s="2">
        <v>6.5699788300000002</v>
      </c>
      <c r="L4339" s="2"/>
      <c r="M4339" s="2"/>
    </row>
    <row r="4340" spans="2:13">
      <c r="B4340" s="2"/>
      <c r="C4340" s="1">
        <v>27.115353500000001</v>
      </c>
      <c r="D4340" s="1">
        <v>1.154270022</v>
      </c>
      <c r="E4340" s="1"/>
      <c r="H4340" s="2">
        <v>30.424326700000002</v>
      </c>
      <c r="I4340" s="2">
        <v>68.218783900000005</v>
      </c>
      <c r="J4340" s="2">
        <v>9.2118750699999996</v>
      </c>
      <c r="L4340" s="2"/>
      <c r="M4340" s="2"/>
    </row>
    <row r="4341" spans="2:13">
      <c r="B4341" s="2"/>
      <c r="C4341" s="1">
        <v>31.969671959999999</v>
      </c>
      <c r="D4341" s="1">
        <v>69.651951049999994</v>
      </c>
      <c r="E4341" s="1"/>
      <c r="H4341" s="2">
        <v>28.9075715</v>
      </c>
      <c r="I4341" s="2">
        <v>18.003042799999999</v>
      </c>
      <c r="J4341" s="2">
        <v>72.930241100000003</v>
      </c>
      <c r="L4341" s="2"/>
      <c r="M4341" s="2"/>
    </row>
    <row r="4342" spans="2:13">
      <c r="B4342" s="2"/>
      <c r="C4342" s="1">
        <v>13.047490290000001</v>
      </c>
      <c r="D4342" s="1">
        <v>0.20447069000000001</v>
      </c>
      <c r="E4342" s="1"/>
      <c r="H4342" s="2">
        <v>7.2149967400000001</v>
      </c>
      <c r="I4342" s="2">
        <v>52.578834800000003</v>
      </c>
      <c r="J4342" s="2">
        <v>11.679962400000001</v>
      </c>
      <c r="L4342" s="2"/>
      <c r="M4342" s="2"/>
    </row>
    <row r="4343" spans="2:13">
      <c r="B4343" s="2"/>
      <c r="C4343" s="1">
        <v>8.8150559130000001</v>
      </c>
      <c r="D4343" s="1">
        <v>0.17149154599999999</v>
      </c>
      <c r="E4343" s="1"/>
      <c r="H4343" s="2">
        <v>14.477577999999999</v>
      </c>
      <c r="I4343" s="2">
        <v>23.211176900000002</v>
      </c>
      <c r="J4343" s="2">
        <v>75.572137400000003</v>
      </c>
      <c r="L4343" s="2"/>
      <c r="M4343" s="2"/>
    </row>
    <row r="4344" spans="2:13">
      <c r="B4344" s="2"/>
      <c r="C4344" s="1">
        <v>84.50982028</v>
      </c>
      <c r="D4344" s="1">
        <v>6.6551911559999999</v>
      </c>
      <c r="E4344" s="1"/>
      <c r="H4344" s="2">
        <v>82.921903999999998</v>
      </c>
      <c r="I4344" s="2">
        <v>3.56018722</v>
      </c>
      <c r="J4344" s="2">
        <v>28.608955399999999</v>
      </c>
      <c r="L4344" s="2"/>
      <c r="M4344" s="2"/>
    </row>
    <row r="4345" spans="2:13">
      <c r="B4345" s="2"/>
      <c r="C4345" s="1">
        <v>17.27992467</v>
      </c>
      <c r="D4345" s="1">
        <v>0.97618264700000001</v>
      </c>
      <c r="E4345" s="1"/>
      <c r="H4345" s="2">
        <v>16.9281787</v>
      </c>
      <c r="I4345" s="2">
        <v>5.3325074900000002</v>
      </c>
      <c r="J4345" s="2">
        <v>3.12856135</v>
      </c>
      <c r="L4345" s="2"/>
      <c r="M4345" s="2"/>
    </row>
    <row r="4346" spans="2:13">
      <c r="B4346" s="2"/>
      <c r="C4346" s="1">
        <v>85.343024200000002</v>
      </c>
      <c r="D4346" s="1">
        <v>1.477465628</v>
      </c>
      <c r="E4346" s="1"/>
      <c r="H4346" s="2">
        <v>99.070886900000005</v>
      </c>
      <c r="I4346" s="2">
        <v>2.7362137600000001</v>
      </c>
      <c r="J4346" s="2">
        <v>5.0404599499999998</v>
      </c>
      <c r="L4346" s="2"/>
      <c r="M4346" s="2"/>
    </row>
    <row r="4347" spans="2:13">
      <c r="B4347" s="2"/>
      <c r="C4347" s="1">
        <v>15.86710064</v>
      </c>
      <c r="D4347" s="1">
        <v>0.949799332</v>
      </c>
      <c r="E4347" s="1"/>
      <c r="H4347" s="2">
        <v>26.2904251</v>
      </c>
      <c r="I4347" s="2">
        <v>20.988003299999999</v>
      </c>
      <c r="J4347" s="2">
        <v>4.1018915399999996</v>
      </c>
      <c r="L4347" s="2"/>
      <c r="M4347" s="2"/>
    </row>
    <row r="4348" spans="2:13">
      <c r="B4348" s="2"/>
      <c r="C4348" s="1">
        <v>6.9131774110000004</v>
      </c>
      <c r="D4348" s="1">
        <v>1535.350621</v>
      </c>
      <c r="E4348" s="1"/>
      <c r="H4348" s="2">
        <v>4.3896682599999997</v>
      </c>
      <c r="I4348" s="2">
        <v>9.3590947900000003</v>
      </c>
      <c r="J4348" s="2">
        <v>20.544219500000001</v>
      </c>
      <c r="L4348" s="2"/>
      <c r="M4348" s="2"/>
    </row>
    <row r="4349" spans="2:13">
      <c r="B4349" s="2"/>
      <c r="C4349" s="1">
        <v>7.3660056259999998</v>
      </c>
      <c r="D4349" s="1">
        <v>9.0626686309999993</v>
      </c>
      <c r="E4349" s="1"/>
      <c r="H4349" s="2">
        <v>6.4893334300000003</v>
      </c>
      <c r="I4349" s="2">
        <v>26.460430800000001</v>
      </c>
      <c r="J4349" s="2">
        <v>11.7147241</v>
      </c>
      <c r="L4349" s="2"/>
      <c r="M4349" s="2"/>
    </row>
    <row r="4350" spans="2:13">
      <c r="B4350" s="2"/>
      <c r="C4350" s="1">
        <v>2.5479134210000001</v>
      </c>
      <c r="D4350" s="1">
        <v>1.002565962</v>
      </c>
      <c r="E4350" s="1"/>
      <c r="H4350" s="2">
        <v>4.2528628800000003</v>
      </c>
      <c r="I4350" s="2">
        <v>17.723202799999999</v>
      </c>
      <c r="J4350" s="2">
        <v>16.338042600000001</v>
      </c>
      <c r="L4350" s="2"/>
      <c r="M4350" s="2"/>
    </row>
    <row r="4351" spans="2:13">
      <c r="B4351" s="2"/>
      <c r="C4351" s="1">
        <v>21.512359050000001</v>
      </c>
      <c r="D4351" s="1">
        <v>13.105911620000001</v>
      </c>
      <c r="E4351" s="1"/>
      <c r="H4351" s="2">
        <v>26.879283000000001</v>
      </c>
      <c r="I4351" s="2">
        <v>121.512766</v>
      </c>
      <c r="J4351" s="2">
        <v>11.228059099999999</v>
      </c>
      <c r="L4351" s="2"/>
      <c r="M4351" s="2"/>
    </row>
    <row r="4352" spans="2:13">
      <c r="B4352" s="2"/>
      <c r="C4352" s="1">
        <v>31.003638429999999</v>
      </c>
      <c r="D4352" s="1">
        <v>3.6540890990000001</v>
      </c>
      <c r="E4352" s="1"/>
      <c r="H4352" s="2">
        <v>14.203967199999999</v>
      </c>
      <c r="I4352" s="2">
        <v>58.875235799999999</v>
      </c>
      <c r="J4352" s="2">
        <v>134.006711</v>
      </c>
      <c r="L4352" s="2"/>
      <c r="M4352" s="2"/>
    </row>
    <row r="4353" spans="2:13">
      <c r="B4353" s="2"/>
      <c r="C4353" s="1">
        <v>40.066240440000001</v>
      </c>
      <c r="D4353" s="1">
        <v>2.170027642</v>
      </c>
      <c r="E4353" s="1"/>
      <c r="H4353" s="2">
        <v>33.636279100000003</v>
      </c>
      <c r="I4353" s="2">
        <v>22.667043499999998</v>
      </c>
      <c r="J4353" s="2">
        <v>84.227823799999996</v>
      </c>
      <c r="L4353" s="2"/>
      <c r="M4353" s="2"/>
    </row>
    <row r="4354" spans="2:13">
      <c r="B4354" s="2"/>
      <c r="C4354" s="1">
        <v>22.629335319999999</v>
      </c>
      <c r="D4354" s="1">
        <v>1.1476741930000001</v>
      </c>
      <c r="E4354" s="1"/>
      <c r="H4354" s="2">
        <v>14.911786299999999</v>
      </c>
      <c r="I4354" s="2">
        <v>183.746082</v>
      </c>
      <c r="J4354" s="2">
        <v>25.0980144</v>
      </c>
      <c r="L4354" s="2"/>
      <c r="M4354" s="2"/>
    </row>
    <row r="4355" spans="2:13">
      <c r="B4355" s="2"/>
      <c r="C4355" s="1">
        <v>78.562676389999993</v>
      </c>
      <c r="D4355" s="1">
        <v>0.73213698500000002</v>
      </c>
      <c r="E4355" s="1"/>
      <c r="H4355" s="2">
        <v>148.85614899999999</v>
      </c>
      <c r="I4355" s="2">
        <v>46.173607199999999</v>
      </c>
      <c r="J4355" s="2">
        <v>173.46134599999999</v>
      </c>
      <c r="L4355" s="2"/>
      <c r="M4355" s="2"/>
    </row>
    <row r="4356" spans="2:13">
      <c r="B4356" s="2"/>
      <c r="C4356" s="1">
        <v>171.24755540000001</v>
      </c>
      <c r="D4356" s="1">
        <v>1.0751200780000001</v>
      </c>
      <c r="E4356" s="1"/>
      <c r="H4356" s="2">
        <v>96.251506399999997</v>
      </c>
      <c r="I4356" s="2">
        <v>38.213712600000001</v>
      </c>
      <c r="J4356" s="2">
        <v>33.440844599999998</v>
      </c>
      <c r="L4356" s="2"/>
      <c r="M4356" s="2"/>
    </row>
    <row r="4357" spans="2:13">
      <c r="B4357" s="2"/>
      <c r="C4357" s="1">
        <v>40.833029549999999</v>
      </c>
      <c r="D4357" s="1">
        <v>2.598756507</v>
      </c>
      <c r="E4357" s="1"/>
      <c r="H4357" s="2">
        <v>38.359038699999999</v>
      </c>
      <c r="I4357" s="2">
        <v>13.5722421</v>
      </c>
      <c r="J4357" s="2">
        <v>24.228969500000002</v>
      </c>
      <c r="L4357" s="2"/>
      <c r="M4357" s="2"/>
    </row>
    <row r="4358" spans="2:13">
      <c r="B4358" s="2"/>
      <c r="C4358" s="1">
        <v>182.10335710000001</v>
      </c>
      <c r="D4358" s="1">
        <v>1.207036652</v>
      </c>
      <c r="E4358" s="1"/>
      <c r="H4358" s="2">
        <v>164.124819</v>
      </c>
      <c r="I4358" s="2">
        <v>10.944855</v>
      </c>
      <c r="J4358" s="2">
        <v>13.869955300000001</v>
      </c>
      <c r="L4358" s="2"/>
      <c r="M4358" s="2"/>
    </row>
    <row r="4359" spans="2:13">
      <c r="B4359" s="2"/>
      <c r="C4359" s="1">
        <v>77.228342589999997</v>
      </c>
      <c r="D4359" s="1">
        <v>3.720047385</v>
      </c>
      <c r="E4359" s="1"/>
      <c r="H4359" s="2">
        <v>53.657449</v>
      </c>
      <c r="I4359" s="2">
        <v>13.2457621</v>
      </c>
      <c r="J4359" s="2">
        <v>10.7761557</v>
      </c>
      <c r="L4359" s="2"/>
      <c r="M4359" s="2"/>
    </row>
    <row r="4360" spans="2:13">
      <c r="B4360" s="2"/>
      <c r="C4360" s="1">
        <v>55.075986329999999</v>
      </c>
      <c r="D4360" s="1">
        <v>1.4642739709999999</v>
      </c>
      <c r="E4360" s="1"/>
      <c r="H4360" s="2">
        <v>42.784395400000001</v>
      </c>
      <c r="I4360" s="2">
        <v>42.660060000000001</v>
      </c>
      <c r="J4360" s="2">
        <v>9.3509222399999992</v>
      </c>
      <c r="L4360" s="2"/>
      <c r="M4360" s="2"/>
    </row>
    <row r="4361" spans="2:13">
      <c r="B4361" s="2"/>
      <c r="C4361" s="1">
        <v>41.684346589999997</v>
      </c>
      <c r="D4361" s="1">
        <v>67.013619570000003</v>
      </c>
      <c r="E4361" s="1"/>
      <c r="H4361" s="2">
        <v>21.6806786</v>
      </c>
      <c r="I4361" s="2">
        <v>17.6921094</v>
      </c>
      <c r="J4361" s="2">
        <v>25.306585099999999</v>
      </c>
      <c r="L4361" s="2"/>
      <c r="M4361" s="2"/>
    </row>
    <row r="4362" spans="2:13">
      <c r="B4362" s="2"/>
      <c r="C4362" s="1">
        <v>7.8973240640000002</v>
      </c>
      <c r="D4362" s="1">
        <v>2.0051319240000001</v>
      </c>
      <c r="E4362" s="1"/>
      <c r="H4362" s="2">
        <v>15.9883852</v>
      </c>
      <c r="I4362" s="2">
        <v>121.41948600000001</v>
      </c>
      <c r="J4362" s="2">
        <v>22.768974199999999</v>
      </c>
      <c r="L4362" s="2"/>
      <c r="M4362" s="2"/>
    </row>
    <row r="4363" spans="2:13">
      <c r="B4363" s="2"/>
      <c r="C4363" s="1">
        <v>10.31240788</v>
      </c>
      <c r="D4363" s="1">
        <v>2.2491775860000001</v>
      </c>
      <c r="E4363" s="1"/>
      <c r="H4363" s="2">
        <v>13.781655000000001</v>
      </c>
      <c r="I4363" s="2">
        <v>16.588295899999999</v>
      </c>
      <c r="J4363" s="2">
        <v>81.446880399999998</v>
      </c>
      <c r="L4363" s="2"/>
      <c r="M4363" s="2"/>
    </row>
    <row r="4364" spans="2:13">
      <c r="B4364" s="2"/>
      <c r="C4364" s="1">
        <v>73.044209879999997</v>
      </c>
      <c r="D4364" s="1">
        <v>1.6423613459999999</v>
      </c>
      <c r="E4364" s="1"/>
      <c r="H4364" s="2">
        <v>41.475822200000003</v>
      </c>
      <c r="I4364" s="2">
        <v>59.574835899999997</v>
      </c>
      <c r="J4364" s="2">
        <v>26.905627599999999</v>
      </c>
      <c r="L4364" s="2"/>
      <c r="M4364" s="2"/>
    </row>
    <row r="4365" spans="2:13">
      <c r="B4365" s="2"/>
      <c r="C4365" s="1">
        <v>19.139539209999999</v>
      </c>
      <c r="D4365" s="1">
        <v>0.93660767499999997</v>
      </c>
      <c r="E4365" s="1"/>
      <c r="H4365" s="2">
        <v>19.105168599999999</v>
      </c>
      <c r="I4365" s="2">
        <v>16.712669300000002</v>
      </c>
      <c r="J4365" s="2">
        <v>70.392630299999993</v>
      </c>
      <c r="L4365" s="2"/>
      <c r="M4365" s="2"/>
    </row>
    <row r="4366" spans="2:13">
      <c r="B4366" s="2"/>
      <c r="C4366" s="1">
        <v>60.54011345</v>
      </c>
      <c r="D4366" s="1">
        <v>7.3543489979999999</v>
      </c>
      <c r="E4366" s="1"/>
      <c r="H4366" s="2">
        <v>70.704588900000005</v>
      </c>
      <c r="I4366" s="2">
        <v>37.2964591</v>
      </c>
      <c r="J4366" s="2">
        <v>19.3275568</v>
      </c>
      <c r="L4366" s="2"/>
      <c r="M4366" s="2"/>
    </row>
    <row r="4367" spans="2:13">
      <c r="B4367" s="2"/>
      <c r="C4367" s="1">
        <v>39.866996020000002</v>
      </c>
      <c r="D4367" s="1">
        <v>1.101503393</v>
      </c>
      <c r="E4367" s="1"/>
      <c r="H4367" s="2">
        <v>32.613212799999999</v>
      </c>
      <c r="I4367" s="2">
        <v>34.435872000000003</v>
      </c>
      <c r="J4367" s="2">
        <v>40.949391800000001</v>
      </c>
      <c r="L4367" s="2"/>
      <c r="M4367" s="2"/>
    </row>
    <row r="4368" spans="2:13">
      <c r="B4368" s="2"/>
      <c r="C4368" s="1">
        <v>31.100241780000001</v>
      </c>
      <c r="D4368" s="1">
        <v>5.4349628470000004</v>
      </c>
      <c r="E4368" s="1"/>
      <c r="H4368" s="2">
        <v>68.8487942</v>
      </c>
      <c r="I4368" s="2">
        <v>22.076270099999999</v>
      </c>
      <c r="J4368" s="2">
        <v>31.702755</v>
      </c>
      <c r="L4368" s="2"/>
      <c r="M4368" s="2"/>
    </row>
    <row r="4369" spans="2:13">
      <c r="B4369" s="2"/>
      <c r="C4369" s="1">
        <v>30.900997369999999</v>
      </c>
      <c r="D4369" s="1">
        <v>6.0087999439999997</v>
      </c>
      <c r="E4369" s="1"/>
      <c r="H4369" s="2">
        <v>22.031614099999999</v>
      </c>
      <c r="I4369" s="2">
        <v>100.835696</v>
      </c>
      <c r="J4369" s="2">
        <v>20.509457699999999</v>
      </c>
      <c r="L4369" s="2"/>
      <c r="M4369" s="2"/>
    </row>
    <row r="4370" spans="2:13">
      <c r="B4370" s="2"/>
      <c r="C4370" s="1">
        <v>29.554588150000001</v>
      </c>
      <c r="D4370" s="1">
        <v>1.1476741930000001</v>
      </c>
      <c r="E4370" s="1"/>
      <c r="H4370" s="2">
        <v>41.434185800000002</v>
      </c>
      <c r="I4370" s="2">
        <v>13.8365355</v>
      </c>
      <c r="J4370" s="2">
        <v>123.54341100000001</v>
      </c>
      <c r="L4370" s="2"/>
      <c r="M4370" s="2"/>
    </row>
    <row r="4371" spans="2:13">
      <c r="B4371" s="2"/>
      <c r="C4371" s="1">
        <v>29.645153789999998</v>
      </c>
      <c r="D4371" s="1">
        <v>0.55404961100000005</v>
      </c>
      <c r="E4371" s="1"/>
      <c r="H4371" s="2">
        <v>44.402267700000003</v>
      </c>
      <c r="I4371" s="2">
        <v>99.591962100000003</v>
      </c>
      <c r="J4371" s="2">
        <v>12.722816099999999</v>
      </c>
      <c r="L4371" s="2"/>
      <c r="M4371" s="2"/>
    </row>
    <row r="4372" spans="2:13">
      <c r="B4372" s="2"/>
      <c r="C4372" s="1">
        <v>15.07616069</v>
      </c>
      <c r="D4372" s="1">
        <v>1.2729949389999999</v>
      </c>
      <c r="E4372" s="1"/>
      <c r="H4372" s="2">
        <v>27.819076500000001</v>
      </c>
      <c r="I4372" s="2">
        <v>82.537266099999997</v>
      </c>
      <c r="J4372" s="2">
        <v>65.386932099999996</v>
      </c>
      <c r="L4372" s="2"/>
      <c r="M4372" s="2"/>
    </row>
    <row r="4373" spans="2:13">
      <c r="B4373" s="2"/>
      <c r="C4373" s="1">
        <v>138.32996299999999</v>
      </c>
      <c r="D4373" s="1">
        <v>0.42872886500000001</v>
      </c>
      <c r="E4373" s="1"/>
      <c r="H4373" s="2">
        <v>142.289491</v>
      </c>
      <c r="I4373" s="2">
        <v>20.568243200000001</v>
      </c>
      <c r="J4373" s="2">
        <v>113.32344399999999</v>
      </c>
      <c r="L4373" s="2"/>
      <c r="M4373" s="2"/>
    </row>
    <row r="4374" spans="2:13">
      <c r="B4374" s="2"/>
      <c r="C4374" s="1">
        <v>30.979487590000002</v>
      </c>
      <c r="D4374" s="1">
        <v>0.164895717</v>
      </c>
      <c r="E4374" s="1"/>
      <c r="H4374" s="2">
        <v>17.790647400000001</v>
      </c>
      <c r="I4374" s="2">
        <v>3.45136054</v>
      </c>
      <c r="J4374" s="2">
        <v>24.9589672</v>
      </c>
      <c r="L4374" s="2"/>
      <c r="M4374" s="2"/>
    </row>
    <row r="4375" spans="2:13">
      <c r="B4375" s="2"/>
      <c r="C4375" s="1">
        <v>31.740238999999999</v>
      </c>
      <c r="D4375" s="1">
        <v>2.7108855950000001</v>
      </c>
      <c r="E4375" s="1"/>
      <c r="H4375" s="2">
        <v>106.636819</v>
      </c>
      <c r="I4375" s="2">
        <v>31.1244315</v>
      </c>
      <c r="J4375" s="2">
        <v>2.1899929400000002</v>
      </c>
      <c r="L4375" s="2"/>
      <c r="M4375" s="2"/>
    </row>
    <row r="4376" spans="2:13">
      <c r="B4376" s="2"/>
      <c r="C4376" s="1">
        <v>101.62068910000001</v>
      </c>
      <c r="D4376" s="1">
        <v>1.154270022</v>
      </c>
      <c r="E4376" s="1"/>
      <c r="H4376" s="2">
        <v>107.844275</v>
      </c>
      <c r="I4376" s="2">
        <v>14.3340289</v>
      </c>
      <c r="J4376" s="2">
        <v>22.525641700000001</v>
      </c>
      <c r="L4376" s="2"/>
      <c r="M4376" s="2"/>
    </row>
    <row r="4377" spans="2:13">
      <c r="B4377" s="2"/>
      <c r="C4377" s="1">
        <v>14.73804896</v>
      </c>
      <c r="D4377" s="1">
        <v>0.50787881000000001</v>
      </c>
      <c r="E4377" s="1"/>
      <c r="H4377" s="2">
        <v>30.126923699999999</v>
      </c>
      <c r="I4377" s="2">
        <v>5.3946941700000002</v>
      </c>
      <c r="J4377" s="2">
        <v>9.3509222399999992</v>
      </c>
      <c r="L4377" s="2"/>
      <c r="M4377" s="2"/>
    </row>
    <row r="4378" spans="2:13">
      <c r="B4378" s="2"/>
      <c r="C4378" s="1">
        <v>24.0119708</v>
      </c>
      <c r="D4378" s="1">
        <v>0.89043687400000004</v>
      </c>
      <c r="E4378" s="1"/>
      <c r="H4378" s="2">
        <v>4.9368897799999996</v>
      </c>
      <c r="I4378" s="2">
        <v>37.529659199999998</v>
      </c>
      <c r="J4378" s="2">
        <v>3.8585589900000001</v>
      </c>
      <c r="L4378" s="2"/>
      <c r="M4378" s="2"/>
    </row>
    <row r="4379" spans="2:13">
      <c r="B4379" s="2"/>
      <c r="C4379" s="1">
        <v>34.39683119</v>
      </c>
      <c r="D4379" s="1">
        <v>0.30340812</v>
      </c>
      <c r="E4379" s="1"/>
      <c r="H4379" s="2">
        <v>31.875653400000001</v>
      </c>
      <c r="I4379" s="2">
        <v>43.577313400000001</v>
      </c>
      <c r="J4379" s="2">
        <v>67.681210399999998</v>
      </c>
      <c r="L4379" s="2"/>
      <c r="M4379" s="2"/>
    </row>
    <row r="4380" spans="2:13">
      <c r="B4380" s="2"/>
      <c r="C4380" s="1">
        <v>15.69804478</v>
      </c>
      <c r="D4380" s="1">
        <v>44.983551720000001</v>
      </c>
      <c r="E4380" s="1"/>
      <c r="H4380" s="2">
        <v>10.8433133</v>
      </c>
      <c r="I4380" s="2">
        <v>20.397229800000002</v>
      </c>
      <c r="J4380" s="2">
        <v>19.153747800000001</v>
      </c>
      <c r="L4380" s="2"/>
      <c r="M4380" s="2"/>
    </row>
    <row r="4381" spans="2:13">
      <c r="B4381" s="2"/>
      <c r="C4381" s="1">
        <v>7.3116662400000001</v>
      </c>
      <c r="D4381" s="1">
        <v>9.2341601999999995E-2</v>
      </c>
      <c r="E4381" s="1"/>
      <c r="H4381" s="2">
        <v>4.2885512400000003</v>
      </c>
      <c r="I4381" s="2">
        <v>17.723202799999999</v>
      </c>
      <c r="J4381" s="2">
        <v>16.477089800000002</v>
      </c>
      <c r="L4381" s="2"/>
      <c r="M4381" s="2"/>
    </row>
    <row r="4382" spans="2:13">
      <c r="B4382" s="2"/>
      <c r="C4382" s="1">
        <v>53.451842460000002</v>
      </c>
      <c r="D4382" s="1">
        <v>1.0817159059999999</v>
      </c>
      <c r="E4382" s="1"/>
      <c r="H4382" s="2">
        <v>50.576353900000001</v>
      </c>
      <c r="I4382" s="2">
        <v>4.13541398</v>
      </c>
      <c r="J4382" s="2">
        <v>12.722816099999999</v>
      </c>
      <c r="L4382" s="2"/>
      <c r="M4382" s="2"/>
    </row>
    <row r="4383" spans="2:13">
      <c r="B4383" s="2"/>
      <c r="C4383" s="1">
        <v>25.931962429999999</v>
      </c>
      <c r="D4383" s="1">
        <v>1.4708698</v>
      </c>
      <c r="E4383" s="1"/>
      <c r="H4383" s="2">
        <v>23.8338763</v>
      </c>
      <c r="I4383" s="2">
        <v>37.125445800000001</v>
      </c>
      <c r="J4383" s="2">
        <v>3.6499882399999999</v>
      </c>
      <c r="L4383" s="2"/>
      <c r="M4383" s="2"/>
    </row>
    <row r="4384" spans="2:13">
      <c r="B4384" s="2"/>
      <c r="C4384" s="1">
        <v>10.010522399999999</v>
      </c>
      <c r="D4384" s="1">
        <v>1.5698072300000001</v>
      </c>
      <c r="E4384" s="1"/>
      <c r="H4384" s="2">
        <v>17.659790099999999</v>
      </c>
      <c r="I4384" s="2">
        <v>5.7989075699999999</v>
      </c>
      <c r="J4384" s="2">
        <v>35.213695999999999</v>
      </c>
      <c r="L4384" s="2"/>
      <c r="M4384" s="2"/>
    </row>
    <row r="4385" spans="2:13">
      <c r="B4385" s="2"/>
      <c r="C4385" s="1">
        <v>15.275405109999999</v>
      </c>
      <c r="D4385" s="1">
        <v>332.09997490000001</v>
      </c>
      <c r="E4385" s="1"/>
      <c r="H4385" s="2">
        <v>16.963867</v>
      </c>
      <c r="I4385" s="2">
        <v>14.2407489</v>
      </c>
      <c r="J4385" s="2">
        <v>3.4414174800000001</v>
      </c>
      <c r="L4385" s="2"/>
      <c r="M4385" s="2"/>
    </row>
    <row r="4386" spans="2:13">
      <c r="B4386" s="2"/>
      <c r="C4386" s="1">
        <v>13.16824448</v>
      </c>
      <c r="D4386" s="1">
        <v>0.19127903199999999</v>
      </c>
      <c r="E4386" s="1"/>
      <c r="H4386" s="2">
        <v>5.9718522099999998</v>
      </c>
      <c r="I4386" s="2">
        <v>29.787417999999999</v>
      </c>
      <c r="J4386" s="2">
        <v>22.803736000000001</v>
      </c>
      <c r="L4386" s="2"/>
      <c r="M4386" s="2"/>
    </row>
    <row r="4387" spans="2:13">
      <c r="B4387" s="2"/>
      <c r="C4387" s="1">
        <v>18.26407133</v>
      </c>
      <c r="D4387" s="1">
        <v>9.2341601999999995E-2</v>
      </c>
      <c r="E4387" s="1"/>
      <c r="H4387" s="2">
        <v>41.1189386</v>
      </c>
      <c r="I4387" s="2">
        <v>38.773392700000002</v>
      </c>
      <c r="J4387" s="2">
        <v>28.1918139</v>
      </c>
      <c r="L4387" s="2"/>
      <c r="M4387" s="2"/>
    </row>
    <row r="4388" spans="2:13">
      <c r="B4388" s="2"/>
      <c r="C4388" s="1">
        <v>1.5516913489999999</v>
      </c>
      <c r="D4388" s="1">
        <v>4.6566550610000004</v>
      </c>
      <c r="E4388" s="1"/>
      <c r="H4388" s="2">
        <v>4.0089924200000002</v>
      </c>
      <c r="I4388" s="2">
        <v>25.1856039</v>
      </c>
      <c r="J4388" s="2">
        <v>26.140868099999999</v>
      </c>
      <c r="L4388" s="2"/>
      <c r="M4388" s="2"/>
    </row>
    <row r="4389" spans="2:13">
      <c r="B4389" s="2"/>
      <c r="C4389" s="1">
        <v>14.80446377</v>
      </c>
      <c r="D4389" s="1">
        <v>2.8230146829999998</v>
      </c>
      <c r="E4389" s="1"/>
      <c r="H4389" s="2">
        <v>27.051776700000001</v>
      </c>
      <c r="I4389" s="2">
        <v>3.3269871800000002</v>
      </c>
      <c r="J4389" s="2">
        <v>29.860379999999999</v>
      </c>
      <c r="L4389" s="2"/>
      <c r="M4389" s="2"/>
    </row>
    <row r="4390" spans="2:13">
      <c r="B4390" s="2"/>
      <c r="C4390" s="1">
        <v>15.49276265</v>
      </c>
      <c r="D4390" s="1">
        <v>2.625139822</v>
      </c>
      <c r="E4390" s="1"/>
      <c r="H4390" s="2">
        <v>37.627427400000002</v>
      </c>
      <c r="I4390" s="2">
        <v>5.70562755</v>
      </c>
      <c r="J4390" s="2">
        <v>5.0056981499999997</v>
      </c>
      <c r="L4390" s="2"/>
      <c r="M4390" s="2"/>
    </row>
    <row r="4391" spans="2:13">
      <c r="B4391" s="2"/>
      <c r="C4391" s="1">
        <v>18.795389759999999</v>
      </c>
      <c r="D4391" s="1">
        <v>9.2341601999999995E-2</v>
      </c>
      <c r="E4391" s="1"/>
      <c r="H4391" s="2">
        <v>39.096598200000003</v>
      </c>
      <c r="I4391" s="2">
        <v>90.668174100000002</v>
      </c>
      <c r="J4391" s="2">
        <v>4.51903305</v>
      </c>
      <c r="L4391" s="2"/>
      <c r="M4391" s="2"/>
    </row>
    <row r="4392" spans="2:13">
      <c r="B4392" s="2"/>
      <c r="C4392" s="1">
        <v>41.720572850000003</v>
      </c>
      <c r="D4392" s="1">
        <v>0.60022041100000001</v>
      </c>
      <c r="E4392" s="1"/>
      <c r="H4392" s="2">
        <v>34.980540699999999</v>
      </c>
      <c r="I4392" s="2">
        <v>29.429844599999999</v>
      </c>
      <c r="J4392" s="2">
        <v>102.616812</v>
      </c>
      <c r="L4392" s="2"/>
      <c r="M4392" s="2"/>
    </row>
    <row r="4393" spans="2:13">
      <c r="B4393" s="2"/>
      <c r="C4393" s="1">
        <v>5.2045056140000003</v>
      </c>
      <c r="D4393" s="1">
        <v>27.207793379999998</v>
      </c>
      <c r="E4393" s="1"/>
      <c r="H4393" s="2">
        <v>6.1800343099999999</v>
      </c>
      <c r="I4393" s="2">
        <v>35.974992200000003</v>
      </c>
      <c r="J4393" s="2">
        <v>36.673691300000002</v>
      </c>
      <c r="L4393" s="2"/>
      <c r="M4393" s="2"/>
    </row>
    <row r="4394" spans="2:13">
      <c r="B4394" s="2"/>
      <c r="C4394" s="1">
        <v>8.1327947359999992</v>
      </c>
      <c r="D4394" s="1">
        <v>0.46830383799999997</v>
      </c>
      <c r="E4394" s="1"/>
      <c r="H4394" s="2">
        <v>6.4655411899999997</v>
      </c>
      <c r="I4394" s="2">
        <v>1.1038135</v>
      </c>
      <c r="J4394" s="2">
        <v>38.342257400000001</v>
      </c>
      <c r="L4394" s="2"/>
      <c r="M4394" s="2"/>
    </row>
    <row r="4395" spans="2:13">
      <c r="B4395" s="2"/>
      <c r="C4395" s="1">
        <v>63.29330899</v>
      </c>
      <c r="D4395" s="1">
        <v>1.556615573</v>
      </c>
      <c r="E4395" s="1"/>
      <c r="H4395" s="2">
        <v>111.413111</v>
      </c>
      <c r="I4395" s="2">
        <v>8.1464546000000002</v>
      </c>
      <c r="J4395" s="2">
        <v>1.3209481199999999</v>
      </c>
      <c r="L4395" s="2"/>
      <c r="M4395" s="2"/>
    </row>
    <row r="4396" spans="2:13">
      <c r="B4396" s="2"/>
      <c r="C4396" s="1">
        <v>44.105468109999997</v>
      </c>
      <c r="D4396" s="1">
        <v>0.50787881000000001</v>
      </c>
      <c r="E4396" s="1"/>
      <c r="H4396" s="2">
        <v>41.457977999999997</v>
      </c>
      <c r="I4396" s="2">
        <v>12.126401899999999</v>
      </c>
      <c r="J4396" s="2">
        <v>12.40996</v>
      </c>
      <c r="L4396" s="2"/>
      <c r="M4396" s="2"/>
    </row>
    <row r="4397" spans="2:13">
      <c r="B4397" s="2"/>
      <c r="C4397" s="1">
        <v>65.400469619999996</v>
      </c>
      <c r="D4397" s="1">
        <v>0.42872886500000001</v>
      </c>
      <c r="E4397" s="1"/>
      <c r="H4397" s="2">
        <v>51.516147400000001</v>
      </c>
      <c r="I4397" s="2">
        <v>5.73672089</v>
      </c>
      <c r="J4397" s="2">
        <v>9.1075897000000001</v>
      </c>
      <c r="L4397" s="2"/>
      <c r="M4397" s="2"/>
    </row>
    <row r="4398" spans="2:13">
      <c r="B4398" s="2"/>
      <c r="C4398" s="1">
        <v>2.970553088</v>
      </c>
      <c r="D4398" s="1">
        <v>1.3059740820000001</v>
      </c>
      <c r="E4398" s="1"/>
      <c r="H4398" s="2">
        <v>1.52270335</v>
      </c>
      <c r="I4398" s="2">
        <v>62.964009799999999</v>
      </c>
      <c r="J4398" s="2">
        <v>7.3347382699999999</v>
      </c>
      <c r="L4398" s="2"/>
      <c r="M4398" s="2"/>
    </row>
    <row r="4399" spans="2:13">
      <c r="B4399" s="2"/>
      <c r="C4399" s="1">
        <v>19.568216580000001</v>
      </c>
      <c r="D4399" s="1">
        <v>0.63319955500000003</v>
      </c>
      <c r="E4399" s="1"/>
      <c r="H4399" s="2">
        <v>12.056717600000001</v>
      </c>
      <c r="I4399" s="2">
        <v>11.1780551</v>
      </c>
      <c r="J4399" s="2">
        <v>37.334165400000003</v>
      </c>
      <c r="L4399" s="2"/>
      <c r="M4399" s="2"/>
    </row>
    <row r="4400" spans="2:13">
      <c r="B4400" s="2"/>
      <c r="C4400" s="1">
        <v>9.0686397129999996</v>
      </c>
      <c r="D4400" s="1">
        <v>1.827044549</v>
      </c>
      <c r="E4400" s="1"/>
      <c r="H4400" s="2">
        <v>10.367468499999999</v>
      </c>
      <c r="I4400" s="2">
        <v>32.570271699999999</v>
      </c>
      <c r="J4400" s="2">
        <v>13.974240699999999</v>
      </c>
      <c r="L4400" s="2"/>
      <c r="M4400" s="2"/>
    </row>
    <row r="4401" spans="2:13">
      <c r="B4401" s="2"/>
      <c r="C4401" s="1">
        <v>7.2029874679999999</v>
      </c>
      <c r="D4401" s="1">
        <v>4.5313343149999996</v>
      </c>
      <c r="E4401" s="1"/>
      <c r="H4401" s="2">
        <v>8.8388171199999999</v>
      </c>
      <c r="I4401" s="2">
        <v>31.839578299999999</v>
      </c>
      <c r="J4401" s="2">
        <v>21.065646399999999</v>
      </c>
      <c r="L4401" s="2"/>
      <c r="M4401" s="2"/>
    </row>
    <row r="4402" spans="2:13">
      <c r="B4402" s="2"/>
      <c r="C4402" s="1">
        <v>18.064826910000001</v>
      </c>
      <c r="D4402" s="1">
        <v>1.174057508</v>
      </c>
      <c r="E4402" s="1"/>
      <c r="H4402" s="2">
        <v>41.1784192</v>
      </c>
      <c r="I4402" s="2">
        <v>11.3179751</v>
      </c>
      <c r="J4402" s="2">
        <v>23.012306800000001</v>
      </c>
      <c r="L4402" s="2"/>
      <c r="M4402" s="2"/>
    </row>
    <row r="4403" spans="2:13">
      <c r="B4403" s="2"/>
      <c r="C4403" s="1">
        <v>7.5531746210000001</v>
      </c>
      <c r="D4403" s="1">
        <v>0.73873281400000002</v>
      </c>
      <c r="E4403" s="1"/>
      <c r="H4403" s="2">
        <v>12.0805098</v>
      </c>
      <c r="I4403" s="2">
        <v>16.8370426</v>
      </c>
      <c r="J4403" s="2">
        <v>14.8432855</v>
      </c>
      <c r="L4403" s="2"/>
      <c r="M4403" s="2"/>
    </row>
    <row r="4404" spans="2:13">
      <c r="B4404" s="2"/>
      <c r="C4404" s="1">
        <v>16.265589469999998</v>
      </c>
      <c r="D4404" s="1">
        <v>0.28362063399999998</v>
      </c>
      <c r="E4404" s="1"/>
      <c r="H4404" s="2">
        <v>21.746107299999998</v>
      </c>
      <c r="I4404" s="2">
        <v>68.607450600000007</v>
      </c>
      <c r="J4404" s="2">
        <v>27.5661016</v>
      </c>
      <c r="L4404" s="2"/>
      <c r="M4404" s="2"/>
    </row>
    <row r="4405" spans="2:13">
      <c r="B4405" s="2"/>
      <c r="C4405" s="1">
        <v>16.344079700000002</v>
      </c>
      <c r="D4405" s="1">
        <v>0.244045662</v>
      </c>
      <c r="E4405" s="1"/>
      <c r="H4405" s="2">
        <v>25.178137899999999</v>
      </c>
      <c r="I4405" s="2">
        <v>16.852589300000002</v>
      </c>
      <c r="J4405" s="2">
        <v>70.427392100000006</v>
      </c>
      <c r="L4405" s="2"/>
      <c r="M4405" s="2"/>
    </row>
    <row r="4406" spans="2:13">
      <c r="B4406" s="2"/>
      <c r="C4406" s="1">
        <v>8.1569455739999999</v>
      </c>
      <c r="D4406" s="1">
        <v>0.63979538400000002</v>
      </c>
      <c r="E4406" s="1"/>
      <c r="H4406" s="2">
        <v>18.0583101</v>
      </c>
      <c r="I4406" s="2">
        <v>20.428323200000001</v>
      </c>
      <c r="J4406" s="2">
        <v>11.3671062</v>
      </c>
      <c r="L4406" s="2"/>
      <c r="M4406" s="2"/>
    </row>
    <row r="4407" spans="2:13">
      <c r="B4407" s="2"/>
      <c r="C4407" s="1">
        <v>22.06179062</v>
      </c>
      <c r="D4407" s="1">
        <v>0.89043687400000004</v>
      </c>
      <c r="E4407" s="1"/>
      <c r="H4407" s="2">
        <v>40.714470499999997</v>
      </c>
      <c r="I4407" s="2">
        <v>10.8204817</v>
      </c>
      <c r="J4407" s="2">
        <v>29.095620499999999</v>
      </c>
      <c r="L4407" s="2"/>
      <c r="M4407" s="2"/>
    </row>
    <row r="4408" spans="2:13">
      <c r="B4408" s="2"/>
      <c r="C4408" s="1">
        <v>76.467591189999993</v>
      </c>
      <c r="D4408" s="1">
        <v>3.9838805329999998</v>
      </c>
      <c r="E4408" s="1"/>
      <c r="H4408" s="2">
        <v>72.875630799999996</v>
      </c>
      <c r="I4408" s="2">
        <v>7.10482777</v>
      </c>
      <c r="J4408" s="2">
        <v>6.7437877899999998</v>
      </c>
      <c r="L4408" s="2"/>
      <c r="M4408" s="2"/>
    </row>
    <row r="4409" spans="2:13">
      <c r="B4409" s="2"/>
      <c r="C4409" s="1">
        <v>35.453430359999999</v>
      </c>
      <c r="D4409" s="1">
        <v>0.474899666</v>
      </c>
      <c r="E4409" s="1"/>
      <c r="H4409" s="2">
        <v>12.990563</v>
      </c>
      <c r="I4409" s="2">
        <v>16.541655899999999</v>
      </c>
      <c r="J4409" s="2">
        <v>11.645200600000001</v>
      </c>
      <c r="L4409" s="2"/>
      <c r="M4409" s="2"/>
    </row>
    <row r="4410" spans="2:13">
      <c r="B4410" s="2"/>
      <c r="C4410" s="1">
        <v>5.3011089670000002</v>
      </c>
      <c r="D4410" s="1">
        <v>5.2107046710000002</v>
      </c>
      <c r="E4410" s="1"/>
      <c r="H4410" s="2">
        <v>35.385008800000001</v>
      </c>
      <c r="I4410" s="2">
        <v>13.9298155</v>
      </c>
      <c r="J4410" s="2">
        <v>19.049462399999999</v>
      </c>
      <c r="L4410" s="2"/>
      <c r="M4410" s="2"/>
    </row>
    <row r="4411" spans="2:13">
      <c r="B4411" s="2"/>
      <c r="C4411" s="1">
        <v>4.9328086850000004</v>
      </c>
      <c r="D4411" s="1">
        <v>0.21106651800000001</v>
      </c>
      <c r="E4411" s="1"/>
      <c r="H4411" s="2">
        <v>9.4098308700000004</v>
      </c>
      <c r="I4411" s="2">
        <v>79.505665699999994</v>
      </c>
      <c r="J4411" s="2">
        <v>16.650898699999999</v>
      </c>
      <c r="L4411" s="2"/>
      <c r="M4411" s="2"/>
    </row>
    <row r="4412" spans="2:13">
      <c r="B4412" s="2"/>
      <c r="C4412" s="1">
        <v>12.58862437</v>
      </c>
      <c r="D4412" s="1">
        <v>1.141078365</v>
      </c>
      <c r="E4412" s="1"/>
      <c r="H4412" s="2">
        <v>13.317706299999999</v>
      </c>
      <c r="I4412" s="2">
        <v>9.2036280999999995</v>
      </c>
      <c r="J4412" s="2">
        <v>66.742642000000004</v>
      </c>
      <c r="L4412" s="2"/>
      <c r="M4412" s="2"/>
    </row>
    <row r="4413" spans="2:13">
      <c r="B4413" s="2"/>
      <c r="C4413" s="1">
        <v>5.0596005850000001</v>
      </c>
      <c r="D4413" s="1">
        <v>2.4272649610000001</v>
      </c>
      <c r="E4413" s="1"/>
      <c r="H4413" s="2">
        <v>26.2606848</v>
      </c>
      <c r="I4413" s="2">
        <v>41.711713099999997</v>
      </c>
      <c r="J4413" s="2">
        <v>8.5166392200000001</v>
      </c>
      <c r="L4413" s="2"/>
      <c r="M4413" s="2"/>
    </row>
    <row r="4414" spans="2:13">
      <c r="B4414" s="2"/>
      <c r="C4414" s="1">
        <v>18.73501267</v>
      </c>
      <c r="D4414" s="1">
        <v>1.1476741930000001</v>
      </c>
      <c r="E4414" s="1"/>
      <c r="H4414" s="2">
        <v>14.947474700000001</v>
      </c>
      <c r="I4414" s="2">
        <v>6.0632009399999998</v>
      </c>
      <c r="J4414" s="2">
        <v>51.9688801</v>
      </c>
      <c r="L4414" s="2"/>
      <c r="M4414" s="2"/>
    </row>
    <row r="4415" spans="2:13">
      <c r="B4415" s="2"/>
      <c r="C4415" s="1">
        <v>79.975500420000003</v>
      </c>
      <c r="D4415" s="1">
        <v>0.224258176</v>
      </c>
      <c r="E4415" s="1"/>
      <c r="H4415" s="2">
        <v>78.895067400000002</v>
      </c>
      <c r="I4415" s="2">
        <v>33.503071900000002</v>
      </c>
      <c r="J4415" s="2">
        <v>4.6928420199999996</v>
      </c>
      <c r="L4415" s="2"/>
      <c r="M4415" s="2"/>
    </row>
    <row r="4416" spans="2:13">
      <c r="B4416" s="2"/>
      <c r="C4416" s="1">
        <v>7.2633645639999997</v>
      </c>
      <c r="D4416" s="1">
        <v>1.6885321470000001</v>
      </c>
      <c r="E4416" s="1"/>
      <c r="H4416" s="2">
        <v>12.621783300000001</v>
      </c>
      <c r="I4416" s="2">
        <v>20.490509800000002</v>
      </c>
      <c r="J4416" s="2">
        <v>16.789945899999999</v>
      </c>
      <c r="L4416" s="2"/>
      <c r="M4416" s="2"/>
    </row>
    <row r="4417" spans="2:13">
      <c r="B4417" s="2"/>
      <c r="C4417" s="1">
        <v>66.517445879999997</v>
      </c>
      <c r="D4417" s="1">
        <v>0.71894532799999999</v>
      </c>
      <c r="E4417" s="1"/>
      <c r="H4417" s="2">
        <v>57.404726799999999</v>
      </c>
      <c r="I4417" s="2">
        <v>23.553203700000001</v>
      </c>
      <c r="J4417" s="2">
        <v>31.598469600000001</v>
      </c>
      <c r="L4417" s="2"/>
      <c r="M4417" s="2"/>
    </row>
    <row r="4418" spans="2:13">
      <c r="B4418" s="2"/>
      <c r="C4418" s="1">
        <v>5.566768186</v>
      </c>
      <c r="D4418" s="1">
        <v>0.481495495</v>
      </c>
      <c r="E4418" s="1"/>
      <c r="H4418" s="2">
        <v>5.3235136699999996</v>
      </c>
      <c r="I4418" s="2">
        <v>3.51354721</v>
      </c>
      <c r="J4418" s="2">
        <v>30.207997899999999</v>
      </c>
      <c r="L4418" s="2"/>
      <c r="M4418" s="2"/>
    </row>
    <row r="4419" spans="2:13">
      <c r="B4419" s="2"/>
      <c r="C4419" s="1">
        <v>18.728974959999999</v>
      </c>
      <c r="D4419" s="1">
        <v>3.264935205</v>
      </c>
      <c r="E4419" s="1"/>
      <c r="H4419" s="2">
        <v>15.9467488</v>
      </c>
      <c r="I4419" s="2">
        <v>36.239285600000002</v>
      </c>
      <c r="J4419" s="2">
        <v>2.25951653</v>
      </c>
      <c r="L4419" s="2"/>
      <c r="M4419" s="2"/>
    </row>
    <row r="4420" spans="2:13">
      <c r="B4420" s="2"/>
      <c r="C4420" s="1">
        <v>25.002155160000001</v>
      </c>
      <c r="D4420" s="1">
        <v>1.4708698</v>
      </c>
      <c r="E4420" s="1"/>
      <c r="H4420" s="2">
        <v>39.507014300000002</v>
      </c>
      <c r="I4420" s="2">
        <v>10.8204817</v>
      </c>
      <c r="J4420" s="2">
        <v>32.119896500000003</v>
      </c>
      <c r="L4420" s="2"/>
      <c r="M4420" s="2"/>
    </row>
    <row r="4421" spans="2:13">
      <c r="B4421" s="2"/>
      <c r="C4421" s="1">
        <v>20.09349731</v>
      </c>
      <c r="D4421" s="1">
        <v>0.98277847600000001</v>
      </c>
      <c r="E4421" s="1"/>
      <c r="H4421" s="2">
        <v>31.304639600000002</v>
      </c>
      <c r="I4421" s="2">
        <v>2.5185603900000002</v>
      </c>
      <c r="J4421" s="2">
        <v>13.383290199999999</v>
      </c>
      <c r="L4421" s="2"/>
      <c r="M4421" s="2"/>
    </row>
    <row r="4422" spans="2:13">
      <c r="B4422" s="2"/>
      <c r="C4422" s="1">
        <v>3.5924371700000002</v>
      </c>
      <c r="D4422" s="1">
        <v>0.34957892099999999</v>
      </c>
      <c r="E4422" s="1"/>
      <c r="H4422" s="2">
        <v>5.2342927699999997</v>
      </c>
      <c r="I4422" s="2">
        <v>9.5456548100000003</v>
      </c>
      <c r="J4422" s="2">
        <v>2.53761087</v>
      </c>
      <c r="L4422" s="2"/>
      <c r="M4422" s="2"/>
    </row>
    <row r="4423" spans="2:13">
      <c r="B4423" s="2"/>
      <c r="C4423" s="1">
        <v>39.299451329999997</v>
      </c>
      <c r="D4423" s="1">
        <v>522.77219090000006</v>
      </c>
      <c r="E4423" s="1"/>
      <c r="H4423" s="2">
        <v>40.928600699999997</v>
      </c>
      <c r="I4423" s="2">
        <v>35.974992200000003</v>
      </c>
      <c r="J4423" s="2">
        <v>9.3856840399999992</v>
      </c>
      <c r="L4423" s="2"/>
      <c r="M4423" s="2"/>
    </row>
    <row r="4424" spans="2:13">
      <c r="B4424" s="2"/>
      <c r="C4424" s="1">
        <v>10.892027990000001</v>
      </c>
      <c r="D4424" s="1">
        <v>9.2407560049999997</v>
      </c>
      <c r="E4424" s="1"/>
      <c r="H4424" s="2">
        <v>14.5311105</v>
      </c>
      <c r="I4424" s="2">
        <v>30.176084700000001</v>
      </c>
      <c r="J4424" s="2">
        <v>37.8208305</v>
      </c>
      <c r="L4424" s="2"/>
      <c r="M4424" s="2"/>
    </row>
    <row r="4425" spans="2:13">
      <c r="B4425" s="2"/>
      <c r="C4425" s="1">
        <v>6.2973310390000004</v>
      </c>
      <c r="D4425" s="1">
        <v>0.99597013300000004</v>
      </c>
      <c r="E4425" s="1"/>
      <c r="H4425" s="2">
        <v>3.0454067</v>
      </c>
      <c r="I4425" s="2">
        <v>7.8977078900000004</v>
      </c>
      <c r="J4425" s="2">
        <v>16.755184100000001</v>
      </c>
      <c r="L4425" s="2"/>
      <c r="M4425" s="2"/>
    </row>
    <row r="4426" spans="2:13">
      <c r="B4426" s="2"/>
      <c r="C4426" s="1">
        <v>9.5275056370000009</v>
      </c>
      <c r="D4426" s="1">
        <v>1.3785281979999999</v>
      </c>
      <c r="E4426" s="1"/>
      <c r="H4426" s="2">
        <v>10.760040500000001</v>
      </c>
      <c r="I4426" s="2">
        <v>38.073792599999997</v>
      </c>
      <c r="J4426" s="2">
        <v>11.2628208</v>
      </c>
      <c r="L4426" s="2"/>
      <c r="M4426" s="2"/>
    </row>
    <row r="4427" spans="2:13">
      <c r="B4427" s="2"/>
      <c r="C4427" s="1">
        <v>12.93277381</v>
      </c>
      <c r="D4427" s="1">
        <v>2.625139822</v>
      </c>
      <c r="E4427" s="1"/>
      <c r="H4427" s="2">
        <v>35.753788499999999</v>
      </c>
      <c r="I4427" s="2">
        <v>96.933481700000002</v>
      </c>
      <c r="J4427" s="2">
        <v>40.427964899999999</v>
      </c>
      <c r="L4427" s="2"/>
      <c r="M4427" s="2"/>
    </row>
    <row r="4428" spans="2:13">
      <c r="B4428" s="2"/>
      <c r="C4428" s="1">
        <v>10.215804520000001</v>
      </c>
      <c r="D4428" s="1">
        <v>2.7504605670000002</v>
      </c>
      <c r="E4428" s="1"/>
      <c r="H4428" s="2">
        <v>28.366298</v>
      </c>
      <c r="I4428" s="2">
        <v>11.1314151</v>
      </c>
      <c r="J4428" s="2">
        <v>100.496343</v>
      </c>
      <c r="L4428" s="2"/>
      <c r="M4428" s="2"/>
    </row>
    <row r="4429" spans="2:13">
      <c r="B4429" s="2"/>
      <c r="C4429" s="1">
        <v>3.7796061650000001</v>
      </c>
      <c r="D4429" s="1">
        <v>0.42872886500000001</v>
      </c>
      <c r="E4429" s="1"/>
      <c r="H4429" s="2">
        <v>14.2574997</v>
      </c>
      <c r="I4429" s="2">
        <v>9.7944015199999992</v>
      </c>
      <c r="J4429" s="2">
        <v>13.209481200000001</v>
      </c>
      <c r="L4429" s="2"/>
      <c r="M4429" s="2"/>
    </row>
    <row r="4430" spans="2:13">
      <c r="B4430" s="2"/>
      <c r="C4430" s="1">
        <v>95.896940450000002</v>
      </c>
      <c r="D4430" s="1">
        <v>1.5170406000000001</v>
      </c>
      <c r="E4430" s="1"/>
      <c r="H4430" s="2">
        <v>45.080346499999997</v>
      </c>
      <c r="I4430" s="2">
        <v>22.760323499999998</v>
      </c>
      <c r="J4430" s="2">
        <v>14.5999529</v>
      </c>
      <c r="L4430" s="2"/>
      <c r="M4430" s="2"/>
    </row>
    <row r="4431" spans="2:13">
      <c r="B4431" s="2"/>
      <c r="C4431" s="1">
        <v>214.22397179999999</v>
      </c>
      <c r="D4431" s="1">
        <v>0.27042897700000001</v>
      </c>
      <c r="E4431" s="1"/>
      <c r="H4431" s="2">
        <v>115.184181</v>
      </c>
      <c r="I4431" s="2">
        <v>47.992567399999999</v>
      </c>
      <c r="J4431" s="2">
        <v>41.818436699999999</v>
      </c>
      <c r="L4431" s="2"/>
      <c r="M4431" s="2"/>
    </row>
    <row r="4432" spans="2:13">
      <c r="B4432" s="2"/>
      <c r="C4432" s="1">
        <v>15.30559366</v>
      </c>
      <c r="D4432" s="1">
        <v>0.244045662</v>
      </c>
      <c r="E4432" s="1"/>
      <c r="H4432" s="2">
        <v>15.274618</v>
      </c>
      <c r="I4432" s="2">
        <v>7.9598945700000003</v>
      </c>
      <c r="J4432" s="2">
        <v>51.343167899999997</v>
      </c>
      <c r="L4432" s="2"/>
      <c r="M4432" s="2"/>
    </row>
    <row r="4433" spans="2:13">
      <c r="B4433" s="2"/>
      <c r="C4433" s="1">
        <v>39.226998809999998</v>
      </c>
      <c r="D4433" s="1">
        <v>4.0432429919999997</v>
      </c>
      <c r="E4433" s="1"/>
      <c r="H4433" s="2">
        <v>15.018851400000001</v>
      </c>
      <c r="I4433" s="2">
        <v>29.367657900000001</v>
      </c>
      <c r="J4433" s="2">
        <v>7.1956911000000003</v>
      </c>
      <c r="L4433" s="2"/>
      <c r="M4433" s="2"/>
    </row>
    <row r="4434" spans="2:13">
      <c r="B4434" s="2"/>
      <c r="C4434" s="1">
        <v>21.928961009999998</v>
      </c>
      <c r="D4434" s="1">
        <v>0.712349499</v>
      </c>
      <c r="E4434" s="1"/>
      <c r="H4434" s="2">
        <v>47.804558</v>
      </c>
      <c r="I4434" s="2">
        <v>7.5090411699999997</v>
      </c>
      <c r="J4434" s="2">
        <v>23.394686499999999</v>
      </c>
      <c r="L4434" s="2"/>
      <c r="M4434" s="2"/>
    </row>
    <row r="4435" spans="2:13">
      <c r="B4435" s="2"/>
      <c r="C4435" s="1">
        <v>110.04329389999999</v>
      </c>
      <c r="D4435" s="1">
        <v>0.28362063399999998</v>
      </c>
      <c r="E4435" s="1"/>
      <c r="H4435" s="2">
        <v>42.9212007</v>
      </c>
      <c r="I4435" s="2">
        <v>8.48848132</v>
      </c>
      <c r="J4435" s="2">
        <v>7.9604505400000001</v>
      </c>
      <c r="L4435" s="2"/>
      <c r="M4435" s="2"/>
    </row>
    <row r="4436" spans="2:13">
      <c r="B4436" s="2"/>
      <c r="C4436" s="1">
        <v>11.92447632</v>
      </c>
      <c r="D4436" s="1">
        <v>1.965556952</v>
      </c>
      <c r="E4436" s="1"/>
      <c r="H4436" s="2">
        <v>8.9875186100000004</v>
      </c>
      <c r="I4436" s="2">
        <v>15.422295699999999</v>
      </c>
      <c r="J4436" s="2">
        <v>6.7437877899999998</v>
      </c>
      <c r="L4436" s="2"/>
      <c r="M4436" s="2"/>
    </row>
    <row r="4437" spans="2:13">
      <c r="B4437" s="2"/>
      <c r="C4437" s="1">
        <v>25.189324160000002</v>
      </c>
      <c r="D4437" s="1">
        <v>0.54745378200000006</v>
      </c>
      <c r="E4437" s="1"/>
      <c r="H4437" s="2">
        <v>33.505421800000001</v>
      </c>
      <c r="I4437" s="2">
        <v>7.8355212200000004</v>
      </c>
      <c r="J4437" s="2">
        <v>20.544219500000001</v>
      </c>
      <c r="L4437" s="2"/>
      <c r="M4437" s="2"/>
    </row>
    <row r="4438" spans="2:13">
      <c r="B4438" s="2"/>
      <c r="C4438" s="1">
        <v>6.315444168</v>
      </c>
      <c r="D4438" s="1">
        <v>7.3411573409999997</v>
      </c>
      <c r="E4438" s="1"/>
      <c r="H4438" s="2">
        <v>9.6774935699999993</v>
      </c>
      <c r="I4438" s="2">
        <v>6.5917876900000003</v>
      </c>
      <c r="J4438" s="2">
        <v>9.5594929999999998</v>
      </c>
      <c r="L4438" s="2"/>
      <c r="M4438" s="2"/>
    </row>
    <row r="4439" spans="2:13">
      <c r="B4439" s="2"/>
      <c r="C4439" s="1">
        <v>3.0128170550000002</v>
      </c>
      <c r="D4439" s="1">
        <v>299.97169330000003</v>
      </c>
      <c r="E4439" s="1"/>
      <c r="H4439" s="2">
        <v>7.2982695800000004</v>
      </c>
      <c r="I4439" s="2">
        <v>6.8249877300000001</v>
      </c>
      <c r="J4439" s="2">
        <v>9.2813986600000007</v>
      </c>
      <c r="L4439" s="2"/>
      <c r="M4439" s="2"/>
    </row>
    <row r="4440" spans="2:13">
      <c r="B4440" s="2"/>
      <c r="C4440" s="1">
        <v>12.002966539999999</v>
      </c>
      <c r="D4440" s="1">
        <v>0.82447858699999998</v>
      </c>
      <c r="E4440" s="1"/>
      <c r="H4440" s="2">
        <v>29.6094425</v>
      </c>
      <c r="I4440" s="2">
        <v>11.2557884</v>
      </c>
      <c r="J4440" s="2">
        <v>9.0380661100000008</v>
      </c>
      <c r="L4440" s="2"/>
      <c r="M4440" s="2"/>
    </row>
    <row r="4441" spans="2:13">
      <c r="B4441" s="2"/>
      <c r="C4441" s="1">
        <v>6.5811033869999997</v>
      </c>
      <c r="D4441" s="1">
        <v>2.5921606779999999</v>
      </c>
      <c r="E4441" s="1"/>
      <c r="H4441" s="2">
        <v>10.813573</v>
      </c>
      <c r="I4441" s="2">
        <v>29.787417999999999</v>
      </c>
      <c r="J4441" s="2">
        <v>10.6718704</v>
      </c>
      <c r="L4441" s="2"/>
      <c r="M4441" s="2"/>
    </row>
    <row r="4442" spans="2:13">
      <c r="B4442" s="2"/>
      <c r="C4442" s="1">
        <v>7.7946830020000002</v>
      </c>
      <c r="D4442" s="1">
        <v>2.420669132</v>
      </c>
      <c r="E4442" s="1"/>
      <c r="H4442" s="2">
        <v>10.183078699999999</v>
      </c>
      <c r="I4442" s="2">
        <v>21.578776699999999</v>
      </c>
      <c r="J4442" s="2">
        <v>45.433663099999997</v>
      </c>
      <c r="L4442" s="2"/>
      <c r="M4442" s="2"/>
    </row>
    <row r="4443" spans="2:13">
      <c r="B4443" s="2"/>
      <c r="C4443" s="1">
        <v>12.81805733</v>
      </c>
      <c r="D4443" s="1">
        <v>0.56724126799999997</v>
      </c>
      <c r="E4443" s="1"/>
      <c r="H4443" s="2">
        <v>8.3332320200000005</v>
      </c>
      <c r="I4443" s="2">
        <v>17.5988294</v>
      </c>
      <c r="J4443" s="2">
        <v>19.431842100000001</v>
      </c>
      <c r="L4443" s="2"/>
      <c r="M4443" s="2"/>
    </row>
    <row r="4444" spans="2:13">
      <c r="B4444" s="2"/>
      <c r="C4444" s="1">
        <v>16.633889750000002</v>
      </c>
      <c r="D4444" s="1">
        <v>0.17808737499999999</v>
      </c>
      <c r="E4444" s="1"/>
      <c r="H4444" s="2">
        <v>10.409104900000001</v>
      </c>
      <c r="I4444" s="2">
        <v>59.932409300000003</v>
      </c>
      <c r="J4444" s="2">
        <v>17.172325600000001</v>
      </c>
      <c r="L4444" s="2"/>
      <c r="M4444" s="2"/>
    </row>
    <row r="4445" spans="2:13">
      <c r="B4445" s="2"/>
      <c r="C4445" s="1">
        <v>39.190772549999998</v>
      </c>
      <c r="D4445" s="1">
        <v>3.5353641819999999</v>
      </c>
      <c r="E4445" s="1"/>
      <c r="H4445" s="2">
        <v>48.464792600000003</v>
      </c>
      <c r="I4445" s="2">
        <v>27.641977600000001</v>
      </c>
      <c r="J4445" s="2">
        <v>60.902660900000001</v>
      </c>
      <c r="L4445" s="2"/>
      <c r="M4445" s="2"/>
    </row>
    <row r="4446" spans="2:13">
      <c r="B4446" s="2"/>
      <c r="C4446" s="1">
        <v>6.623367354</v>
      </c>
      <c r="D4446" s="1">
        <v>2.7834397100000001</v>
      </c>
      <c r="E4446" s="1"/>
      <c r="H4446" s="2">
        <v>22.168419499999999</v>
      </c>
      <c r="I4446" s="2">
        <v>16.9769626</v>
      </c>
      <c r="J4446" s="2">
        <v>40.949391800000001</v>
      </c>
      <c r="L4446" s="2"/>
      <c r="M4446" s="2"/>
    </row>
    <row r="4447" spans="2:13">
      <c r="B4447" s="2"/>
      <c r="C4447" s="1">
        <v>30.12817055</v>
      </c>
      <c r="D4447" s="1">
        <v>1.477465628</v>
      </c>
      <c r="E4447" s="1"/>
      <c r="H4447" s="2">
        <v>18.4211417</v>
      </c>
      <c r="I4447" s="2">
        <v>5.3169608300000002</v>
      </c>
      <c r="J4447" s="2">
        <v>14.8780473</v>
      </c>
      <c r="L4447" s="2"/>
      <c r="M4447" s="2"/>
    </row>
    <row r="4448" spans="2:13">
      <c r="B4448" s="2"/>
      <c r="C4448" s="1">
        <v>59.356722380000001</v>
      </c>
      <c r="D4448" s="1">
        <v>0.481495495</v>
      </c>
      <c r="E4448" s="1"/>
      <c r="H4448" s="2">
        <v>57.630752999999999</v>
      </c>
      <c r="I4448" s="2">
        <v>67.285983799999997</v>
      </c>
      <c r="J4448" s="2">
        <v>6.6047406200000003</v>
      </c>
      <c r="L4448" s="2"/>
      <c r="M4448" s="2"/>
    </row>
    <row r="4449" spans="2:13">
      <c r="B4449" s="2"/>
      <c r="C4449" s="1">
        <v>32.700234809999998</v>
      </c>
      <c r="D4449" s="1">
        <v>404.21217009999998</v>
      </c>
      <c r="E4449" s="1"/>
      <c r="H4449" s="2">
        <v>49.660352699999997</v>
      </c>
      <c r="I4449" s="2">
        <v>83.314599599999994</v>
      </c>
      <c r="J4449" s="2">
        <v>66.464547699999997</v>
      </c>
      <c r="L4449" s="2"/>
      <c r="M4449" s="2"/>
    </row>
    <row r="4450" spans="2:13">
      <c r="B4450" s="2"/>
      <c r="C4450" s="1">
        <v>17.044454000000002</v>
      </c>
      <c r="D4450" s="1">
        <v>0.28362063399999998</v>
      </c>
      <c r="E4450" s="1"/>
      <c r="H4450" s="2">
        <v>14.1920711</v>
      </c>
      <c r="I4450" s="2">
        <v>15.204642399999999</v>
      </c>
      <c r="J4450" s="2">
        <v>43.243670199999997</v>
      </c>
      <c r="L4450" s="2"/>
      <c r="M4450" s="2"/>
    </row>
    <row r="4451" spans="2:13">
      <c r="B4451" s="2"/>
      <c r="C4451" s="1">
        <v>3.6950782320000002</v>
      </c>
      <c r="D4451" s="1">
        <v>0.50787881000000001</v>
      </c>
      <c r="E4451" s="1"/>
      <c r="H4451" s="2">
        <v>5.9778002700000004</v>
      </c>
      <c r="I4451" s="2">
        <v>7.6956011899999996</v>
      </c>
      <c r="J4451" s="2">
        <v>11.7494859</v>
      </c>
      <c r="L4451" s="2"/>
      <c r="M4451" s="2"/>
    </row>
    <row r="4452" spans="2:13">
      <c r="B4452" s="2"/>
      <c r="C4452" s="1">
        <v>66.632162359999995</v>
      </c>
      <c r="D4452" s="1">
        <v>0.81788275899999996</v>
      </c>
      <c r="E4452" s="1"/>
      <c r="H4452" s="2">
        <v>109.224225</v>
      </c>
      <c r="I4452" s="2">
        <v>44.821047</v>
      </c>
      <c r="J4452" s="2">
        <v>4.1714151299999997</v>
      </c>
      <c r="L4452" s="2"/>
      <c r="M4452" s="2"/>
    </row>
    <row r="4453" spans="2:13">
      <c r="B4453" s="2"/>
      <c r="C4453" s="1">
        <v>48.301676229999998</v>
      </c>
      <c r="D4453" s="1">
        <v>1.233419966</v>
      </c>
      <c r="E4453" s="1"/>
      <c r="H4453" s="2">
        <v>47.887830800000003</v>
      </c>
      <c r="I4453" s="2">
        <v>6.1253876199999997</v>
      </c>
      <c r="J4453" s="2">
        <v>41.297009799999998</v>
      </c>
      <c r="L4453" s="2"/>
      <c r="M4453" s="2"/>
    </row>
    <row r="4454" spans="2:13">
      <c r="B4454" s="2"/>
      <c r="C4454" s="1">
        <v>16.670116010000001</v>
      </c>
      <c r="D4454" s="1">
        <v>0.64639121200000005</v>
      </c>
      <c r="E4454" s="1"/>
      <c r="H4454" s="2">
        <v>18.7007005</v>
      </c>
      <c r="I4454" s="2">
        <v>15.282375699999999</v>
      </c>
      <c r="J4454" s="2">
        <v>4.6233184300000003</v>
      </c>
      <c r="L4454" s="2"/>
      <c r="M4454" s="2"/>
    </row>
    <row r="4455" spans="2:13">
      <c r="B4455" s="2"/>
      <c r="C4455" s="1">
        <v>8.7788296549999991</v>
      </c>
      <c r="D4455" s="1">
        <v>141.42775889999999</v>
      </c>
      <c r="E4455" s="1"/>
      <c r="H4455" s="2">
        <v>7.5421400399999996</v>
      </c>
      <c r="I4455" s="2">
        <v>15.220189</v>
      </c>
      <c r="J4455" s="2">
        <v>7.1261675100000001</v>
      </c>
      <c r="L4455" s="2"/>
      <c r="M4455" s="2"/>
    </row>
    <row r="4456" spans="2:13">
      <c r="B4456" s="2"/>
      <c r="C4456" s="1">
        <v>50.716760049999998</v>
      </c>
      <c r="D4456" s="1">
        <v>1.2663991100000001</v>
      </c>
      <c r="E4456" s="1"/>
      <c r="H4456" s="2">
        <v>54.853009</v>
      </c>
      <c r="I4456" s="2">
        <v>14.5361356</v>
      </c>
      <c r="J4456" s="2">
        <v>11.019488300000001</v>
      </c>
      <c r="L4456" s="2"/>
      <c r="M4456" s="2"/>
    </row>
    <row r="4457" spans="2:13">
      <c r="B4457" s="2"/>
      <c r="C4457" s="1">
        <v>6.6354427730000003</v>
      </c>
      <c r="D4457" s="1">
        <v>6.9849825909999996</v>
      </c>
      <c r="E4457" s="1"/>
      <c r="H4457" s="2">
        <v>6.9592301599999997</v>
      </c>
      <c r="I4457" s="2">
        <v>11.8310152</v>
      </c>
      <c r="J4457" s="2">
        <v>13.6266228</v>
      </c>
      <c r="L4457" s="2"/>
      <c r="M4457" s="2"/>
    </row>
    <row r="4458" spans="2:13">
      <c r="B4458" s="2"/>
      <c r="C4458" s="1">
        <v>4.6369609179999998</v>
      </c>
      <c r="D4458" s="1">
        <v>0.19787486100000001</v>
      </c>
      <c r="E4458" s="1"/>
      <c r="H4458" s="2">
        <v>12.9608227</v>
      </c>
      <c r="I4458" s="2">
        <v>21.065736600000001</v>
      </c>
      <c r="J4458" s="2">
        <v>10.324252400000001</v>
      </c>
      <c r="L4458" s="2"/>
      <c r="M4458" s="2"/>
    </row>
    <row r="4459" spans="2:13">
      <c r="B4459" s="2"/>
      <c r="C4459" s="1">
        <v>22.188582520000001</v>
      </c>
      <c r="D4459" s="1">
        <v>3.8255806450000001</v>
      </c>
      <c r="E4459" s="1"/>
      <c r="H4459" s="2">
        <v>12.479029799999999</v>
      </c>
      <c r="I4459" s="2">
        <v>21.159016600000001</v>
      </c>
      <c r="J4459" s="2">
        <v>12.757577899999999</v>
      </c>
      <c r="L4459" s="2"/>
      <c r="M4459" s="2"/>
    </row>
    <row r="4460" spans="2:13">
      <c r="B4460" s="2"/>
      <c r="C4460" s="1">
        <v>15.082198399999999</v>
      </c>
      <c r="D4460" s="1">
        <v>0.21106651800000001</v>
      </c>
      <c r="E4460" s="1"/>
      <c r="H4460" s="2">
        <v>16.6545679</v>
      </c>
      <c r="I4460" s="2">
        <v>27.704164299999999</v>
      </c>
      <c r="J4460" s="2">
        <v>17.763276099999999</v>
      </c>
      <c r="L4460" s="2"/>
      <c r="M4460" s="2"/>
    </row>
    <row r="4461" spans="2:13">
      <c r="B4461" s="2"/>
      <c r="C4461" s="1">
        <v>4.4014902469999999</v>
      </c>
      <c r="D4461" s="1">
        <v>0.26383314800000002</v>
      </c>
      <c r="E4461" s="1"/>
      <c r="H4461" s="2">
        <v>14.0136293</v>
      </c>
      <c r="I4461" s="2">
        <v>1.13490684</v>
      </c>
      <c r="J4461" s="2">
        <v>20.4051723</v>
      </c>
      <c r="L4461" s="2"/>
      <c r="M4461" s="2"/>
    </row>
    <row r="4462" spans="2:13">
      <c r="B4462" s="2"/>
      <c r="C4462" s="1">
        <v>26.27007416</v>
      </c>
      <c r="D4462" s="1">
        <v>0.19127903199999999</v>
      </c>
      <c r="E4462" s="1"/>
      <c r="H4462" s="2">
        <v>17.612205599999999</v>
      </c>
      <c r="I4462" s="2">
        <v>35.632965499999997</v>
      </c>
      <c r="J4462" s="2">
        <v>1.9118986</v>
      </c>
      <c r="L4462" s="2"/>
      <c r="M4462" s="2"/>
    </row>
    <row r="4463" spans="2:13">
      <c r="B4463" s="2"/>
      <c r="C4463" s="1">
        <v>23.728198450000001</v>
      </c>
      <c r="D4463" s="1">
        <v>0.38255806399999998</v>
      </c>
      <c r="E4463" s="1"/>
      <c r="H4463" s="2">
        <v>30.454066999999998</v>
      </c>
      <c r="I4463" s="2">
        <v>5.1304008000000003</v>
      </c>
      <c r="J4463" s="2">
        <v>24.124684200000001</v>
      </c>
      <c r="L4463" s="2"/>
      <c r="M4463" s="2"/>
    </row>
    <row r="4464" spans="2:13">
      <c r="B4464" s="2"/>
      <c r="C4464" s="1">
        <v>43.996789339999999</v>
      </c>
      <c r="D4464" s="1">
        <v>3.9113264179999998</v>
      </c>
      <c r="E4464" s="1"/>
      <c r="H4464" s="2">
        <v>24.648760500000002</v>
      </c>
      <c r="I4464" s="2">
        <v>7.9288012300000004</v>
      </c>
      <c r="J4464" s="2">
        <v>5.9790283500000001</v>
      </c>
      <c r="L4464" s="2"/>
      <c r="M4464" s="2"/>
    </row>
    <row r="4465" spans="2:13">
      <c r="B4465" s="2"/>
      <c r="C4465" s="1">
        <v>4.4860181800000003</v>
      </c>
      <c r="D4465" s="1">
        <v>0.30340812</v>
      </c>
      <c r="E4465" s="1"/>
      <c r="H4465" s="2">
        <v>2.6528347499999998</v>
      </c>
      <c r="I4465" s="2">
        <v>5.73672089</v>
      </c>
      <c r="J4465" s="2">
        <v>9.2813986600000007</v>
      </c>
      <c r="L4465" s="2"/>
      <c r="M4465" s="2"/>
    </row>
    <row r="4466" spans="2:13">
      <c r="B4466" s="2"/>
      <c r="C4466" s="1">
        <v>31.66778648</v>
      </c>
      <c r="D4466" s="1">
        <v>0.54745378200000006</v>
      </c>
      <c r="E4466" s="1"/>
      <c r="H4466" s="2">
        <v>39.733040600000002</v>
      </c>
      <c r="I4466" s="2">
        <v>7.6956011899999996</v>
      </c>
      <c r="J4466" s="2">
        <v>5.7356958000000002</v>
      </c>
      <c r="L4466" s="2"/>
      <c r="M4466" s="2"/>
    </row>
    <row r="4467" spans="2:13">
      <c r="B4467" s="2"/>
      <c r="C4467" s="1">
        <v>3.260363146</v>
      </c>
      <c r="D4467" s="1">
        <v>4.5643134590000001</v>
      </c>
      <c r="E4467" s="1"/>
      <c r="H4467" s="2">
        <v>7.8930755799999996</v>
      </c>
      <c r="I4467" s="2">
        <v>85.382306600000007</v>
      </c>
      <c r="J4467" s="2">
        <v>10.359014200000001</v>
      </c>
      <c r="L4467" s="2"/>
      <c r="M4467" s="2"/>
    </row>
    <row r="4468" spans="2:13">
      <c r="B4468" s="2"/>
      <c r="C4468" s="1">
        <v>2.2098016880000002</v>
      </c>
      <c r="D4468" s="1">
        <v>0.15170406</v>
      </c>
      <c r="E4468" s="1"/>
      <c r="H4468" s="2">
        <v>10.4923778</v>
      </c>
      <c r="I4468" s="2">
        <v>17.567736100000001</v>
      </c>
      <c r="J4468" s="2">
        <v>116.591053</v>
      </c>
      <c r="L4468" s="2"/>
      <c r="M4468" s="2"/>
    </row>
    <row r="4469" spans="2:13">
      <c r="B4469" s="2"/>
      <c r="C4469" s="1">
        <v>4.9086578469999997</v>
      </c>
      <c r="D4469" s="1">
        <v>3.4430225800000001</v>
      </c>
      <c r="E4469" s="1"/>
      <c r="H4469" s="2">
        <v>6.7688922500000004</v>
      </c>
      <c r="I4469" s="2">
        <v>6.3430409799999996</v>
      </c>
      <c r="J4469" s="2">
        <v>13.800431700000001</v>
      </c>
      <c r="L4469" s="2"/>
      <c r="M4469" s="2"/>
    </row>
    <row r="4470" spans="2:13">
      <c r="B4470" s="2"/>
      <c r="C4470" s="1">
        <v>13.33730035</v>
      </c>
      <c r="D4470" s="1">
        <v>0.44192052300000001</v>
      </c>
      <c r="E4470" s="1"/>
      <c r="H4470" s="2">
        <v>14.1444866</v>
      </c>
      <c r="I4470" s="2">
        <v>75.914385100000004</v>
      </c>
      <c r="J4470" s="2">
        <v>7.7866415699999996</v>
      </c>
      <c r="L4470" s="2"/>
      <c r="M4470" s="2"/>
    </row>
    <row r="4471" spans="2:13">
      <c r="B4471" s="2"/>
      <c r="C4471" s="1">
        <v>70.001204279999996</v>
      </c>
      <c r="D4471" s="1">
        <v>2.9417395989999999</v>
      </c>
      <c r="E4471" s="1"/>
      <c r="H4471" s="2">
        <v>87.020117400000004</v>
      </c>
      <c r="I4471" s="2">
        <v>1.7101336</v>
      </c>
      <c r="J4471" s="2">
        <v>54.958394300000002</v>
      </c>
      <c r="L4471" s="2"/>
      <c r="M4471" s="2"/>
    </row>
    <row r="4472" spans="2:13">
      <c r="B4472" s="2"/>
      <c r="C4472" s="1">
        <v>4.371301699</v>
      </c>
      <c r="D4472" s="1">
        <v>1.0091617909999999</v>
      </c>
      <c r="E4472" s="1"/>
      <c r="H4472" s="2">
        <v>14.560850800000001</v>
      </c>
      <c r="I4472" s="2">
        <v>30.005071300000001</v>
      </c>
      <c r="J4472" s="2">
        <v>1.5990424700000001</v>
      </c>
      <c r="L4472" s="2"/>
      <c r="M4472" s="2"/>
    </row>
    <row r="4473" spans="2:13">
      <c r="B4473" s="2"/>
      <c r="C4473" s="1">
        <v>5.7660125999999998</v>
      </c>
      <c r="D4473" s="1">
        <v>0.41553720799999999</v>
      </c>
      <c r="E4473" s="1"/>
      <c r="H4473" s="2">
        <v>10.6053909</v>
      </c>
      <c r="I4473" s="2">
        <v>17.800936100000001</v>
      </c>
      <c r="J4473" s="2">
        <v>34.866078100000003</v>
      </c>
      <c r="L4473" s="2"/>
      <c r="M4473" s="2"/>
    </row>
    <row r="4474" spans="2:13">
      <c r="B4474" s="2"/>
      <c r="C4474" s="1">
        <v>43.21792481</v>
      </c>
      <c r="D4474" s="1">
        <v>1.101503393</v>
      </c>
      <c r="E4474" s="1"/>
      <c r="H4474" s="2">
        <v>68.777417400000004</v>
      </c>
      <c r="I4474" s="2">
        <v>39.364166099999998</v>
      </c>
      <c r="J4474" s="2">
        <v>8.7947335599999992</v>
      </c>
      <c r="L4474" s="2"/>
      <c r="M4474" s="2"/>
    </row>
    <row r="4475" spans="2:13">
      <c r="B4475" s="2"/>
      <c r="C4475" s="1">
        <v>3.604512589</v>
      </c>
      <c r="D4475" s="1">
        <v>3.997072191</v>
      </c>
      <c r="E4475" s="1"/>
      <c r="H4475" s="2">
        <v>2.77179595</v>
      </c>
      <c r="I4475" s="2">
        <v>21.190110000000001</v>
      </c>
      <c r="J4475" s="2">
        <v>39.871776300000001</v>
      </c>
      <c r="L4475" s="2"/>
      <c r="M4475" s="2"/>
    </row>
    <row r="4476" spans="2:13">
      <c r="B4476" s="2"/>
      <c r="C4476" s="1">
        <v>88.404142930000006</v>
      </c>
      <c r="D4476" s="1">
        <v>1.6027863739999999</v>
      </c>
      <c r="E4476" s="1"/>
      <c r="H4476" s="2">
        <v>44.699670699999999</v>
      </c>
      <c r="I4476" s="2">
        <v>14.4428556</v>
      </c>
      <c r="J4476" s="2">
        <v>20.4051723</v>
      </c>
      <c r="L4476" s="2"/>
      <c r="M4476" s="2"/>
    </row>
    <row r="4477" spans="2:13">
      <c r="B4477" s="2"/>
      <c r="C4477" s="1">
        <v>14.38786181</v>
      </c>
      <c r="D4477" s="1">
        <v>3.8849431029999999</v>
      </c>
      <c r="E4477" s="1"/>
      <c r="H4477" s="2">
        <v>8.6484792000000006</v>
      </c>
      <c r="I4477" s="2">
        <v>19.946376399999998</v>
      </c>
      <c r="J4477" s="2">
        <v>10.8456793</v>
      </c>
      <c r="L4477" s="2"/>
      <c r="M4477" s="2"/>
    </row>
    <row r="4478" spans="2:13">
      <c r="B4478" s="2"/>
      <c r="C4478" s="1">
        <v>67.634422150000006</v>
      </c>
      <c r="D4478" s="1">
        <v>0.46830383799999997</v>
      </c>
      <c r="E4478" s="1"/>
      <c r="H4478" s="2">
        <v>50.368171799999999</v>
      </c>
      <c r="I4478" s="2">
        <v>43.484033400000001</v>
      </c>
      <c r="J4478" s="2">
        <v>24.576587499999999</v>
      </c>
      <c r="L4478" s="2"/>
      <c r="M4478" s="2"/>
    </row>
    <row r="4479" spans="2:13">
      <c r="B4479" s="2"/>
      <c r="C4479" s="1">
        <v>21.95914956</v>
      </c>
      <c r="D4479" s="1">
        <v>0.25064149099999999</v>
      </c>
      <c r="E4479" s="1"/>
      <c r="H4479" s="2">
        <v>33.743344200000003</v>
      </c>
      <c r="I4479" s="2">
        <v>28.4814978</v>
      </c>
      <c r="J4479" s="2">
        <v>47.484608899999998</v>
      </c>
      <c r="L4479" s="2"/>
      <c r="M4479" s="2"/>
    </row>
    <row r="4480" spans="2:13">
      <c r="B4480" s="2"/>
      <c r="C4480" s="1">
        <v>9.7388254710000002</v>
      </c>
      <c r="D4480" s="1">
        <v>0.79149944400000005</v>
      </c>
      <c r="E4480" s="1"/>
      <c r="H4480" s="2">
        <v>12.8834979</v>
      </c>
      <c r="I4480" s="2">
        <v>32.274884999999998</v>
      </c>
      <c r="J4480" s="2">
        <v>15.608044899999999</v>
      </c>
      <c r="L4480" s="2"/>
      <c r="M4480" s="2"/>
    </row>
    <row r="4481" spans="2:13">
      <c r="B4481" s="2"/>
      <c r="C4481" s="1">
        <v>35.894183150000003</v>
      </c>
      <c r="D4481" s="1">
        <v>2.8296105109999998</v>
      </c>
      <c r="E4481" s="1"/>
      <c r="H4481" s="2">
        <v>33.701707800000001</v>
      </c>
      <c r="I4481" s="2">
        <v>18.889202900000001</v>
      </c>
      <c r="J4481" s="2">
        <v>23.325162899999999</v>
      </c>
      <c r="L4481" s="2"/>
      <c r="M4481" s="2"/>
    </row>
    <row r="4482" spans="2:13">
      <c r="B4482" s="2"/>
      <c r="C4482" s="1">
        <v>108.9202799</v>
      </c>
      <c r="D4482" s="1">
        <v>752.92044169999997</v>
      </c>
      <c r="E4482" s="1"/>
      <c r="H4482" s="2">
        <v>52.890149299999997</v>
      </c>
      <c r="I4482" s="2">
        <v>23.4599236</v>
      </c>
      <c r="J4482" s="2">
        <v>11.7842477</v>
      </c>
      <c r="L4482" s="2"/>
      <c r="M4482" s="2"/>
    </row>
    <row r="4483" spans="2:13">
      <c r="B4483" s="2"/>
      <c r="C4483" s="1">
        <v>30.635338149999999</v>
      </c>
      <c r="D4483" s="1">
        <v>240.83349319999999</v>
      </c>
      <c r="E4483" s="1"/>
      <c r="H4483" s="2">
        <v>23.964733599999999</v>
      </c>
      <c r="I4483" s="2">
        <v>10.6805617</v>
      </c>
      <c r="J4483" s="2">
        <v>9.9766345100000002</v>
      </c>
      <c r="L4483" s="2"/>
      <c r="M4483" s="2"/>
    </row>
    <row r="4484" spans="2:13">
      <c r="B4484" s="2"/>
      <c r="C4484" s="1">
        <v>28.987043450000002</v>
      </c>
      <c r="D4484" s="1">
        <v>0.77830778599999995</v>
      </c>
      <c r="E4484" s="1"/>
      <c r="H4484" s="2">
        <v>22.614523999999999</v>
      </c>
      <c r="I4484" s="2">
        <v>86.315106700000001</v>
      </c>
      <c r="J4484" s="2">
        <v>11.193297299999999</v>
      </c>
      <c r="L4484" s="2"/>
      <c r="M4484" s="2"/>
    </row>
    <row r="4485" spans="2:13">
      <c r="B4485" s="2"/>
      <c r="C4485" s="1">
        <v>15.77049729</v>
      </c>
      <c r="D4485" s="1">
        <v>0.63979538400000002</v>
      </c>
      <c r="E4485" s="1"/>
      <c r="H4485" s="2">
        <v>11.854483500000001</v>
      </c>
      <c r="I4485" s="2">
        <v>58.626489100000001</v>
      </c>
      <c r="J4485" s="2">
        <v>52.351259900000002</v>
      </c>
      <c r="L4485" s="2"/>
      <c r="M4485" s="2"/>
    </row>
    <row r="4486" spans="2:13">
      <c r="B4486" s="2"/>
      <c r="C4486" s="1">
        <v>10.16750285</v>
      </c>
      <c r="D4486" s="1">
        <v>3.8783472739999998</v>
      </c>
      <c r="E4486" s="1"/>
      <c r="H4486" s="2">
        <v>13.3533946</v>
      </c>
      <c r="I4486" s="2">
        <v>39.6440062</v>
      </c>
      <c r="J4486" s="2">
        <v>44.251762100000001</v>
      </c>
      <c r="L4486" s="2"/>
      <c r="M4486" s="2"/>
    </row>
    <row r="4487" spans="2:13">
      <c r="B4487" s="2"/>
      <c r="C4487" s="1">
        <v>10.789386929999999</v>
      </c>
      <c r="D4487" s="1">
        <v>3.1725936039999998</v>
      </c>
      <c r="E4487" s="1"/>
      <c r="H4487" s="2">
        <v>13.2344334</v>
      </c>
      <c r="I4487" s="2">
        <v>27.299950899999999</v>
      </c>
      <c r="J4487" s="2">
        <v>44.321285699999997</v>
      </c>
      <c r="L4487" s="2"/>
      <c r="M4487" s="2"/>
    </row>
    <row r="4488" spans="2:13">
      <c r="B4488" s="2"/>
      <c r="C4488" s="1">
        <v>54.762025430000001</v>
      </c>
      <c r="D4488" s="1">
        <v>1.556615573</v>
      </c>
      <c r="E4488" s="1"/>
      <c r="H4488" s="2">
        <v>65.214529499999998</v>
      </c>
      <c r="I4488" s="2">
        <v>23.475470300000001</v>
      </c>
      <c r="J4488" s="2">
        <v>11.193297299999999</v>
      </c>
      <c r="L4488" s="2"/>
      <c r="M4488" s="2"/>
    </row>
    <row r="4489" spans="2:13">
      <c r="B4489" s="2"/>
      <c r="C4489" s="1">
        <v>15.45049869</v>
      </c>
      <c r="D4489" s="1">
        <v>1.3785281979999999</v>
      </c>
      <c r="E4489" s="1"/>
      <c r="H4489" s="2">
        <v>60.860549599999999</v>
      </c>
      <c r="I4489" s="2">
        <v>39.099872699999999</v>
      </c>
      <c r="J4489" s="2">
        <v>21.621835099999998</v>
      </c>
      <c r="L4489" s="2"/>
      <c r="M4489" s="2"/>
    </row>
    <row r="4490" spans="2:13">
      <c r="B4490" s="2"/>
      <c r="C4490" s="1">
        <v>49.762801940000003</v>
      </c>
      <c r="D4490" s="1">
        <v>7.7632903769999997</v>
      </c>
      <c r="E4490" s="1"/>
      <c r="H4490" s="2">
        <v>42.576213299999999</v>
      </c>
      <c r="I4490" s="2">
        <v>34.264858699999998</v>
      </c>
      <c r="J4490" s="2">
        <v>36.326073399999999</v>
      </c>
      <c r="L4490" s="2"/>
      <c r="M4490" s="2"/>
    </row>
    <row r="4491" spans="2:13">
      <c r="B4491" s="2"/>
      <c r="C4491" s="1">
        <v>24.078385600000001</v>
      </c>
      <c r="D4491" s="1">
        <v>0.64639121200000005</v>
      </c>
      <c r="E4491" s="1"/>
      <c r="H4491" s="2">
        <v>16.244151800000001</v>
      </c>
      <c r="I4491" s="2">
        <v>41.416326400000003</v>
      </c>
      <c r="J4491" s="2">
        <v>33.9622715</v>
      </c>
      <c r="L4491" s="2"/>
      <c r="M4491" s="2"/>
    </row>
    <row r="4492" spans="2:13">
      <c r="B4492" s="2"/>
      <c r="C4492" s="1">
        <v>8.4769441790000002</v>
      </c>
      <c r="D4492" s="1">
        <v>1.002565962</v>
      </c>
      <c r="E4492" s="1"/>
      <c r="H4492" s="2">
        <v>23.536473300000001</v>
      </c>
      <c r="I4492" s="2">
        <v>32.679098400000001</v>
      </c>
      <c r="J4492" s="2">
        <v>40.740821099999998</v>
      </c>
      <c r="L4492" s="2"/>
      <c r="M4492" s="2"/>
    </row>
    <row r="4493" spans="2:13">
      <c r="B4493" s="2"/>
      <c r="C4493" s="1">
        <v>53.101655309999998</v>
      </c>
      <c r="D4493" s="1">
        <v>1.827044549</v>
      </c>
      <c r="E4493" s="1"/>
      <c r="H4493" s="2">
        <v>48.149545500000002</v>
      </c>
      <c r="I4493" s="2">
        <v>72.012171199999997</v>
      </c>
      <c r="J4493" s="2">
        <v>33.197512099999997</v>
      </c>
      <c r="L4493" s="2"/>
      <c r="M4493" s="2"/>
    </row>
    <row r="4494" spans="2:13">
      <c r="B4494" s="2"/>
      <c r="C4494" s="1">
        <v>53.463917879999997</v>
      </c>
      <c r="D4494" s="1">
        <v>0.67937035599999995</v>
      </c>
      <c r="E4494" s="1"/>
      <c r="H4494" s="2">
        <v>36.199893000000003</v>
      </c>
      <c r="I4494" s="2">
        <v>34.342592000000003</v>
      </c>
      <c r="J4494" s="2">
        <v>81.377356800000001</v>
      </c>
      <c r="L4494" s="2"/>
      <c r="M4494" s="2"/>
    </row>
    <row r="4495" spans="2:13">
      <c r="B4495" s="2"/>
      <c r="C4495" s="1">
        <v>40.833029549999999</v>
      </c>
      <c r="D4495" s="1">
        <v>0.474899666</v>
      </c>
      <c r="E4495" s="1"/>
      <c r="H4495" s="2">
        <v>43.8312539</v>
      </c>
      <c r="I4495" s="2">
        <v>17.707656100000001</v>
      </c>
      <c r="J4495" s="2">
        <v>14.8780473</v>
      </c>
      <c r="L4495" s="2"/>
      <c r="M4495" s="2"/>
    </row>
    <row r="4496" spans="2:13">
      <c r="B4496" s="2"/>
      <c r="C4496" s="1">
        <v>48.905447189999997</v>
      </c>
      <c r="D4496" s="1">
        <v>0.59362458299999998</v>
      </c>
      <c r="E4496" s="1"/>
      <c r="H4496" s="2">
        <v>40.619301499999999</v>
      </c>
      <c r="I4496" s="2">
        <v>29.134457900000001</v>
      </c>
      <c r="J4496" s="2">
        <v>16.442328</v>
      </c>
      <c r="L4496" s="2"/>
      <c r="M4496" s="2"/>
    </row>
    <row r="4497" spans="2:13">
      <c r="B4497" s="2"/>
      <c r="C4497" s="1">
        <v>117.2402436</v>
      </c>
      <c r="D4497" s="1">
        <v>1.0751200780000001</v>
      </c>
      <c r="E4497" s="1"/>
      <c r="H4497" s="2">
        <v>97.916963199999998</v>
      </c>
      <c r="I4497" s="2">
        <v>6.8249877300000001</v>
      </c>
      <c r="J4497" s="2">
        <v>31.7722786</v>
      </c>
      <c r="L4497" s="2"/>
      <c r="M4497" s="2"/>
    </row>
    <row r="4498" spans="2:13">
      <c r="B4498" s="2"/>
      <c r="C4498" s="1">
        <v>10.922216540000001</v>
      </c>
      <c r="D4498" s="1">
        <v>1.8336403779999999</v>
      </c>
      <c r="E4498" s="1"/>
      <c r="H4498" s="2">
        <v>18.7244928</v>
      </c>
      <c r="I4498" s="2">
        <v>12.748268599999999</v>
      </c>
      <c r="J4498" s="2">
        <v>8.8294953500000002</v>
      </c>
      <c r="L4498" s="2"/>
      <c r="M4498" s="2"/>
    </row>
    <row r="4499" spans="2:13">
      <c r="B4499" s="2"/>
      <c r="C4499" s="1">
        <v>17.249736120000001</v>
      </c>
      <c r="D4499" s="1">
        <v>0.36936640700000001</v>
      </c>
      <c r="E4499" s="1"/>
      <c r="H4499" s="2">
        <v>20.0211699</v>
      </c>
      <c r="I4499" s="2">
        <v>13.416775400000001</v>
      </c>
      <c r="J4499" s="2">
        <v>12.0971039</v>
      </c>
      <c r="L4499" s="2"/>
      <c r="M4499" s="2"/>
    </row>
    <row r="4500" spans="2:13">
      <c r="B4500" s="2"/>
      <c r="C4500" s="1">
        <v>16.162948409999998</v>
      </c>
      <c r="D4500" s="1">
        <v>0.25064149099999999</v>
      </c>
      <c r="E4500" s="1"/>
      <c r="H4500" s="2">
        <v>36.116620099999999</v>
      </c>
      <c r="I4500" s="2">
        <v>37.856139200000001</v>
      </c>
      <c r="J4500" s="2">
        <v>12.131865700000001</v>
      </c>
      <c r="L4500" s="2"/>
      <c r="M4500" s="2"/>
    </row>
    <row r="4501" spans="2:13">
      <c r="B4501" s="2"/>
      <c r="C4501" s="1">
        <v>13.26484784</v>
      </c>
      <c r="D4501" s="1">
        <v>3.0934436590000001</v>
      </c>
      <c r="E4501" s="1"/>
      <c r="H4501" s="2">
        <v>10.91469</v>
      </c>
      <c r="I4501" s="2">
        <v>17.987496100000001</v>
      </c>
      <c r="J4501" s="2">
        <v>32.954179500000002</v>
      </c>
      <c r="L4501" s="2"/>
      <c r="M4501" s="2"/>
    </row>
    <row r="4502" spans="2:13">
      <c r="B4502" s="2"/>
      <c r="C4502" s="1">
        <v>5.1501662279999998</v>
      </c>
      <c r="D4502" s="1">
        <v>0.67277452699999996</v>
      </c>
      <c r="E4502" s="1"/>
      <c r="H4502" s="2">
        <v>12.520666200000001</v>
      </c>
      <c r="I4502" s="2">
        <v>5.67453421</v>
      </c>
      <c r="J4502" s="2">
        <v>15.1909034</v>
      </c>
      <c r="L4502" s="2"/>
      <c r="M4502" s="2"/>
    </row>
    <row r="4503" spans="2:13">
      <c r="B4503" s="2"/>
      <c r="C4503" s="1">
        <v>9.9320321759999999</v>
      </c>
      <c r="D4503" s="1">
        <v>4.4587801999999996</v>
      </c>
      <c r="E4503" s="1"/>
      <c r="H4503" s="2">
        <v>14.1980191</v>
      </c>
      <c r="I4503" s="2">
        <v>5.2392274800000003</v>
      </c>
      <c r="J4503" s="2">
        <v>4.3452240900000003</v>
      </c>
      <c r="L4503" s="2"/>
      <c r="M4503" s="2"/>
    </row>
    <row r="4504" spans="2:13">
      <c r="B4504" s="2"/>
      <c r="C4504" s="1">
        <v>34.143247389999999</v>
      </c>
      <c r="D4504" s="1">
        <v>0.34298309199999999</v>
      </c>
      <c r="E4504" s="1"/>
      <c r="H4504" s="2">
        <v>39.792521200000003</v>
      </c>
      <c r="I4504" s="2">
        <v>42.147019899999997</v>
      </c>
      <c r="J4504" s="2">
        <v>4.3104623000000002</v>
      </c>
      <c r="L4504" s="2"/>
      <c r="M4504" s="2"/>
    </row>
    <row r="4505" spans="2:13">
      <c r="B4505" s="2"/>
      <c r="C4505" s="1">
        <v>54.50844163</v>
      </c>
      <c r="D4505" s="1">
        <v>179.35377389999999</v>
      </c>
      <c r="E4505" s="1"/>
      <c r="H4505" s="2">
        <v>19.9616893</v>
      </c>
      <c r="I4505" s="2">
        <v>8.2863746200000001</v>
      </c>
      <c r="J4505" s="2">
        <v>50.230790499999998</v>
      </c>
      <c r="L4505" s="2"/>
      <c r="M4505" s="2"/>
    </row>
    <row r="4506" spans="2:13">
      <c r="B4506" s="2"/>
      <c r="C4506" s="1">
        <v>9.6120335699999995</v>
      </c>
      <c r="D4506" s="1">
        <v>3.5551516680000002</v>
      </c>
      <c r="E4506" s="1"/>
      <c r="H4506" s="2">
        <v>7.4826594399999999</v>
      </c>
      <c r="I4506" s="2">
        <v>64.938436699999997</v>
      </c>
      <c r="J4506" s="2">
        <v>5.9790283500000001</v>
      </c>
      <c r="L4506" s="2"/>
      <c r="M4506" s="2"/>
    </row>
    <row r="4507" spans="2:13">
      <c r="B4507" s="2"/>
      <c r="C4507" s="1">
        <v>2.81961035</v>
      </c>
      <c r="D4507" s="1">
        <v>1.4510823129999999</v>
      </c>
      <c r="E4507" s="1"/>
      <c r="H4507" s="2">
        <v>5.9183196699999998</v>
      </c>
      <c r="I4507" s="2">
        <v>5.0526674500000004</v>
      </c>
      <c r="J4507" s="2">
        <v>79.743552500000007</v>
      </c>
      <c r="L4507" s="2"/>
      <c r="M4507" s="2"/>
    </row>
    <row r="4508" spans="2:13">
      <c r="B4508" s="2"/>
      <c r="C4508" s="1">
        <v>22.84065515</v>
      </c>
      <c r="D4508" s="1">
        <v>0.50128298100000002</v>
      </c>
      <c r="E4508" s="1"/>
      <c r="H4508" s="2">
        <v>43.545746999999999</v>
      </c>
      <c r="I4508" s="2">
        <v>9.3901881199999995</v>
      </c>
      <c r="J4508" s="2">
        <v>3.8585589900000001</v>
      </c>
      <c r="L4508" s="2"/>
      <c r="M4508" s="2"/>
    </row>
    <row r="4509" spans="2:13">
      <c r="B4509" s="2"/>
      <c r="C4509" s="1">
        <v>11.5924023</v>
      </c>
      <c r="D4509" s="1">
        <v>1.827044549</v>
      </c>
      <c r="E4509" s="1"/>
      <c r="H4509" s="2">
        <v>7.9466081199999996</v>
      </c>
      <c r="I4509" s="2">
        <v>108.57793700000001</v>
      </c>
      <c r="J4509" s="2">
        <v>11.8190095</v>
      </c>
      <c r="L4509" s="2"/>
      <c r="M4509" s="2"/>
    </row>
    <row r="4510" spans="2:13">
      <c r="B4510" s="2"/>
      <c r="C4510" s="1">
        <v>90.849415289999996</v>
      </c>
      <c r="D4510" s="1">
        <v>0.94320350399999997</v>
      </c>
      <c r="E4510" s="1"/>
      <c r="H4510" s="2">
        <v>89.220899599999996</v>
      </c>
      <c r="I4510" s="2">
        <v>17.987496100000001</v>
      </c>
      <c r="J4510" s="2">
        <v>54.923632499999997</v>
      </c>
      <c r="L4510" s="2"/>
      <c r="M4510" s="2"/>
    </row>
    <row r="4511" spans="2:13">
      <c r="B4511" s="2"/>
      <c r="C4511" s="1">
        <v>11.024857600000001</v>
      </c>
      <c r="D4511" s="1">
        <v>2.216198442</v>
      </c>
      <c r="E4511" s="1"/>
      <c r="H4511" s="2">
        <v>6.53096985</v>
      </c>
      <c r="I4511" s="2">
        <v>9.7788548500000001</v>
      </c>
      <c r="J4511" s="2">
        <v>19.501365700000001</v>
      </c>
      <c r="L4511" s="2"/>
      <c r="M4511" s="2"/>
    </row>
    <row r="4512" spans="2:13">
      <c r="B4512" s="2"/>
      <c r="C4512" s="1">
        <v>14.59314393</v>
      </c>
      <c r="D4512" s="1">
        <v>1.141078365</v>
      </c>
      <c r="E4512" s="1"/>
      <c r="H4512" s="2">
        <v>13.632953499999999</v>
      </c>
      <c r="I4512" s="2">
        <v>56.387768800000003</v>
      </c>
      <c r="J4512" s="2">
        <v>15.3647124</v>
      </c>
      <c r="L4512" s="2"/>
      <c r="M4512" s="2"/>
    </row>
    <row r="4513" spans="2:13">
      <c r="B4513" s="2"/>
      <c r="C4513" s="1">
        <v>55.53485225</v>
      </c>
      <c r="D4513" s="1">
        <v>0.28362063399999998</v>
      </c>
      <c r="E4513" s="1"/>
      <c r="H4513" s="2">
        <v>65.398919399999997</v>
      </c>
      <c r="I4513" s="2">
        <v>15.639949100000001</v>
      </c>
      <c r="J4513" s="2">
        <v>57.600290600000001</v>
      </c>
      <c r="L4513" s="2"/>
      <c r="M4513" s="2"/>
    </row>
    <row r="4514" spans="2:13">
      <c r="B4514" s="2"/>
      <c r="C4514" s="1">
        <v>51.34468184</v>
      </c>
      <c r="D4514" s="1">
        <v>0.78490361500000005</v>
      </c>
      <c r="E4514" s="1"/>
      <c r="H4514" s="2">
        <v>23.9468894</v>
      </c>
      <c r="I4514" s="2">
        <v>43.763873500000003</v>
      </c>
      <c r="J4514" s="2">
        <v>14.009002499999999</v>
      </c>
      <c r="L4514" s="2"/>
      <c r="M4514" s="2"/>
    </row>
    <row r="4515" spans="2:13">
      <c r="B4515" s="2"/>
      <c r="C4515" s="1">
        <v>8.9116592650000008</v>
      </c>
      <c r="D4515" s="1">
        <v>0.87064938800000002</v>
      </c>
      <c r="E4515" s="1"/>
      <c r="H4515" s="2">
        <v>12.6455755</v>
      </c>
      <c r="I4515" s="2">
        <v>19.075762999999998</v>
      </c>
      <c r="J4515" s="2">
        <v>20.752790300000001</v>
      </c>
      <c r="L4515" s="2"/>
      <c r="M4515" s="2"/>
    </row>
    <row r="4516" spans="2:13">
      <c r="B4516" s="2"/>
      <c r="C4516" s="1">
        <v>23.23310627</v>
      </c>
      <c r="D4516" s="1">
        <v>0.224258176</v>
      </c>
      <c r="E4516" s="1"/>
      <c r="H4516" s="2">
        <v>66.356556999999995</v>
      </c>
      <c r="I4516" s="2">
        <v>3.3114405100000002</v>
      </c>
      <c r="J4516" s="2">
        <v>15.1213798</v>
      </c>
      <c r="L4516" s="2"/>
      <c r="M4516" s="2"/>
    </row>
    <row r="4517" spans="2:13">
      <c r="B4517" s="2"/>
      <c r="C4517" s="1">
        <v>31.673824190000001</v>
      </c>
      <c r="D4517" s="1">
        <v>1.681936318</v>
      </c>
      <c r="E4517" s="1"/>
      <c r="H4517" s="2">
        <v>21.335691099999998</v>
      </c>
      <c r="I4517" s="2">
        <v>7.7266945299999996</v>
      </c>
      <c r="J4517" s="2">
        <v>4.5537948500000001</v>
      </c>
      <c r="L4517" s="2"/>
      <c r="M4517" s="2"/>
    </row>
    <row r="4518" spans="2:13">
      <c r="B4518" s="2"/>
      <c r="C4518" s="1">
        <v>25.28592751</v>
      </c>
      <c r="D4518" s="1">
        <v>0.40894137899999999</v>
      </c>
      <c r="E4518" s="1"/>
      <c r="H4518" s="2">
        <v>30.882327400000001</v>
      </c>
      <c r="I4518" s="2">
        <v>17.272349299999998</v>
      </c>
      <c r="J4518" s="2">
        <v>10.6718704</v>
      </c>
      <c r="L4518" s="2"/>
      <c r="M4518" s="2"/>
    </row>
    <row r="4519" spans="2:13">
      <c r="B4519" s="2"/>
      <c r="C4519" s="1">
        <v>27.864029479999999</v>
      </c>
      <c r="D4519" s="1">
        <v>1.4115073410000001</v>
      </c>
      <c r="E4519" s="1"/>
      <c r="H4519" s="2">
        <v>24.5773838</v>
      </c>
      <c r="I4519" s="2">
        <v>4.6950940599999997</v>
      </c>
      <c r="J4519" s="2">
        <v>16.581375099999999</v>
      </c>
      <c r="L4519" s="2"/>
      <c r="M4519" s="2"/>
    </row>
    <row r="4520" spans="2:13">
      <c r="B4520" s="2"/>
      <c r="C4520" s="1">
        <v>12.093532189999999</v>
      </c>
      <c r="D4520" s="1">
        <v>0.55404961100000005</v>
      </c>
      <c r="E4520" s="1"/>
      <c r="H4520" s="2">
        <v>5.3710981499999999</v>
      </c>
      <c r="I4520" s="2">
        <v>42.0226465</v>
      </c>
      <c r="J4520" s="2">
        <v>6.6047406200000003</v>
      </c>
      <c r="L4520" s="2"/>
      <c r="M4520" s="2"/>
    </row>
    <row r="4521" spans="2:13">
      <c r="B4521" s="2"/>
      <c r="C4521" s="1">
        <v>20.58858949</v>
      </c>
      <c r="D4521" s="1">
        <v>1.068524249</v>
      </c>
      <c r="E4521" s="1"/>
      <c r="H4521" s="2">
        <v>12.615835199999999</v>
      </c>
      <c r="I4521" s="2">
        <v>17.800936100000001</v>
      </c>
      <c r="J4521" s="2">
        <v>23.394686499999999</v>
      </c>
      <c r="L4521" s="2"/>
      <c r="M4521" s="2"/>
    </row>
    <row r="4522" spans="2:13">
      <c r="B4522" s="2"/>
      <c r="C4522" s="1">
        <v>25.255738959999999</v>
      </c>
      <c r="D4522" s="1">
        <v>1.7478946049999999</v>
      </c>
      <c r="E4522" s="1"/>
      <c r="H4522" s="2">
        <v>25.5469176</v>
      </c>
      <c r="I4522" s="2">
        <v>28.092831</v>
      </c>
      <c r="J4522" s="2">
        <v>11.123773699999999</v>
      </c>
      <c r="L4522" s="2"/>
      <c r="M4522" s="2"/>
    </row>
    <row r="4523" spans="2:13">
      <c r="B4523" s="2"/>
      <c r="C4523" s="1">
        <v>8.4588310500000006</v>
      </c>
      <c r="D4523" s="1">
        <v>0.54085795299999995</v>
      </c>
      <c r="E4523" s="1"/>
      <c r="H4523" s="2">
        <v>8.8447651799999996</v>
      </c>
      <c r="I4523" s="2">
        <v>5.0837607900000004</v>
      </c>
      <c r="J4523" s="2">
        <v>32.467514399999999</v>
      </c>
      <c r="L4523" s="2"/>
      <c r="M4523" s="2"/>
    </row>
    <row r="4524" spans="2:13">
      <c r="B4524" s="2"/>
      <c r="C4524" s="1">
        <v>38.273040709999997</v>
      </c>
      <c r="D4524" s="1">
        <v>0.41553720799999999</v>
      </c>
      <c r="E4524" s="1"/>
      <c r="H4524" s="2">
        <v>32.928460000000001</v>
      </c>
      <c r="I4524" s="2">
        <v>26.165044099999999</v>
      </c>
      <c r="J4524" s="2">
        <v>6.4656934499999998</v>
      </c>
      <c r="L4524" s="2"/>
      <c r="M4524" s="2"/>
    </row>
    <row r="4525" spans="2:13">
      <c r="B4525" s="2"/>
      <c r="C4525" s="1">
        <v>18.904068540000001</v>
      </c>
      <c r="D4525" s="1">
        <v>2.4008816460000002</v>
      </c>
      <c r="E4525" s="1"/>
      <c r="H4525" s="2">
        <v>11.3786387</v>
      </c>
      <c r="I4525" s="2">
        <v>39.130966100000002</v>
      </c>
      <c r="J4525" s="2">
        <v>16.894231300000001</v>
      </c>
      <c r="L4525" s="2"/>
      <c r="M4525" s="2"/>
    </row>
    <row r="4526" spans="2:13">
      <c r="B4526" s="2"/>
      <c r="C4526" s="1">
        <v>40.211145459999997</v>
      </c>
      <c r="D4526" s="1">
        <v>4.6434634030000002</v>
      </c>
      <c r="E4526" s="1"/>
      <c r="H4526" s="2">
        <v>35.385008800000001</v>
      </c>
      <c r="I4526" s="2">
        <v>10.665015</v>
      </c>
      <c r="J4526" s="2">
        <v>35.109410699999998</v>
      </c>
      <c r="L4526" s="2"/>
      <c r="M4526" s="2"/>
    </row>
    <row r="4527" spans="2:13">
      <c r="B4527" s="2"/>
      <c r="C4527" s="1">
        <v>11.14561179</v>
      </c>
      <c r="D4527" s="1">
        <v>0.58043292499999999</v>
      </c>
      <c r="E4527" s="1"/>
      <c r="H4527" s="2">
        <v>8.2856475399999994</v>
      </c>
      <c r="I4527" s="2">
        <v>7.9598945700000003</v>
      </c>
      <c r="J4527" s="2">
        <v>10.428537800000001</v>
      </c>
      <c r="L4527" s="2"/>
      <c r="M4527" s="2"/>
    </row>
    <row r="4528" spans="2:13">
      <c r="B4528" s="2"/>
      <c r="C4528" s="1">
        <v>21.59084928</v>
      </c>
      <c r="D4528" s="1">
        <v>2.17662347</v>
      </c>
      <c r="E4528" s="1"/>
      <c r="H4528" s="2">
        <v>23.6970709</v>
      </c>
      <c r="I4528" s="2">
        <v>41.804993199999998</v>
      </c>
      <c r="J4528" s="2">
        <v>6.5699788300000002</v>
      </c>
      <c r="L4528" s="2"/>
      <c r="M4528" s="2"/>
    </row>
    <row r="4529" spans="2:13">
      <c r="B4529" s="2"/>
      <c r="C4529" s="1">
        <v>32.682121680000002</v>
      </c>
      <c r="D4529" s="1">
        <v>0.77171195800000003</v>
      </c>
      <c r="E4529" s="1"/>
      <c r="H4529" s="2">
        <v>39.685456100000003</v>
      </c>
      <c r="I4529" s="2">
        <v>80.003159100000005</v>
      </c>
      <c r="J4529" s="2">
        <v>61.145993400000002</v>
      </c>
      <c r="L4529" s="2"/>
      <c r="M4529" s="2"/>
    </row>
    <row r="4530" spans="2:13">
      <c r="B4530" s="2"/>
      <c r="C4530" s="1">
        <v>13.80220398</v>
      </c>
      <c r="D4530" s="1">
        <v>1.141078365</v>
      </c>
      <c r="E4530" s="1"/>
      <c r="H4530" s="2">
        <v>13.609161200000001</v>
      </c>
      <c r="I4530" s="2">
        <v>14.1941089</v>
      </c>
      <c r="J4530" s="2">
        <v>68.758825999999999</v>
      </c>
      <c r="L4530" s="2"/>
      <c r="M4530" s="2"/>
    </row>
    <row r="4531" spans="2:13">
      <c r="B4531" s="2"/>
      <c r="C4531" s="1">
        <v>4.4860181800000003</v>
      </c>
      <c r="D4531" s="1">
        <v>9.8937430000000007E-2</v>
      </c>
      <c r="E4531" s="1"/>
      <c r="H4531" s="2">
        <v>10.2901437</v>
      </c>
      <c r="I4531" s="2">
        <v>34.264858699999998</v>
      </c>
      <c r="J4531" s="2">
        <v>13.1051959</v>
      </c>
      <c r="L4531" s="2"/>
      <c r="M4531" s="2"/>
    </row>
    <row r="4532" spans="2:13">
      <c r="B4532" s="2"/>
      <c r="C4532" s="1">
        <v>44.310750229999996</v>
      </c>
      <c r="D4532" s="1">
        <v>2.2887525580000001</v>
      </c>
      <c r="E4532" s="1"/>
      <c r="H4532" s="2">
        <v>66.534998799999997</v>
      </c>
      <c r="I4532" s="2">
        <v>12.2974152</v>
      </c>
      <c r="J4532" s="2">
        <v>47.936512200000003</v>
      </c>
      <c r="L4532" s="2"/>
      <c r="M4532" s="2"/>
    </row>
    <row r="4533" spans="2:13">
      <c r="B4533" s="2"/>
      <c r="C4533" s="1">
        <v>92.799595460000006</v>
      </c>
      <c r="D4533" s="1">
        <v>1.7610862620000001</v>
      </c>
      <c r="E4533" s="1"/>
      <c r="H4533" s="2">
        <v>77.479429199999998</v>
      </c>
      <c r="I4533" s="2">
        <v>14.1319222</v>
      </c>
      <c r="J4533" s="2">
        <v>7.8214033599999997</v>
      </c>
      <c r="L4533" s="2"/>
      <c r="M4533" s="2"/>
    </row>
    <row r="4534" spans="2:13">
      <c r="B4534" s="2"/>
      <c r="C4534" s="1">
        <v>8.9418478130000008</v>
      </c>
      <c r="D4534" s="1">
        <v>2.0644943819999999</v>
      </c>
      <c r="E4534" s="1"/>
      <c r="H4534" s="2">
        <v>13.9065642</v>
      </c>
      <c r="I4534" s="2">
        <v>2.8139471</v>
      </c>
      <c r="J4534" s="2">
        <v>14.7737619</v>
      </c>
      <c r="L4534" s="2"/>
      <c r="M4534" s="2"/>
    </row>
    <row r="4535" spans="2:13">
      <c r="B4535" s="2"/>
      <c r="C4535" s="1">
        <v>60.141624620000002</v>
      </c>
      <c r="D4535" s="1">
        <v>208.86351149999999</v>
      </c>
      <c r="E4535" s="1"/>
      <c r="H4535" s="2">
        <v>58.059013399999998</v>
      </c>
      <c r="I4535" s="2">
        <v>33.6585386</v>
      </c>
      <c r="J4535" s="2">
        <v>1.5295188799999999</v>
      </c>
      <c r="L4535" s="2"/>
      <c r="M4535" s="2"/>
    </row>
    <row r="4536" spans="2:13">
      <c r="B4536" s="2"/>
      <c r="C4536" s="1">
        <v>16.718417689999999</v>
      </c>
      <c r="D4536" s="1">
        <v>0.83107441599999998</v>
      </c>
      <c r="E4536" s="1"/>
      <c r="H4536" s="2">
        <v>13.1333164</v>
      </c>
      <c r="I4536" s="2">
        <v>50.371207800000001</v>
      </c>
      <c r="J4536" s="2">
        <v>27.183721899999998</v>
      </c>
      <c r="L4536" s="2"/>
      <c r="M4536" s="2"/>
    </row>
    <row r="4537" spans="2:13">
      <c r="B4537" s="2"/>
      <c r="C4537" s="1">
        <v>21.470095090000001</v>
      </c>
      <c r="D4537" s="1">
        <v>0.56064543899999997</v>
      </c>
      <c r="E4537" s="1"/>
      <c r="H4537" s="2">
        <v>17.481348300000001</v>
      </c>
      <c r="I4537" s="2">
        <v>18.360616199999999</v>
      </c>
      <c r="J4537" s="2">
        <v>56.661722099999999</v>
      </c>
      <c r="L4537" s="2"/>
      <c r="M4537" s="2"/>
    </row>
    <row r="4538" spans="2:13">
      <c r="B4538" s="2"/>
      <c r="C4538" s="1">
        <v>2.6505544830000001</v>
      </c>
      <c r="D4538" s="1">
        <v>0.73873281400000002</v>
      </c>
      <c r="E4538" s="1"/>
      <c r="H4538" s="2">
        <v>2.6825750500000001</v>
      </c>
      <c r="I4538" s="2">
        <v>19.7753631</v>
      </c>
      <c r="J4538" s="2">
        <v>42.131292799999997</v>
      </c>
      <c r="L4538" s="2"/>
      <c r="M4538" s="2"/>
    </row>
    <row r="4539" spans="2:13">
      <c r="B4539" s="2"/>
      <c r="C4539" s="1">
        <v>76.129479450000005</v>
      </c>
      <c r="D4539" s="1">
        <v>2.1964109559999998</v>
      </c>
      <c r="E4539" s="1"/>
      <c r="H4539" s="2">
        <v>31.958926200000001</v>
      </c>
      <c r="I4539" s="2">
        <v>12.079761899999999</v>
      </c>
      <c r="J4539" s="2">
        <v>25.5151559</v>
      </c>
      <c r="L4539" s="2"/>
      <c r="M4539" s="2"/>
    </row>
    <row r="4540" spans="2:13">
      <c r="B4540" s="2"/>
      <c r="C4540" s="1">
        <v>15.589366</v>
      </c>
      <c r="D4540" s="1">
        <v>0.25064149099999999</v>
      </c>
      <c r="E4540" s="1"/>
      <c r="H4540" s="2">
        <v>67.641338000000005</v>
      </c>
      <c r="I4540" s="2">
        <v>6.4674143400000004</v>
      </c>
      <c r="J4540" s="2">
        <v>22.038976600000002</v>
      </c>
      <c r="L4540" s="2"/>
      <c r="M4540" s="2"/>
    </row>
    <row r="4541" spans="2:13">
      <c r="B4541" s="2"/>
      <c r="C4541" s="1">
        <v>97.756554989999998</v>
      </c>
      <c r="D4541" s="1">
        <v>0.90362853200000004</v>
      </c>
      <c r="E4541" s="1"/>
      <c r="H4541" s="2">
        <v>49.910171200000001</v>
      </c>
      <c r="I4541" s="2">
        <v>5.70562755</v>
      </c>
      <c r="J4541" s="2">
        <v>6.9871203399999997</v>
      </c>
      <c r="L4541" s="2"/>
      <c r="M4541" s="2"/>
    </row>
    <row r="4542" spans="2:13">
      <c r="B4542" s="2"/>
      <c r="C4542" s="1">
        <v>17.147095060000002</v>
      </c>
      <c r="D4542" s="1">
        <v>0.38915389299999997</v>
      </c>
      <c r="E4542" s="1"/>
      <c r="H4542" s="2">
        <v>29.5737542</v>
      </c>
      <c r="I4542" s="2">
        <v>32.243791700000003</v>
      </c>
      <c r="J4542" s="2">
        <v>3.96284437</v>
      </c>
      <c r="L4542" s="2"/>
      <c r="M4542" s="2"/>
    </row>
    <row r="4543" spans="2:13">
      <c r="B4543" s="2"/>
      <c r="C4543" s="1">
        <v>22.460279450000002</v>
      </c>
      <c r="D4543" s="1">
        <v>0.36936640700000001</v>
      </c>
      <c r="E4543" s="1"/>
      <c r="H4543" s="2">
        <v>26.682997</v>
      </c>
      <c r="I4543" s="2">
        <v>5.9388275899999998</v>
      </c>
      <c r="J4543" s="2">
        <v>44.425571099999999</v>
      </c>
      <c r="L4543" s="2"/>
      <c r="M4543" s="2"/>
    </row>
    <row r="4544" spans="2:13">
      <c r="B4544" s="2"/>
      <c r="C4544" s="1">
        <v>11.38108246</v>
      </c>
      <c r="D4544" s="1">
        <v>0.40894137899999999</v>
      </c>
      <c r="E4544" s="1"/>
      <c r="H4544" s="2">
        <v>8.7733884599999996</v>
      </c>
      <c r="I4544" s="2">
        <v>5.65898754</v>
      </c>
      <c r="J4544" s="2">
        <v>3.40665569</v>
      </c>
      <c r="L4544" s="2"/>
      <c r="M4544" s="2"/>
    </row>
    <row r="4545" spans="2:13">
      <c r="B4545" s="2"/>
      <c r="C4545" s="1">
        <v>19.604442840000001</v>
      </c>
      <c r="D4545" s="1">
        <v>10.42800517</v>
      </c>
      <c r="E4545" s="1"/>
      <c r="H4545" s="2">
        <v>7.00681464</v>
      </c>
      <c r="I4545" s="2">
        <v>14.0541888</v>
      </c>
      <c r="J4545" s="2">
        <v>6.77854958</v>
      </c>
      <c r="L4545" s="2"/>
      <c r="M4545" s="2"/>
    </row>
    <row r="4546" spans="2:13">
      <c r="B4546" s="2"/>
      <c r="C4546" s="1">
        <v>22.701787830000001</v>
      </c>
      <c r="D4546" s="1">
        <v>0.60022041100000001</v>
      </c>
      <c r="E4546" s="1"/>
      <c r="H4546" s="2">
        <v>42.189589400000003</v>
      </c>
      <c r="I4546" s="2">
        <v>7.7111478599999996</v>
      </c>
      <c r="J4546" s="2">
        <v>11.228059099999999</v>
      </c>
      <c r="L4546" s="2"/>
      <c r="M4546" s="2"/>
    </row>
    <row r="4547" spans="2:13">
      <c r="B4547" s="2"/>
      <c r="C4547" s="1">
        <v>6.7803478009999996</v>
      </c>
      <c r="D4547" s="1">
        <v>3.3704684650000001</v>
      </c>
      <c r="E4547" s="1"/>
      <c r="H4547" s="2">
        <v>5.2402408300000003</v>
      </c>
      <c r="I4547" s="2">
        <v>6.0787476099999997</v>
      </c>
      <c r="J4547" s="2">
        <v>6.77854958</v>
      </c>
      <c r="L4547" s="2"/>
      <c r="M4547" s="2"/>
    </row>
    <row r="4548" spans="2:13">
      <c r="B4548" s="2"/>
      <c r="C4548" s="1">
        <v>8.1026061879999993</v>
      </c>
      <c r="D4548" s="1">
        <v>0.38915389299999997</v>
      </c>
      <c r="E4548" s="1"/>
      <c r="H4548" s="2">
        <v>9.1897526500000009</v>
      </c>
      <c r="I4548" s="2">
        <v>35.384218799999999</v>
      </c>
      <c r="J4548" s="2">
        <v>4.3799858800000004</v>
      </c>
      <c r="L4548" s="2"/>
      <c r="M4548" s="2"/>
    </row>
    <row r="4549" spans="2:13">
      <c r="B4549" s="2"/>
      <c r="C4549" s="1">
        <v>7.5773254589999999</v>
      </c>
      <c r="D4549" s="1">
        <v>2.5855648489999998</v>
      </c>
      <c r="E4549" s="1"/>
      <c r="H4549" s="2">
        <v>13.995785100000001</v>
      </c>
      <c r="I4549" s="2">
        <v>14.3184822</v>
      </c>
      <c r="J4549" s="2">
        <v>30.520854</v>
      </c>
      <c r="L4549" s="2"/>
      <c r="M4549" s="2"/>
    </row>
    <row r="4550" spans="2:13">
      <c r="B4550" s="2"/>
      <c r="C4550" s="1">
        <v>11.538062910000001</v>
      </c>
      <c r="D4550" s="1">
        <v>0.83107441599999998</v>
      </c>
      <c r="E4550" s="1"/>
      <c r="H4550" s="2">
        <v>11.307262</v>
      </c>
      <c r="I4550" s="2">
        <v>17.987496100000001</v>
      </c>
      <c r="J4550" s="2">
        <v>12.236151</v>
      </c>
      <c r="L4550" s="2"/>
      <c r="M4550" s="2"/>
    </row>
    <row r="4551" spans="2:13">
      <c r="B4551" s="2"/>
      <c r="C4551" s="1">
        <v>4.1056424800000002</v>
      </c>
      <c r="D4551" s="1">
        <v>1.4972531140000001</v>
      </c>
      <c r="E4551" s="1"/>
      <c r="H4551" s="2">
        <v>7.4826594399999999</v>
      </c>
      <c r="I4551" s="2">
        <v>11.0847751</v>
      </c>
      <c r="J4551" s="2">
        <v>26.245153500000001</v>
      </c>
      <c r="L4551" s="2"/>
      <c r="M4551" s="2"/>
    </row>
    <row r="4552" spans="2:13">
      <c r="B4552" s="2"/>
      <c r="C4552" s="1">
        <v>23.444426100000001</v>
      </c>
      <c r="D4552" s="1">
        <v>0.17808737499999999</v>
      </c>
      <c r="E4552" s="1"/>
      <c r="H4552" s="2">
        <v>52.497577300000003</v>
      </c>
      <c r="I4552" s="2">
        <v>18.531629500000001</v>
      </c>
      <c r="J4552" s="2">
        <v>6.1875991099999998</v>
      </c>
      <c r="L4552" s="2"/>
      <c r="M4552" s="2"/>
    </row>
    <row r="4553" spans="2:13">
      <c r="B4553" s="2"/>
      <c r="C4553" s="1">
        <v>24.265554600000002</v>
      </c>
      <c r="D4553" s="1">
        <v>6.0022041149999996</v>
      </c>
      <c r="E4553" s="1"/>
      <c r="H4553" s="2">
        <v>14.8463577</v>
      </c>
      <c r="I4553" s="2">
        <v>29.600857900000001</v>
      </c>
      <c r="J4553" s="2">
        <v>22.873259600000001</v>
      </c>
      <c r="L4553" s="2"/>
      <c r="M4553" s="2"/>
    </row>
    <row r="4554" spans="2:13">
      <c r="B4554" s="2"/>
      <c r="C4554" s="1">
        <v>77.940792310000006</v>
      </c>
      <c r="D4554" s="1">
        <v>2.0447068960000001</v>
      </c>
      <c r="E4554" s="1"/>
      <c r="H4554" s="2">
        <v>37.669063800000004</v>
      </c>
      <c r="I4554" s="2">
        <v>21.252296600000001</v>
      </c>
      <c r="J4554" s="2">
        <v>17.763276099999999</v>
      </c>
      <c r="L4554" s="2"/>
      <c r="M4554" s="2"/>
    </row>
    <row r="4555" spans="2:13">
      <c r="B4555" s="2"/>
      <c r="C4555" s="1">
        <v>5.7841257290000003</v>
      </c>
      <c r="D4555" s="1">
        <v>1.1344825359999999</v>
      </c>
      <c r="E4555" s="1"/>
      <c r="H4555" s="2">
        <v>7.7205818400000004</v>
      </c>
      <c r="I4555" s="2">
        <v>9.5922948199999993</v>
      </c>
      <c r="J4555" s="2">
        <v>29.999427099999998</v>
      </c>
      <c r="L4555" s="2"/>
      <c r="M4555" s="2"/>
    </row>
    <row r="4556" spans="2:13">
      <c r="B4556" s="2"/>
      <c r="C4556" s="1">
        <v>66.777067389999999</v>
      </c>
      <c r="D4556" s="1">
        <v>2.3283275300000001</v>
      </c>
      <c r="E4556" s="1"/>
      <c r="H4556" s="2">
        <v>36.092827900000003</v>
      </c>
      <c r="I4556" s="2">
        <v>81.993132700000004</v>
      </c>
      <c r="J4556" s="2">
        <v>6.3266462800000003</v>
      </c>
      <c r="L4556" s="2"/>
      <c r="M4556" s="2"/>
    </row>
    <row r="4557" spans="2:13">
      <c r="B4557" s="2"/>
      <c r="C4557" s="1">
        <v>8.9720363600000006</v>
      </c>
      <c r="D4557" s="1">
        <v>0.62660372600000003</v>
      </c>
      <c r="E4557" s="1"/>
      <c r="H4557" s="2">
        <v>23.2807067</v>
      </c>
      <c r="I4557" s="2">
        <v>34.808992099999998</v>
      </c>
      <c r="J4557" s="2">
        <v>103.451095</v>
      </c>
      <c r="L4557" s="2"/>
      <c r="M4557" s="2"/>
    </row>
    <row r="4558" spans="2:13">
      <c r="B4558" s="2"/>
      <c r="C4558" s="1">
        <v>24.229328339999999</v>
      </c>
      <c r="D4558" s="1">
        <v>313.83612529999999</v>
      </c>
      <c r="E4558" s="1"/>
      <c r="H4558" s="2">
        <v>32.363394300000003</v>
      </c>
      <c r="I4558" s="2">
        <v>11.0847751</v>
      </c>
      <c r="J4558" s="2">
        <v>29.3737149</v>
      </c>
      <c r="L4558" s="2"/>
      <c r="M4558" s="2"/>
    </row>
    <row r="4559" spans="2:13">
      <c r="B4559" s="2"/>
      <c r="C4559" s="1">
        <v>5.9954455619999996</v>
      </c>
      <c r="D4559" s="1">
        <v>206.20539260000001</v>
      </c>
      <c r="E4559" s="1"/>
      <c r="H4559" s="2">
        <v>7.5718803399999999</v>
      </c>
      <c r="I4559" s="2">
        <v>32.041685000000001</v>
      </c>
      <c r="J4559" s="2">
        <v>10.324252400000001</v>
      </c>
      <c r="L4559" s="2"/>
      <c r="M4559" s="2"/>
    </row>
    <row r="4560" spans="2:13">
      <c r="B4560" s="2"/>
      <c r="C4560" s="1">
        <v>49.805065910000003</v>
      </c>
      <c r="D4560" s="1">
        <v>1.193844994</v>
      </c>
      <c r="E4560" s="1"/>
      <c r="H4560" s="2">
        <v>92.962229300000004</v>
      </c>
      <c r="I4560" s="2">
        <v>5.67453421</v>
      </c>
      <c r="J4560" s="2">
        <v>26.870865800000001</v>
      </c>
      <c r="L4560" s="2"/>
      <c r="M4560" s="2"/>
    </row>
    <row r="4561" spans="2:13">
      <c r="B4561" s="2"/>
      <c r="C4561" s="1">
        <v>24.52517611</v>
      </c>
      <c r="D4561" s="1">
        <v>0.63979538400000002</v>
      </c>
      <c r="E4561" s="1"/>
      <c r="H4561" s="2">
        <v>33.802824800000003</v>
      </c>
      <c r="I4561" s="2">
        <v>64.9695301</v>
      </c>
      <c r="J4561" s="2">
        <v>8.4471156300000008</v>
      </c>
      <c r="L4561" s="2"/>
      <c r="M4561" s="2"/>
    </row>
    <row r="4562" spans="2:13">
      <c r="B4562" s="2"/>
      <c r="C4562" s="1">
        <v>21.162171900000001</v>
      </c>
      <c r="D4562" s="1">
        <v>0.19787486100000001</v>
      </c>
      <c r="E4562" s="1"/>
      <c r="H4562" s="2">
        <v>14.281292000000001</v>
      </c>
      <c r="I4562" s="2">
        <v>23.646483700000001</v>
      </c>
      <c r="J4562" s="2">
        <v>53.324590000000001</v>
      </c>
      <c r="L4562" s="2"/>
      <c r="M4562" s="2"/>
    </row>
    <row r="4563" spans="2:13">
      <c r="B4563" s="2"/>
      <c r="C4563" s="1">
        <v>30.285150999999999</v>
      </c>
      <c r="D4563" s="1">
        <v>398.59911990000001</v>
      </c>
      <c r="E4563" s="1"/>
      <c r="H4563" s="2">
        <v>32.660797299999999</v>
      </c>
      <c r="I4563" s="2">
        <v>10.836028300000001</v>
      </c>
      <c r="J4563" s="2">
        <v>23.2904011</v>
      </c>
      <c r="L4563" s="2"/>
      <c r="M4563" s="2"/>
    </row>
    <row r="4564" spans="2:13">
      <c r="B4564" s="2"/>
      <c r="C4564" s="1">
        <v>6.9554413779999997</v>
      </c>
      <c r="D4564" s="1">
        <v>107.2745579</v>
      </c>
      <c r="E4564" s="1"/>
      <c r="H4564" s="2">
        <v>8.8804535399999995</v>
      </c>
      <c r="I4564" s="2">
        <v>19.6976297</v>
      </c>
      <c r="J4564" s="2">
        <v>12.5490072</v>
      </c>
      <c r="L4564" s="2"/>
      <c r="M4564" s="2"/>
    </row>
    <row r="4565" spans="2:13">
      <c r="B4565" s="2"/>
      <c r="C4565" s="1">
        <v>16.23540092</v>
      </c>
      <c r="D4565" s="1">
        <v>9.2341601999999995E-2</v>
      </c>
      <c r="E4565" s="1"/>
      <c r="H4565" s="2">
        <v>59.159404500000001</v>
      </c>
      <c r="I4565" s="2">
        <v>3.2337071700000002</v>
      </c>
      <c r="J4565" s="2">
        <v>20.370410499999998</v>
      </c>
      <c r="L4565" s="2"/>
      <c r="M4565" s="2"/>
    </row>
    <row r="4566" spans="2:13">
      <c r="B4566" s="2"/>
      <c r="C4566" s="1">
        <v>23.794613250000001</v>
      </c>
      <c r="D4566" s="1">
        <v>0.81788275899999996</v>
      </c>
      <c r="E4566" s="1"/>
      <c r="H4566" s="2">
        <v>30.3172617</v>
      </c>
      <c r="I4566" s="2">
        <v>65.933423599999998</v>
      </c>
      <c r="J4566" s="2">
        <v>5.0752217399999999</v>
      </c>
      <c r="L4566" s="2"/>
      <c r="M4566" s="2"/>
    </row>
    <row r="4567" spans="2:13">
      <c r="B4567" s="2"/>
      <c r="C4567" s="1">
        <v>11.74938274</v>
      </c>
      <c r="D4567" s="1">
        <v>295.49312570000001</v>
      </c>
      <c r="E4567" s="1"/>
      <c r="H4567" s="2">
        <v>18.944571</v>
      </c>
      <c r="I4567" s="2">
        <v>2.4252803799999998</v>
      </c>
      <c r="J4567" s="2">
        <v>78.214033599999993</v>
      </c>
      <c r="L4567" s="2"/>
      <c r="M4567" s="2"/>
    </row>
    <row r="4568" spans="2:13">
      <c r="B4568" s="2"/>
      <c r="C4568" s="1">
        <v>5.1743170669999996</v>
      </c>
      <c r="D4568" s="1">
        <v>6.7607244150000003</v>
      </c>
      <c r="E4568" s="1"/>
      <c r="H4568" s="2">
        <v>27.4502968</v>
      </c>
      <c r="I4568" s="2">
        <v>1.72568027</v>
      </c>
      <c r="J4568" s="2">
        <v>2.12046936</v>
      </c>
      <c r="L4568" s="2"/>
      <c r="M4568" s="2"/>
    </row>
    <row r="4569" spans="2:13">
      <c r="B4569" s="2"/>
      <c r="C4569" s="1">
        <v>4.2324343799999999</v>
      </c>
      <c r="D4569" s="1">
        <v>0.62660372600000003</v>
      </c>
      <c r="E4569" s="1"/>
      <c r="H4569" s="2">
        <v>6.2633071500000002</v>
      </c>
      <c r="I4569" s="2">
        <v>15.375655699999999</v>
      </c>
      <c r="J4569" s="2">
        <v>1.9118986</v>
      </c>
      <c r="L4569" s="2"/>
      <c r="M4569" s="2"/>
    </row>
    <row r="4570" spans="2:13">
      <c r="B4570" s="2"/>
      <c r="C4570" s="1">
        <v>56.911450019999997</v>
      </c>
      <c r="D4570" s="1">
        <v>1.536828087</v>
      </c>
      <c r="E4570" s="1"/>
      <c r="H4570" s="2">
        <v>98.856756700000005</v>
      </c>
      <c r="I4570" s="2">
        <v>42.520139899999997</v>
      </c>
      <c r="J4570" s="2">
        <v>14.8085237</v>
      </c>
      <c r="L4570" s="2"/>
      <c r="M4570" s="2"/>
    </row>
    <row r="4571" spans="2:13">
      <c r="B4571" s="2"/>
      <c r="C4571" s="1">
        <v>6.146388301</v>
      </c>
      <c r="D4571" s="1">
        <v>0.620007898</v>
      </c>
      <c r="E4571" s="1"/>
      <c r="H4571" s="2">
        <v>3.08109506</v>
      </c>
      <c r="I4571" s="2">
        <v>38.306992600000001</v>
      </c>
      <c r="J4571" s="2">
        <v>52.872686700000003</v>
      </c>
      <c r="L4571" s="2"/>
      <c r="M4571" s="2"/>
    </row>
    <row r="4572" spans="2:13">
      <c r="B4572" s="2"/>
      <c r="C4572" s="1">
        <v>4.1177178989999996</v>
      </c>
      <c r="D4572" s="1">
        <v>2.6383314790000001</v>
      </c>
      <c r="E4572" s="1"/>
      <c r="H4572" s="2">
        <v>3.68779718</v>
      </c>
      <c r="I4572" s="2">
        <v>8.4107479699999992</v>
      </c>
      <c r="J4572" s="2">
        <v>55.201726899999997</v>
      </c>
      <c r="L4572" s="2"/>
      <c r="M4572" s="2"/>
    </row>
    <row r="4573" spans="2:13">
      <c r="B4573" s="2"/>
      <c r="C4573" s="1">
        <v>20.842173290000002</v>
      </c>
      <c r="D4573" s="1">
        <v>2.282156729</v>
      </c>
      <c r="E4573" s="1"/>
      <c r="H4573" s="2">
        <v>18.546050999999999</v>
      </c>
      <c r="I4573" s="2">
        <v>19.9152831</v>
      </c>
      <c r="J4573" s="2">
        <v>6.9175967500000004</v>
      </c>
      <c r="L4573" s="2"/>
      <c r="M4573" s="2"/>
    </row>
    <row r="4574" spans="2:13">
      <c r="B4574" s="2"/>
      <c r="C4574" s="1">
        <v>33.002120290000001</v>
      </c>
      <c r="D4574" s="1">
        <v>1.0619284200000001</v>
      </c>
      <c r="E4574" s="1"/>
      <c r="H4574" s="2">
        <v>62.680655999999999</v>
      </c>
      <c r="I4574" s="2">
        <v>13.168028700000001</v>
      </c>
      <c r="J4574" s="2">
        <v>26.697056799999999</v>
      </c>
      <c r="L4574" s="2"/>
      <c r="M4574" s="2"/>
    </row>
    <row r="4575" spans="2:13">
      <c r="B4575" s="2"/>
      <c r="C4575" s="1">
        <v>88.591311919999995</v>
      </c>
      <c r="D4575" s="1">
        <v>1.0091617909999999</v>
      </c>
      <c r="E4575" s="1"/>
      <c r="H4575" s="2">
        <v>62.216707300000003</v>
      </c>
      <c r="I4575" s="2">
        <v>36.9233391</v>
      </c>
      <c r="J4575" s="2">
        <v>11.3671062</v>
      </c>
      <c r="L4575" s="2"/>
      <c r="M4575" s="2"/>
    </row>
    <row r="4576" spans="2:13">
      <c r="B4576" s="2"/>
      <c r="C4576" s="1">
        <v>7.9637388690000002</v>
      </c>
      <c r="D4576" s="1">
        <v>2.3481150159999999</v>
      </c>
      <c r="E4576" s="1"/>
      <c r="H4576" s="2">
        <v>9.9570523899999994</v>
      </c>
      <c r="I4576" s="2">
        <v>33.549711899999998</v>
      </c>
      <c r="J4576" s="2">
        <v>30.347045099999999</v>
      </c>
      <c r="L4576" s="2"/>
      <c r="M4576" s="2"/>
    </row>
    <row r="4577" spans="2:13">
      <c r="B4577" s="2"/>
      <c r="C4577" s="1">
        <v>22.442166319999998</v>
      </c>
      <c r="D4577" s="1">
        <v>4.3796302550000004</v>
      </c>
      <c r="E4577" s="1"/>
      <c r="H4577" s="2">
        <v>32.024354899999999</v>
      </c>
      <c r="I4577" s="2">
        <v>19.853096399999998</v>
      </c>
      <c r="J4577" s="2">
        <v>30.7294248</v>
      </c>
      <c r="L4577" s="2"/>
      <c r="M4577" s="2"/>
    </row>
    <row r="4578" spans="2:13">
      <c r="B4578" s="2"/>
      <c r="C4578" s="1">
        <v>11.95466487</v>
      </c>
      <c r="D4578" s="1">
        <v>1.596190545</v>
      </c>
      <c r="E4578" s="1"/>
      <c r="H4578" s="2">
        <v>15.7266706</v>
      </c>
      <c r="I4578" s="2">
        <v>25.0923239</v>
      </c>
      <c r="J4578" s="2">
        <v>22.942783200000001</v>
      </c>
      <c r="L4578" s="2"/>
      <c r="M4578" s="2"/>
    </row>
    <row r="4579" spans="2:13">
      <c r="B4579" s="2"/>
      <c r="C4579" s="1">
        <v>56.772582700000001</v>
      </c>
      <c r="D4579" s="1">
        <v>0.63979538400000002</v>
      </c>
      <c r="E4579" s="1"/>
      <c r="H4579" s="2">
        <v>36.699530000000003</v>
      </c>
      <c r="I4579" s="2">
        <v>29.663044599999999</v>
      </c>
      <c r="J4579" s="2">
        <v>23.568495500000001</v>
      </c>
      <c r="L4579" s="2"/>
      <c r="M4579" s="2"/>
    </row>
    <row r="4580" spans="2:13">
      <c r="B4580" s="2"/>
      <c r="C4580" s="1">
        <v>40.168881499999998</v>
      </c>
      <c r="D4580" s="1">
        <v>4.8809132359999996</v>
      </c>
      <c r="E4580" s="1"/>
      <c r="H4580" s="2">
        <v>36.080931800000002</v>
      </c>
      <c r="I4580" s="2">
        <v>40.141499600000003</v>
      </c>
      <c r="J4580" s="2">
        <v>26.870865800000001</v>
      </c>
      <c r="L4580" s="2"/>
      <c r="M4580" s="2"/>
    </row>
    <row r="4581" spans="2:13">
      <c r="B4581" s="2"/>
      <c r="C4581" s="1">
        <v>24.144800409999998</v>
      </c>
      <c r="D4581" s="1">
        <v>0.80469110099999996</v>
      </c>
      <c r="E4581" s="1"/>
      <c r="H4581" s="2">
        <v>28.794558299999998</v>
      </c>
      <c r="I4581" s="2">
        <v>30.082804700000001</v>
      </c>
      <c r="J4581" s="2">
        <v>48.284130099999999</v>
      </c>
      <c r="L4581" s="2"/>
      <c r="M4581" s="2"/>
    </row>
    <row r="4582" spans="2:13">
      <c r="B4582" s="2"/>
      <c r="C4582" s="1">
        <v>26.76516634</v>
      </c>
      <c r="D4582" s="1">
        <v>0.15170406</v>
      </c>
      <c r="E4582" s="1"/>
      <c r="H4582" s="2">
        <v>34.0823836</v>
      </c>
      <c r="I4582" s="2">
        <v>24.299443799999999</v>
      </c>
      <c r="J4582" s="2">
        <v>46.441755100000002</v>
      </c>
      <c r="L4582" s="2"/>
      <c r="M4582" s="2"/>
    </row>
    <row r="4583" spans="2:13">
      <c r="B4583" s="2"/>
      <c r="C4583" s="1">
        <v>30.62326273</v>
      </c>
      <c r="D4583" s="1">
        <v>2.6845022799999998</v>
      </c>
      <c r="E4583" s="1"/>
      <c r="H4583" s="2">
        <v>39.1917671</v>
      </c>
      <c r="I4583" s="2">
        <v>38.8355794</v>
      </c>
      <c r="J4583" s="2">
        <v>26.523247900000001</v>
      </c>
      <c r="L4583" s="2"/>
      <c r="M4583" s="2"/>
    </row>
    <row r="4584" spans="2:13">
      <c r="B4584" s="2"/>
      <c r="C4584" s="1">
        <v>50.680533789999998</v>
      </c>
      <c r="D4584" s="1">
        <v>0.74532864300000001</v>
      </c>
      <c r="E4584" s="1"/>
      <c r="H4584" s="2">
        <v>57.363090399999997</v>
      </c>
      <c r="I4584" s="2">
        <v>11.4112551</v>
      </c>
      <c r="J4584" s="2">
        <v>46.441755100000002</v>
      </c>
      <c r="L4584" s="2"/>
      <c r="M4584" s="2"/>
    </row>
    <row r="4585" spans="2:13">
      <c r="B4585" s="2"/>
      <c r="C4585" s="1">
        <v>40.295673399999998</v>
      </c>
      <c r="D4585" s="1">
        <v>0.52766629600000003</v>
      </c>
      <c r="E4585" s="1"/>
      <c r="H4585" s="2">
        <v>42.344238900000001</v>
      </c>
      <c r="I4585" s="2">
        <v>2.7206670900000001</v>
      </c>
      <c r="J4585" s="2">
        <v>17.937085</v>
      </c>
      <c r="L4585" s="2"/>
      <c r="M4585" s="2"/>
    </row>
    <row r="4586" spans="2:13">
      <c r="B4586" s="2"/>
      <c r="C4586" s="1">
        <v>11.45957269</v>
      </c>
      <c r="D4586" s="1">
        <v>1.187249166</v>
      </c>
      <c r="E4586" s="1"/>
      <c r="H4586" s="2">
        <v>27.188582100000001</v>
      </c>
      <c r="I4586" s="2">
        <v>27.750804299999999</v>
      </c>
      <c r="J4586" s="2">
        <v>2.4680872800000002</v>
      </c>
      <c r="L4586" s="2"/>
      <c r="M4586" s="2"/>
    </row>
    <row r="4587" spans="2:13">
      <c r="B4587" s="2"/>
      <c r="C4587" s="1">
        <v>84.648687600000002</v>
      </c>
      <c r="D4587" s="1">
        <v>0.613412069</v>
      </c>
      <c r="E4587" s="1"/>
      <c r="H4587" s="2">
        <v>63.900008300000003</v>
      </c>
      <c r="I4587" s="2">
        <v>15.531122399999999</v>
      </c>
      <c r="J4587" s="2">
        <v>42.826528600000003</v>
      </c>
      <c r="L4587" s="2"/>
      <c r="M4587" s="2"/>
    </row>
    <row r="4588" spans="2:13">
      <c r="B4588" s="2"/>
      <c r="C4588" s="1">
        <v>15.541064329999999</v>
      </c>
      <c r="D4588" s="1">
        <v>0.857457731</v>
      </c>
      <c r="E4588" s="1"/>
      <c r="H4588" s="2">
        <v>23.221226099999999</v>
      </c>
      <c r="I4588" s="2">
        <v>7.8355212200000004</v>
      </c>
      <c r="J4588" s="2">
        <v>15.6428067</v>
      </c>
      <c r="L4588" s="2"/>
      <c r="M4588" s="2"/>
    </row>
    <row r="4589" spans="2:13">
      <c r="B4589" s="2"/>
      <c r="C4589" s="1">
        <v>3.2120614700000001</v>
      </c>
      <c r="D4589" s="1">
        <v>1.088311735</v>
      </c>
      <c r="E4589" s="1"/>
      <c r="H4589" s="2">
        <v>4.1814861600000004</v>
      </c>
      <c r="I4589" s="2">
        <v>13.8676288</v>
      </c>
      <c r="J4589" s="2">
        <v>11.228059099999999</v>
      </c>
      <c r="L4589" s="2"/>
      <c r="M4589" s="2"/>
    </row>
    <row r="4590" spans="2:13">
      <c r="B4590" s="2"/>
      <c r="C4590" s="1">
        <v>27.181768300000002</v>
      </c>
      <c r="D4590" s="1">
        <v>0.481495495</v>
      </c>
      <c r="E4590" s="1"/>
      <c r="H4590" s="2">
        <v>47.846194400000002</v>
      </c>
      <c r="I4590" s="2">
        <v>15.329015699999999</v>
      </c>
      <c r="J4590" s="2">
        <v>18.041370400000002</v>
      </c>
      <c r="L4590" s="2"/>
      <c r="M4590" s="2"/>
    </row>
    <row r="4591" spans="2:13">
      <c r="B4591" s="2"/>
      <c r="C4591" s="1">
        <v>10.553916259999999</v>
      </c>
      <c r="D4591" s="1">
        <v>1.5895947159999999</v>
      </c>
      <c r="E4591" s="1"/>
      <c r="H4591" s="2">
        <v>17.409971500000001</v>
      </c>
      <c r="I4591" s="2">
        <v>20.3194965</v>
      </c>
      <c r="J4591" s="2">
        <v>15.6428067</v>
      </c>
      <c r="L4591" s="2"/>
      <c r="M4591" s="2"/>
    </row>
    <row r="4592" spans="2:13">
      <c r="B4592" s="2"/>
      <c r="C4592" s="1">
        <v>30.242887029999999</v>
      </c>
      <c r="D4592" s="1">
        <v>128.12397250000001</v>
      </c>
      <c r="E4592" s="1"/>
      <c r="H4592" s="2">
        <v>8.5354660599999992</v>
      </c>
      <c r="I4592" s="2">
        <v>23.0090702</v>
      </c>
      <c r="J4592" s="2">
        <v>27.322769099999999</v>
      </c>
      <c r="L4592" s="2"/>
      <c r="M4592" s="2"/>
    </row>
    <row r="4593" spans="2:13">
      <c r="B4593" s="2"/>
      <c r="C4593" s="1">
        <v>30.4119429</v>
      </c>
      <c r="D4593" s="1">
        <v>0.51447463800000004</v>
      </c>
      <c r="E4593" s="1"/>
      <c r="H4593" s="2">
        <v>26.587828099999999</v>
      </c>
      <c r="I4593" s="2">
        <v>7.5556811699999997</v>
      </c>
      <c r="J4593" s="2">
        <v>22.490879899999999</v>
      </c>
      <c r="L4593" s="2"/>
      <c r="M4593" s="2"/>
    </row>
    <row r="4594" spans="2:13">
      <c r="B4594" s="2"/>
      <c r="C4594" s="1">
        <v>10.66863274</v>
      </c>
      <c r="D4594" s="1">
        <v>3.4957892099999999</v>
      </c>
      <c r="E4594" s="1"/>
      <c r="H4594" s="2">
        <v>22.269536500000001</v>
      </c>
      <c r="I4594" s="2">
        <v>40.094859599999999</v>
      </c>
      <c r="J4594" s="2">
        <v>5.5966486299999998</v>
      </c>
      <c r="L4594" s="2"/>
      <c r="M4594" s="2"/>
    </row>
    <row r="4595" spans="2:13">
      <c r="B4595" s="2"/>
      <c r="C4595" s="1">
        <v>13.355413479999999</v>
      </c>
      <c r="D4595" s="1">
        <v>1.0817159059999999</v>
      </c>
      <c r="E4595" s="1"/>
      <c r="H4595" s="2">
        <v>30.965600200000001</v>
      </c>
      <c r="I4595" s="2">
        <v>10.4162683</v>
      </c>
      <c r="J4595" s="2">
        <v>46.963182000000003</v>
      </c>
      <c r="L4595" s="2"/>
      <c r="M4595" s="2"/>
    </row>
    <row r="4596" spans="2:13">
      <c r="B4596" s="2"/>
      <c r="C4596" s="1">
        <v>32.042124469999997</v>
      </c>
      <c r="D4596" s="1">
        <v>5.9362458E-2</v>
      </c>
      <c r="E4596" s="1"/>
      <c r="H4596" s="2">
        <v>27.277802999999999</v>
      </c>
      <c r="I4596" s="2">
        <v>19.759816399999998</v>
      </c>
      <c r="J4596" s="2">
        <v>10.7066322</v>
      </c>
      <c r="L4596" s="2"/>
      <c r="M4596" s="2"/>
    </row>
    <row r="4597" spans="2:13">
      <c r="B4597" s="2"/>
      <c r="C4597" s="1">
        <v>9.5818450229999996</v>
      </c>
      <c r="D4597" s="1">
        <v>1.1608658510000001</v>
      </c>
      <c r="E4597" s="1"/>
      <c r="H4597" s="2">
        <v>7.6432570599999998</v>
      </c>
      <c r="I4597" s="2">
        <v>61.969023</v>
      </c>
      <c r="J4597" s="2">
        <v>19.709936500000001</v>
      </c>
      <c r="L4597" s="2"/>
      <c r="M4597" s="2"/>
    </row>
    <row r="4598" spans="2:13">
      <c r="B4598" s="2"/>
      <c r="C4598" s="1">
        <v>15.015783600000001</v>
      </c>
      <c r="D4598" s="1">
        <v>273.8522117</v>
      </c>
      <c r="E4598" s="1"/>
      <c r="H4598" s="2">
        <v>44.765099300000003</v>
      </c>
      <c r="I4598" s="2">
        <v>13.9298155</v>
      </c>
      <c r="J4598" s="2">
        <v>65.977882600000001</v>
      </c>
      <c r="L4598" s="2"/>
      <c r="M4598" s="2"/>
    </row>
    <row r="4599" spans="2:13">
      <c r="B4599" s="2"/>
      <c r="C4599" s="1">
        <v>15.559177460000001</v>
      </c>
      <c r="D4599" s="1">
        <v>0.66617869799999996</v>
      </c>
      <c r="E4599" s="1"/>
      <c r="H4599" s="2">
        <v>14.5132663</v>
      </c>
      <c r="I4599" s="2">
        <v>2.2231736799999999</v>
      </c>
      <c r="J4599" s="2">
        <v>20.996122799999998</v>
      </c>
      <c r="L4599" s="2"/>
      <c r="M4599" s="2"/>
    </row>
    <row r="4600" spans="2:13">
      <c r="B4600" s="2"/>
      <c r="C4600" s="1">
        <v>22.279148159999998</v>
      </c>
      <c r="D4600" s="1">
        <v>1.3653365399999999</v>
      </c>
      <c r="E4600" s="1"/>
      <c r="H4600" s="2">
        <v>18.581739299999999</v>
      </c>
      <c r="I4600" s="2">
        <v>12.0175752</v>
      </c>
      <c r="J4600" s="2">
        <v>3.96284437</v>
      </c>
      <c r="L4600" s="2"/>
      <c r="M4600" s="2"/>
    </row>
    <row r="4601" spans="2:13">
      <c r="B4601" s="2"/>
      <c r="C4601" s="1">
        <v>26.1674331</v>
      </c>
      <c r="D4601" s="1">
        <v>0.21106651800000001</v>
      </c>
      <c r="E4601" s="1"/>
      <c r="H4601" s="2">
        <v>60.991406900000001</v>
      </c>
      <c r="I4601" s="2">
        <v>116.615565</v>
      </c>
      <c r="J4601" s="2">
        <v>12.5142454</v>
      </c>
      <c r="L4601" s="2"/>
      <c r="M4601" s="2"/>
    </row>
    <row r="4602" spans="2:13">
      <c r="B4602" s="2"/>
      <c r="C4602" s="1">
        <v>15.190877179999999</v>
      </c>
      <c r="D4602" s="1">
        <v>4.7951674630000003</v>
      </c>
      <c r="E4602" s="1"/>
      <c r="H4602" s="2">
        <v>22.126783100000001</v>
      </c>
      <c r="I4602" s="2">
        <v>12.1574952</v>
      </c>
      <c r="J4602" s="2">
        <v>96.220642299999994</v>
      </c>
      <c r="L4602" s="2"/>
      <c r="M4602" s="2"/>
    </row>
    <row r="4603" spans="2:13">
      <c r="B4603" s="2"/>
      <c r="C4603" s="1">
        <v>2.3426312970000001</v>
      </c>
      <c r="D4603" s="1">
        <v>1.154270022</v>
      </c>
      <c r="E4603" s="1"/>
      <c r="H4603" s="2">
        <v>4.7049154399999997</v>
      </c>
      <c r="I4603" s="2">
        <v>33.876191900000002</v>
      </c>
      <c r="J4603" s="2">
        <v>10.289490600000001</v>
      </c>
      <c r="L4603" s="2"/>
      <c r="M4603" s="2"/>
    </row>
    <row r="4604" spans="2:13">
      <c r="B4604" s="2"/>
      <c r="C4604" s="1">
        <v>14.816539179999999</v>
      </c>
      <c r="D4604" s="1">
        <v>1.299378253</v>
      </c>
      <c r="E4604" s="1"/>
      <c r="H4604" s="2">
        <v>16.053813900000002</v>
      </c>
      <c r="I4604" s="2">
        <v>2.84504044</v>
      </c>
      <c r="J4604" s="2">
        <v>19.501365700000001</v>
      </c>
      <c r="L4604" s="2"/>
      <c r="M4604" s="2"/>
    </row>
    <row r="4605" spans="2:13">
      <c r="B4605" s="2"/>
      <c r="C4605" s="1">
        <v>58.583895560000002</v>
      </c>
      <c r="D4605" s="1">
        <v>7.2554116000000002E-2</v>
      </c>
      <c r="E4605" s="1"/>
      <c r="H4605" s="2">
        <v>95.067842499999998</v>
      </c>
      <c r="I4605" s="2">
        <v>53.418354999999998</v>
      </c>
      <c r="J4605" s="2">
        <v>2.8504670000000001</v>
      </c>
      <c r="L4605" s="2"/>
      <c r="M4605" s="2"/>
    </row>
    <row r="4606" spans="2:13">
      <c r="B4606" s="2"/>
      <c r="C4606" s="1">
        <v>11.187875760000001</v>
      </c>
      <c r="D4606" s="1">
        <v>0.230854004</v>
      </c>
      <c r="E4606" s="1"/>
      <c r="H4606" s="2">
        <v>15.512540400000001</v>
      </c>
      <c r="I4606" s="2">
        <v>20.568243200000001</v>
      </c>
      <c r="J4606" s="2">
        <v>52.455545200000003</v>
      </c>
      <c r="L4606" s="2"/>
      <c r="M4606" s="2"/>
    </row>
    <row r="4607" spans="2:13">
      <c r="B4607" s="2"/>
      <c r="C4607" s="1">
        <v>24.356120239999999</v>
      </c>
      <c r="D4607" s="1">
        <v>0.712349499</v>
      </c>
      <c r="E4607" s="1"/>
      <c r="H4607" s="2">
        <v>22.001873799999998</v>
      </c>
      <c r="I4607" s="2">
        <v>23.148990300000001</v>
      </c>
      <c r="J4607" s="2">
        <v>23.603257299999999</v>
      </c>
      <c r="L4607" s="2"/>
      <c r="M4607" s="2"/>
    </row>
    <row r="4608" spans="2:13">
      <c r="B4608" s="2"/>
      <c r="C4608" s="1">
        <v>7.4988352349999996</v>
      </c>
      <c r="D4608" s="1">
        <v>0.12532074500000001</v>
      </c>
      <c r="E4608" s="1"/>
      <c r="H4608" s="2">
        <v>4.1101094399999996</v>
      </c>
      <c r="I4608" s="2">
        <v>6.0942942799999997</v>
      </c>
      <c r="J4608" s="2">
        <v>23.429448300000001</v>
      </c>
      <c r="L4608" s="2"/>
      <c r="M4608" s="2"/>
    </row>
    <row r="4609" spans="2:13">
      <c r="B4609" s="2"/>
      <c r="C4609" s="1">
        <v>94.906756090000002</v>
      </c>
      <c r="D4609" s="1">
        <v>1.437890656</v>
      </c>
      <c r="E4609" s="1"/>
      <c r="H4609" s="2">
        <v>65.363230999999999</v>
      </c>
      <c r="I4609" s="2">
        <v>4.35306734</v>
      </c>
      <c r="J4609" s="2">
        <v>4.1366533299999997</v>
      </c>
      <c r="L4609" s="2"/>
      <c r="M4609" s="2"/>
    </row>
    <row r="4610" spans="2:13">
      <c r="B4610" s="2"/>
      <c r="C4610" s="1">
        <v>17.394641150000002</v>
      </c>
      <c r="D4610" s="1">
        <v>0.67277452699999996</v>
      </c>
      <c r="E4610" s="1"/>
      <c r="H4610" s="2">
        <v>26.522399400000001</v>
      </c>
      <c r="I4610" s="2">
        <v>11.1936017</v>
      </c>
      <c r="J4610" s="2">
        <v>4.9361745700000004</v>
      </c>
      <c r="L4610" s="2"/>
      <c r="M4610" s="2"/>
    </row>
    <row r="4611" spans="2:13">
      <c r="B4611" s="2"/>
      <c r="C4611" s="1">
        <v>20.105572729999999</v>
      </c>
      <c r="D4611" s="1">
        <v>3.225360233</v>
      </c>
      <c r="E4611" s="1"/>
      <c r="H4611" s="2">
        <v>26.778165999999999</v>
      </c>
      <c r="I4611" s="2">
        <v>3.8711205999999998</v>
      </c>
      <c r="J4611" s="2">
        <v>18.249941199999999</v>
      </c>
      <c r="L4611" s="2"/>
      <c r="M4611" s="2"/>
    </row>
    <row r="4612" spans="2:13">
      <c r="B4612" s="2"/>
      <c r="C4612" s="1">
        <v>3.4897961080000002</v>
      </c>
      <c r="D4612" s="1">
        <v>7.6907362609999996</v>
      </c>
      <c r="E4612" s="1"/>
      <c r="H4612" s="2">
        <v>3.9019273399999999</v>
      </c>
      <c r="I4612" s="2">
        <v>25.123417199999999</v>
      </c>
      <c r="J4612" s="2">
        <v>1.77285143</v>
      </c>
      <c r="L4612" s="2"/>
      <c r="M4612" s="2"/>
    </row>
    <row r="4613" spans="2:13">
      <c r="B4613" s="2"/>
      <c r="C4613" s="1">
        <v>8.6822263030000002</v>
      </c>
      <c r="D4613" s="1">
        <v>8.6075564500000006</v>
      </c>
      <c r="E4613" s="1"/>
      <c r="H4613" s="2">
        <v>6.7332038900000004</v>
      </c>
      <c r="I4613" s="2">
        <v>24.330537100000001</v>
      </c>
      <c r="J4613" s="2">
        <v>22.351832699999999</v>
      </c>
      <c r="L4613" s="2"/>
      <c r="M4613" s="2"/>
    </row>
    <row r="4614" spans="2:13">
      <c r="B4614" s="2"/>
      <c r="C4614" s="1">
        <v>25.195361869999999</v>
      </c>
      <c r="D4614" s="1">
        <v>0.32319560600000002</v>
      </c>
      <c r="E4614" s="1"/>
      <c r="H4614" s="2">
        <v>17.9274527</v>
      </c>
      <c r="I4614" s="2">
        <v>25.014590500000001</v>
      </c>
      <c r="J4614" s="2">
        <v>23.116592199999999</v>
      </c>
      <c r="L4614" s="2"/>
      <c r="M4614" s="2"/>
    </row>
    <row r="4615" spans="2:13">
      <c r="B4615" s="2"/>
      <c r="C4615" s="1">
        <v>4.2746983470000002</v>
      </c>
      <c r="D4615" s="1">
        <v>12.23526223</v>
      </c>
      <c r="E4615" s="1"/>
      <c r="H4615" s="2">
        <v>2.7480037099999999</v>
      </c>
      <c r="I4615" s="2">
        <v>72.105451200000005</v>
      </c>
      <c r="J4615" s="2">
        <v>26.836103999999999</v>
      </c>
      <c r="L4615" s="2"/>
      <c r="M4615" s="2"/>
    </row>
    <row r="4616" spans="2:13">
      <c r="B4616" s="2"/>
      <c r="C4616" s="1">
        <v>21.150096479999998</v>
      </c>
      <c r="D4616" s="1">
        <v>10.56651757</v>
      </c>
      <c r="E4616" s="1"/>
      <c r="H4616" s="2">
        <v>25.6242424</v>
      </c>
      <c r="I4616" s="2">
        <v>114.392391</v>
      </c>
      <c r="J4616" s="2">
        <v>95.838262599999993</v>
      </c>
      <c r="L4616" s="2"/>
      <c r="M4616" s="2"/>
    </row>
    <row r="4617" spans="2:13">
      <c r="B4617" s="2"/>
      <c r="C4617" s="1">
        <v>18.342561549999999</v>
      </c>
      <c r="D4617" s="1">
        <v>26.429485589999999</v>
      </c>
      <c r="E4617" s="1"/>
      <c r="H4617" s="2">
        <v>23.679226700000001</v>
      </c>
      <c r="I4617" s="2">
        <v>7.7111478599999996</v>
      </c>
      <c r="J4617" s="2">
        <v>100.983008</v>
      </c>
      <c r="L4617" s="2"/>
      <c r="M4617" s="2"/>
    </row>
    <row r="4618" spans="2:13">
      <c r="B4618" s="2"/>
      <c r="C4618" s="1">
        <v>51.411096639999997</v>
      </c>
      <c r="D4618" s="1">
        <v>1.576403059</v>
      </c>
      <c r="E4618" s="1"/>
      <c r="H4618" s="2">
        <v>32.131419999999999</v>
      </c>
      <c r="I4618" s="2">
        <v>20.537149899999999</v>
      </c>
      <c r="J4618" s="2">
        <v>7.7866415699999996</v>
      </c>
      <c r="L4618" s="2"/>
      <c r="M4618" s="2"/>
    </row>
    <row r="4619" spans="2:13">
      <c r="B4619" s="2"/>
      <c r="C4619" s="1">
        <v>123.3685188</v>
      </c>
      <c r="D4619" s="1">
        <v>0.67277452699999996</v>
      </c>
      <c r="E4619" s="1"/>
      <c r="H4619" s="2">
        <v>122.488399</v>
      </c>
      <c r="I4619" s="2">
        <v>83.827639700000006</v>
      </c>
      <c r="J4619" s="2">
        <v>22.351832699999999</v>
      </c>
      <c r="L4619" s="2"/>
      <c r="M4619" s="2"/>
    </row>
    <row r="4620" spans="2:13">
      <c r="B4620" s="2"/>
      <c r="C4620" s="1">
        <v>127.34736940000001</v>
      </c>
      <c r="D4620" s="1">
        <v>1.563211401</v>
      </c>
      <c r="E4620" s="1"/>
      <c r="H4620" s="2">
        <v>167.90778499999999</v>
      </c>
      <c r="I4620" s="2">
        <v>13.510055400000001</v>
      </c>
      <c r="J4620" s="2">
        <v>100.113963</v>
      </c>
      <c r="L4620" s="2"/>
      <c r="M4620" s="2"/>
    </row>
    <row r="4621" spans="2:13">
      <c r="B4621" s="2"/>
      <c r="C4621" s="1">
        <v>5.4218631569999998</v>
      </c>
      <c r="D4621" s="1">
        <v>0.38915389299999997</v>
      </c>
      <c r="E4621" s="1"/>
      <c r="H4621" s="2">
        <v>9.6715455099999996</v>
      </c>
      <c r="I4621" s="2">
        <v>22.387203499999998</v>
      </c>
      <c r="J4621" s="2">
        <v>12.792339699999999</v>
      </c>
      <c r="L4621" s="2"/>
      <c r="M4621" s="2"/>
    </row>
    <row r="4622" spans="2:13">
      <c r="B4622" s="2"/>
      <c r="C4622" s="1">
        <v>4.7094134329999999</v>
      </c>
      <c r="D4622" s="1">
        <v>2.0051319240000001</v>
      </c>
      <c r="E4622" s="1"/>
      <c r="H4622" s="2">
        <v>18.968363199999999</v>
      </c>
      <c r="I4622" s="2">
        <v>7.8355212200000004</v>
      </c>
      <c r="J4622" s="2">
        <v>26.384200700000001</v>
      </c>
      <c r="L4622" s="2"/>
      <c r="M4622" s="2"/>
    </row>
    <row r="4623" spans="2:13">
      <c r="B4623" s="2"/>
      <c r="C4623" s="1">
        <v>153.70197150000001</v>
      </c>
      <c r="D4623" s="1">
        <v>3.3770642930000001</v>
      </c>
      <c r="E4623" s="1"/>
      <c r="H4623" s="2">
        <v>126.22972900000001</v>
      </c>
      <c r="I4623" s="2">
        <v>23.708670300000001</v>
      </c>
      <c r="J4623" s="2">
        <v>10.602346799999999</v>
      </c>
      <c r="L4623" s="2"/>
      <c r="M4623" s="2"/>
    </row>
    <row r="4624" spans="2:13">
      <c r="B4624" s="2"/>
      <c r="C4624" s="1">
        <v>15.16672634</v>
      </c>
      <c r="D4624" s="1">
        <v>1.068524249</v>
      </c>
      <c r="E4624" s="1"/>
      <c r="H4624" s="2">
        <v>15.5601249</v>
      </c>
      <c r="I4624" s="2">
        <v>7.2913877999999999</v>
      </c>
      <c r="J4624" s="2">
        <v>36.777976700000004</v>
      </c>
      <c r="L4624" s="2"/>
      <c r="M4624" s="2"/>
    </row>
    <row r="4625" spans="2:13">
      <c r="B4625" s="2"/>
      <c r="C4625" s="1">
        <v>29.566663559999999</v>
      </c>
      <c r="D4625" s="1">
        <v>12.69037441</v>
      </c>
      <c r="E4625" s="1"/>
      <c r="H4625" s="2">
        <v>37.324076300000002</v>
      </c>
      <c r="I4625" s="2">
        <v>35.850618900000001</v>
      </c>
      <c r="J4625" s="2">
        <v>7.4390236400000003</v>
      </c>
      <c r="L4625" s="2"/>
      <c r="M4625" s="2"/>
    </row>
    <row r="4626" spans="2:13">
      <c r="B4626" s="2"/>
      <c r="C4626" s="1">
        <v>13.82031711</v>
      </c>
      <c r="D4626" s="1">
        <v>0.86405355900000003</v>
      </c>
      <c r="E4626" s="1"/>
      <c r="H4626" s="2">
        <v>14.519214399999999</v>
      </c>
      <c r="I4626" s="2">
        <v>18.951389599999999</v>
      </c>
      <c r="J4626" s="2">
        <v>43.1741466</v>
      </c>
      <c r="L4626" s="2"/>
      <c r="M4626" s="2"/>
    </row>
    <row r="4627" spans="2:13">
      <c r="B4627" s="2"/>
      <c r="C4627" s="1">
        <v>16.92973752</v>
      </c>
      <c r="D4627" s="1">
        <v>0.88384104500000005</v>
      </c>
      <c r="E4627" s="1"/>
      <c r="H4627" s="2">
        <v>35.438541299999997</v>
      </c>
      <c r="I4627" s="2">
        <v>13.4323221</v>
      </c>
      <c r="J4627" s="2">
        <v>20.787552099999999</v>
      </c>
      <c r="L4627" s="2"/>
      <c r="M4627" s="2"/>
    </row>
    <row r="4628" spans="2:13">
      <c r="B4628" s="2"/>
      <c r="C4628" s="1">
        <v>8.1509078640000006</v>
      </c>
      <c r="D4628" s="1">
        <v>0.145108231</v>
      </c>
      <c r="E4628" s="1"/>
      <c r="H4628" s="2">
        <v>9.8856756699999995</v>
      </c>
      <c r="I4628" s="2">
        <v>128.05791300000001</v>
      </c>
      <c r="J4628" s="2">
        <v>17.624228899999999</v>
      </c>
      <c r="L4628" s="2"/>
      <c r="M4628" s="2"/>
    </row>
    <row r="4629" spans="2:13">
      <c r="B4629" s="2"/>
      <c r="C4629" s="1">
        <v>65.430658170000001</v>
      </c>
      <c r="D4629" s="1">
        <v>2.2491775860000001</v>
      </c>
      <c r="E4629" s="1"/>
      <c r="H4629" s="2">
        <v>57.089479599999997</v>
      </c>
      <c r="I4629" s="2">
        <v>30.6735781</v>
      </c>
      <c r="J4629" s="2">
        <v>171.201829</v>
      </c>
      <c r="L4629" s="2"/>
      <c r="M4629" s="2"/>
    </row>
    <row r="4630" spans="2:13">
      <c r="B4630" s="2"/>
      <c r="C4630" s="1">
        <v>27.29648478</v>
      </c>
      <c r="D4630" s="1">
        <v>4.6632508890000004</v>
      </c>
      <c r="E4630" s="1"/>
      <c r="H4630" s="2">
        <v>34.813994999999998</v>
      </c>
      <c r="I4630" s="2">
        <v>21.982990099999999</v>
      </c>
      <c r="J4630" s="2">
        <v>21.482787900000002</v>
      </c>
      <c r="L4630" s="2"/>
      <c r="M4630" s="2"/>
    </row>
    <row r="4631" spans="2:13">
      <c r="B4631" s="2"/>
      <c r="C4631" s="1">
        <v>30.997600720000001</v>
      </c>
      <c r="D4631" s="1">
        <v>3.3045101780000001</v>
      </c>
      <c r="E4631" s="1"/>
      <c r="H4631" s="2">
        <v>23.2033819</v>
      </c>
      <c r="I4631" s="2">
        <v>6.0787476099999997</v>
      </c>
      <c r="J4631" s="2">
        <v>16.581375099999999</v>
      </c>
      <c r="L4631" s="2"/>
      <c r="M4631" s="2"/>
    </row>
    <row r="4632" spans="2:13">
      <c r="B4632" s="2"/>
      <c r="C4632" s="1">
        <v>172.41283329999999</v>
      </c>
      <c r="D4632" s="1">
        <v>191.08775320000001</v>
      </c>
      <c r="E4632" s="1"/>
      <c r="H4632" s="2">
        <v>162.126271</v>
      </c>
      <c r="I4632" s="2">
        <v>34.824538699999998</v>
      </c>
      <c r="J4632" s="2">
        <v>5.1447453200000002</v>
      </c>
      <c r="L4632" s="2"/>
      <c r="M4632" s="2"/>
    </row>
    <row r="4633" spans="2:13">
      <c r="B4633" s="2"/>
      <c r="C4633" s="1">
        <v>33.467023920000003</v>
      </c>
      <c r="D4633" s="1">
        <v>9.9992763060000005</v>
      </c>
      <c r="E4633" s="1"/>
      <c r="H4633" s="2">
        <v>26.117931299999999</v>
      </c>
      <c r="I4633" s="2">
        <v>52.470008100000001</v>
      </c>
      <c r="J4633" s="2">
        <v>43.069861199999998</v>
      </c>
      <c r="L4633" s="2"/>
      <c r="M4633" s="2"/>
    </row>
    <row r="4634" spans="2:13">
      <c r="B4634" s="2"/>
      <c r="C4634" s="1">
        <v>24.46479901</v>
      </c>
      <c r="D4634" s="1">
        <v>0.19787486100000001</v>
      </c>
      <c r="E4634" s="1"/>
      <c r="H4634" s="2">
        <v>22.876238600000001</v>
      </c>
      <c r="I4634" s="2">
        <v>32.103871599999998</v>
      </c>
      <c r="J4634" s="2">
        <v>77.762130299999995</v>
      </c>
      <c r="L4634" s="2"/>
      <c r="M4634" s="2"/>
    </row>
    <row r="4635" spans="2:13">
      <c r="B4635" s="2"/>
      <c r="C4635" s="1">
        <v>1.3464092249999999</v>
      </c>
      <c r="D4635" s="1">
        <v>0.31659977700000003</v>
      </c>
      <c r="E4635" s="1"/>
      <c r="H4635" s="2">
        <v>5.24618889</v>
      </c>
      <c r="I4635" s="2">
        <v>14.0697355</v>
      </c>
      <c r="J4635" s="2">
        <v>27.009913000000001</v>
      </c>
      <c r="L4635" s="2"/>
      <c r="M4635" s="2"/>
    </row>
    <row r="4636" spans="2:13">
      <c r="B4636" s="2"/>
      <c r="C4636" s="1">
        <v>23.522916330000001</v>
      </c>
      <c r="D4636" s="1">
        <v>1.312569911</v>
      </c>
      <c r="E4636" s="1"/>
      <c r="H4636" s="2">
        <v>51.658900799999998</v>
      </c>
      <c r="I4636" s="2">
        <v>56.6209688</v>
      </c>
      <c r="J4636" s="2">
        <v>24.611349300000001</v>
      </c>
      <c r="L4636" s="2"/>
      <c r="M4636" s="2"/>
    </row>
    <row r="4637" spans="2:13">
      <c r="B4637" s="2"/>
      <c r="C4637" s="1">
        <v>92.594313339999999</v>
      </c>
      <c r="D4637" s="1">
        <v>0.77171195800000003</v>
      </c>
      <c r="E4637" s="1"/>
      <c r="H4637" s="2">
        <v>74.326957399999998</v>
      </c>
      <c r="I4637" s="2">
        <v>3.65346723</v>
      </c>
      <c r="J4637" s="2">
        <v>40.775582900000003</v>
      </c>
      <c r="L4637" s="2"/>
      <c r="M4637" s="2"/>
    </row>
    <row r="4638" spans="2:13">
      <c r="B4638" s="2"/>
      <c r="C4638" s="1">
        <v>57.823144159999998</v>
      </c>
      <c r="D4638" s="1">
        <v>9.8937430000000007E-2</v>
      </c>
      <c r="E4638" s="1"/>
      <c r="H4638" s="2">
        <v>37.1158942</v>
      </c>
      <c r="I4638" s="2">
        <v>6.8560810600000002</v>
      </c>
      <c r="J4638" s="2">
        <v>2.3638019099999998</v>
      </c>
      <c r="L4638" s="2"/>
      <c r="M4638" s="2"/>
    </row>
    <row r="4639" spans="2:13">
      <c r="B4639" s="2"/>
      <c r="C4639" s="1">
        <v>23.957631410000001</v>
      </c>
      <c r="D4639" s="1">
        <v>3.858559788</v>
      </c>
      <c r="E4639" s="1"/>
      <c r="H4639" s="2">
        <v>27.3432317</v>
      </c>
      <c r="I4639" s="2">
        <v>30.642484799999998</v>
      </c>
      <c r="J4639" s="2">
        <v>7.5433090199999997</v>
      </c>
      <c r="L4639" s="2"/>
      <c r="M4639" s="2"/>
    </row>
    <row r="4640" spans="2:13">
      <c r="B4640" s="2"/>
      <c r="C4640" s="1">
        <v>114.6319531</v>
      </c>
      <c r="D4640" s="1">
        <v>2.3942858170000001</v>
      </c>
      <c r="E4640" s="1"/>
      <c r="H4640" s="2">
        <v>53.937007800000003</v>
      </c>
      <c r="I4640" s="2">
        <v>14.7382423</v>
      </c>
      <c r="J4640" s="2">
        <v>23.012306800000001</v>
      </c>
      <c r="L4640" s="2"/>
      <c r="M4640" s="2"/>
    </row>
    <row r="4641" spans="2:13">
      <c r="B4641" s="2"/>
      <c r="C4641" s="1">
        <v>4.1479064470000004</v>
      </c>
      <c r="D4641" s="1">
        <v>5.6262418790000002</v>
      </c>
      <c r="E4641" s="1"/>
      <c r="H4641" s="2">
        <v>3.5212515</v>
      </c>
      <c r="I4641" s="2">
        <v>1.08826684</v>
      </c>
      <c r="J4641" s="2">
        <v>15.3994742</v>
      </c>
      <c r="L4641" s="2"/>
      <c r="M4641" s="2"/>
    </row>
    <row r="4642" spans="2:13">
      <c r="B4642" s="2"/>
      <c r="C4642" s="1">
        <v>10.378822680000001</v>
      </c>
      <c r="D4642" s="1">
        <v>1.002565962</v>
      </c>
      <c r="E4642" s="1"/>
      <c r="H4642" s="2">
        <v>9.8380911900000001</v>
      </c>
      <c r="I4642" s="2">
        <v>52.330088099999998</v>
      </c>
      <c r="J4642" s="2">
        <v>1.2514245399999999</v>
      </c>
      <c r="L4642" s="2"/>
      <c r="M4642" s="2"/>
    </row>
    <row r="4643" spans="2:13">
      <c r="B4643" s="2"/>
      <c r="C4643" s="1">
        <v>40.92359519</v>
      </c>
      <c r="D4643" s="1">
        <v>3.614514126</v>
      </c>
      <c r="E4643" s="1"/>
      <c r="H4643" s="2">
        <v>23.4175121</v>
      </c>
      <c r="I4643" s="2">
        <v>45.489553700000002</v>
      </c>
      <c r="J4643" s="2">
        <v>55.584106599999998</v>
      </c>
      <c r="L4643" s="2"/>
      <c r="M4643" s="2"/>
    </row>
    <row r="4644" spans="2:13">
      <c r="B4644" s="2"/>
      <c r="C4644" s="1">
        <v>12.06938135</v>
      </c>
      <c r="D4644" s="1">
        <v>3.5287683529999998</v>
      </c>
      <c r="E4644" s="1"/>
      <c r="H4644" s="2">
        <v>15.250825799999999</v>
      </c>
      <c r="I4644" s="2">
        <v>56.014648700000002</v>
      </c>
      <c r="J4644" s="2">
        <v>38.550828099999997</v>
      </c>
      <c r="L4644" s="2"/>
      <c r="M4644" s="2"/>
    </row>
    <row r="4645" spans="2:13">
      <c r="B4645" s="2"/>
      <c r="C4645" s="1">
        <v>4.1962081229999999</v>
      </c>
      <c r="D4645" s="1">
        <v>0.36277057800000001</v>
      </c>
      <c r="E4645" s="1"/>
      <c r="H4645" s="2">
        <v>2.1413015899999999</v>
      </c>
      <c r="I4645" s="2">
        <v>20.428323200000001</v>
      </c>
      <c r="J4645" s="2">
        <v>56.279342399999997</v>
      </c>
      <c r="L4645" s="2"/>
      <c r="M4645" s="2"/>
    </row>
    <row r="4646" spans="2:13">
      <c r="B4646" s="2"/>
      <c r="C4646" s="1">
        <v>94.828265869999996</v>
      </c>
      <c r="D4646" s="1">
        <v>1.1146950499999999</v>
      </c>
      <c r="E4646" s="1"/>
      <c r="H4646" s="2">
        <v>69.217573900000005</v>
      </c>
      <c r="I4646" s="2">
        <v>11.5978151</v>
      </c>
      <c r="J4646" s="2">
        <v>22.0042148</v>
      </c>
      <c r="L4646" s="2"/>
      <c r="M4646" s="2"/>
    </row>
    <row r="4647" spans="2:13">
      <c r="B4647" s="2"/>
      <c r="C4647" s="1">
        <v>24.39838421</v>
      </c>
      <c r="D4647" s="1">
        <v>0.17808737499999999</v>
      </c>
      <c r="E4647" s="1"/>
      <c r="H4647" s="2">
        <v>57.862727399999997</v>
      </c>
      <c r="I4647" s="2">
        <v>40.514619600000003</v>
      </c>
      <c r="J4647" s="2">
        <v>16.442328</v>
      </c>
      <c r="L4647" s="2"/>
      <c r="M4647" s="2"/>
    </row>
    <row r="4648" spans="2:13">
      <c r="B4648" s="2"/>
      <c r="C4648" s="1">
        <v>87.637353820000001</v>
      </c>
      <c r="D4648" s="1">
        <v>0.86405355900000003</v>
      </c>
      <c r="E4648" s="1"/>
      <c r="H4648" s="2">
        <v>75.248906700000006</v>
      </c>
      <c r="I4648" s="2">
        <v>8.9548813900000006</v>
      </c>
      <c r="J4648" s="2">
        <v>48.075559300000002</v>
      </c>
      <c r="L4648" s="2"/>
      <c r="M4648" s="2"/>
    </row>
    <row r="4649" spans="2:13">
      <c r="B4649" s="2"/>
      <c r="C4649" s="1">
        <v>9.9320321759999999</v>
      </c>
      <c r="D4649" s="1">
        <v>0.98937430500000001</v>
      </c>
      <c r="E4649" s="1"/>
      <c r="H4649" s="2">
        <v>26.332061499999998</v>
      </c>
      <c r="I4649" s="2">
        <v>23.071256900000002</v>
      </c>
      <c r="J4649" s="2">
        <v>6.6742641999999996</v>
      </c>
      <c r="L4649" s="2"/>
      <c r="M4649" s="2"/>
    </row>
    <row r="4650" spans="2:13">
      <c r="B4650" s="2"/>
      <c r="C4650" s="1">
        <v>29.131948479999998</v>
      </c>
      <c r="D4650" s="1">
        <v>1.2400157949999999</v>
      </c>
      <c r="E4650" s="1"/>
      <c r="H4650" s="2">
        <v>16.856801999999998</v>
      </c>
      <c r="I4650" s="2">
        <v>3.0471471399999999</v>
      </c>
      <c r="J4650" s="2">
        <v>23.985637000000001</v>
      </c>
      <c r="L4650" s="2"/>
      <c r="M4650" s="2"/>
    </row>
    <row r="4651" spans="2:13">
      <c r="B4651" s="2"/>
      <c r="C4651" s="1">
        <v>33.563627269999998</v>
      </c>
      <c r="D4651" s="1">
        <v>3.1857852609999999</v>
      </c>
      <c r="E4651" s="1"/>
      <c r="H4651" s="2">
        <v>59.421119099999999</v>
      </c>
      <c r="I4651" s="2">
        <v>23.3666436</v>
      </c>
      <c r="J4651" s="2">
        <v>2.1899929400000002</v>
      </c>
      <c r="L4651" s="2"/>
      <c r="M4651" s="2"/>
    </row>
    <row r="4652" spans="2:13">
      <c r="B4652" s="2"/>
      <c r="C4652" s="1">
        <v>16.875398130000001</v>
      </c>
      <c r="D4652" s="1">
        <v>2.420669132</v>
      </c>
      <c r="E4652" s="1"/>
      <c r="H4652" s="2">
        <v>10.1354942</v>
      </c>
      <c r="I4652" s="2">
        <v>7.7111478599999996</v>
      </c>
      <c r="J4652" s="2">
        <v>19.397080299999999</v>
      </c>
      <c r="L4652" s="2"/>
      <c r="M4652" s="2"/>
    </row>
    <row r="4653" spans="2:13">
      <c r="B4653" s="2"/>
      <c r="C4653" s="1">
        <v>8.8331690409999997</v>
      </c>
      <c r="D4653" s="1">
        <v>5.8505000550000004</v>
      </c>
      <c r="E4653" s="1"/>
      <c r="H4653" s="2">
        <v>26.189308</v>
      </c>
      <c r="I4653" s="2">
        <v>20.257309800000002</v>
      </c>
      <c r="J4653" s="2">
        <v>12.3751982</v>
      </c>
      <c r="L4653" s="2"/>
      <c r="M4653" s="2"/>
    </row>
    <row r="4654" spans="2:13">
      <c r="B4654" s="2"/>
      <c r="C4654" s="1">
        <v>5.295071257</v>
      </c>
      <c r="D4654" s="1">
        <v>6.2594414340000002</v>
      </c>
      <c r="E4654" s="1"/>
      <c r="H4654" s="2">
        <v>3.2773810399999999</v>
      </c>
      <c r="I4654" s="2">
        <v>80.469559200000006</v>
      </c>
      <c r="J4654" s="2">
        <v>30.416568600000002</v>
      </c>
      <c r="L4654" s="2"/>
      <c r="M4654" s="2"/>
    </row>
    <row r="4655" spans="2:13">
      <c r="B4655" s="2"/>
      <c r="C4655" s="1">
        <v>18.505579709999999</v>
      </c>
      <c r="D4655" s="1">
        <v>2.209602614</v>
      </c>
      <c r="E4655" s="1"/>
      <c r="H4655" s="2">
        <v>26.6235164</v>
      </c>
      <c r="I4655" s="2">
        <v>19.8375497</v>
      </c>
      <c r="J4655" s="2">
        <v>66.116929799999994</v>
      </c>
      <c r="L4655" s="2"/>
      <c r="M4655" s="2"/>
    </row>
    <row r="4656" spans="2:13">
      <c r="B4656" s="2"/>
      <c r="C4656" s="1">
        <v>30.894959660000001</v>
      </c>
      <c r="D4656" s="1">
        <v>1.2004408230000001</v>
      </c>
      <c r="E4656" s="1"/>
      <c r="H4656" s="2">
        <v>20.479170499999999</v>
      </c>
      <c r="I4656" s="2">
        <v>56.823075500000002</v>
      </c>
      <c r="J4656" s="2">
        <v>14.8085237</v>
      </c>
      <c r="L4656" s="2"/>
      <c r="M4656" s="2"/>
    </row>
    <row r="4657" spans="2:13">
      <c r="B4657" s="2"/>
      <c r="C4657" s="1">
        <v>24.99611745</v>
      </c>
      <c r="D4657" s="1">
        <v>0.37596223600000001</v>
      </c>
      <c r="E4657" s="1"/>
      <c r="H4657" s="2">
        <v>26.1536197</v>
      </c>
      <c r="I4657" s="2">
        <v>74.0332382</v>
      </c>
      <c r="J4657" s="2">
        <v>65.074076000000005</v>
      </c>
      <c r="L4657" s="2"/>
      <c r="M4657" s="2"/>
    </row>
    <row r="4658" spans="2:13">
      <c r="B4658" s="2"/>
      <c r="C4658" s="1">
        <v>58.191444439999998</v>
      </c>
      <c r="D4658" s="1">
        <v>0.98937430500000001</v>
      </c>
      <c r="E4658" s="1"/>
      <c r="H4658" s="2">
        <v>62.276187899999996</v>
      </c>
      <c r="I4658" s="2">
        <v>42.333579899999997</v>
      </c>
      <c r="J4658" s="2">
        <v>44.842712599999999</v>
      </c>
      <c r="L4658" s="2"/>
      <c r="M4658" s="2"/>
    </row>
    <row r="4659" spans="2:13">
      <c r="B4659" s="2"/>
      <c r="C4659" s="1">
        <v>51.151475130000001</v>
      </c>
      <c r="D4659" s="1">
        <v>2242.5026069999999</v>
      </c>
      <c r="E4659" s="1"/>
      <c r="H4659" s="2">
        <v>18.1415829</v>
      </c>
      <c r="I4659" s="2">
        <v>21.438856699999999</v>
      </c>
      <c r="J4659" s="2">
        <v>58.226002800000003</v>
      </c>
      <c r="L4659" s="2"/>
      <c r="M4659" s="2"/>
    </row>
    <row r="4660" spans="2:13">
      <c r="B4660" s="2"/>
      <c r="C4660" s="1">
        <v>58.789177690000002</v>
      </c>
      <c r="D4660" s="1">
        <v>1.2729949389999999</v>
      </c>
      <c r="E4660" s="1"/>
      <c r="H4660" s="2">
        <v>54.454489000000002</v>
      </c>
      <c r="I4660" s="2">
        <v>14.0541888</v>
      </c>
      <c r="J4660" s="2">
        <v>20.231363399999999</v>
      </c>
      <c r="L4660" s="2"/>
      <c r="M4660" s="2"/>
    </row>
    <row r="4661" spans="2:13">
      <c r="B4661" s="2"/>
      <c r="C4661" s="1">
        <v>86.429811909999998</v>
      </c>
      <c r="D4661" s="1">
        <v>0.96299098999999999</v>
      </c>
      <c r="E4661" s="1"/>
      <c r="H4661" s="2">
        <v>60.087301799999999</v>
      </c>
      <c r="I4661" s="2">
        <v>19.7909097</v>
      </c>
      <c r="J4661" s="2">
        <v>11.575677000000001</v>
      </c>
      <c r="L4661" s="2"/>
      <c r="M4661" s="2"/>
    </row>
    <row r="4662" spans="2:13">
      <c r="B4662" s="2"/>
      <c r="C4662" s="1">
        <v>58.758989139999997</v>
      </c>
      <c r="D4662" s="1">
        <v>0.19127903199999999</v>
      </c>
      <c r="E4662" s="1"/>
      <c r="H4662" s="2">
        <v>46.948037300000003</v>
      </c>
      <c r="I4662" s="2">
        <v>63.943449899999997</v>
      </c>
      <c r="J4662" s="2">
        <v>19.049462399999999</v>
      </c>
      <c r="L4662" s="2"/>
      <c r="M4662" s="2"/>
    </row>
    <row r="4663" spans="2:13">
      <c r="B4663" s="2"/>
      <c r="C4663" s="1">
        <v>47.456396900000001</v>
      </c>
      <c r="D4663" s="1">
        <v>0.19787486100000001</v>
      </c>
      <c r="E4663" s="1"/>
      <c r="H4663" s="2">
        <v>27.664426899999999</v>
      </c>
      <c r="I4663" s="2">
        <v>16.075255800000001</v>
      </c>
      <c r="J4663" s="2">
        <v>51.760309399999997</v>
      </c>
      <c r="L4663" s="2"/>
      <c r="M4663" s="2"/>
    </row>
    <row r="4664" spans="2:13">
      <c r="B4664" s="2"/>
      <c r="C4664" s="1">
        <v>11.218064310000001</v>
      </c>
      <c r="D4664" s="1">
        <v>1.299378253</v>
      </c>
      <c r="E4664" s="1"/>
      <c r="H4664" s="2">
        <v>12.9846149</v>
      </c>
      <c r="I4664" s="2">
        <v>41.183126399999999</v>
      </c>
      <c r="J4664" s="2">
        <v>19.362318599999998</v>
      </c>
      <c r="L4664" s="2"/>
      <c r="M4664" s="2"/>
    </row>
    <row r="4665" spans="2:13">
      <c r="B4665" s="2"/>
      <c r="C4665" s="1">
        <v>26.0406412</v>
      </c>
      <c r="D4665" s="1">
        <v>2.2557734150000002</v>
      </c>
      <c r="E4665" s="1"/>
      <c r="H4665" s="2">
        <v>20.788469599999999</v>
      </c>
      <c r="I4665" s="2">
        <v>4.9749341100000004</v>
      </c>
      <c r="J4665" s="2">
        <v>31.6332314</v>
      </c>
      <c r="L4665" s="2"/>
      <c r="M4665" s="2"/>
    </row>
    <row r="4666" spans="2:13">
      <c r="B4666" s="2"/>
      <c r="C4666" s="1">
        <v>108.6606584</v>
      </c>
      <c r="D4666" s="1">
        <v>0.72554115699999999</v>
      </c>
      <c r="E4666" s="1"/>
      <c r="H4666" s="2">
        <v>53.211344500000003</v>
      </c>
      <c r="I4666" s="2">
        <v>7.1670144499999999</v>
      </c>
      <c r="J4666" s="2">
        <v>4.9361745700000004</v>
      </c>
      <c r="L4666" s="2"/>
      <c r="M4666" s="2"/>
    </row>
    <row r="4667" spans="2:13">
      <c r="B4667" s="2"/>
      <c r="C4667" s="1">
        <v>27.556106289999999</v>
      </c>
      <c r="D4667" s="1">
        <v>644.30693050000002</v>
      </c>
      <c r="E4667" s="1"/>
      <c r="H4667" s="2">
        <v>18.522258699999998</v>
      </c>
      <c r="I4667" s="2">
        <v>25.978484000000002</v>
      </c>
      <c r="J4667" s="2">
        <v>4.9709363599999996</v>
      </c>
      <c r="L4667" s="2"/>
      <c r="M4667" s="2"/>
    </row>
    <row r="4668" spans="2:13">
      <c r="B4668" s="2"/>
      <c r="C4668" s="1">
        <v>20.41953363</v>
      </c>
      <c r="D4668" s="1">
        <v>214.00825789999999</v>
      </c>
      <c r="E4668" s="1"/>
      <c r="H4668" s="2">
        <v>39.156078800000003</v>
      </c>
      <c r="I4668" s="2">
        <v>39.504086100000002</v>
      </c>
      <c r="J4668" s="2">
        <v>13.0009105</v>
      </c>
      <c r="L4668" s="2"/>
      <c r="M4668" s="2"/>
    </row>
    <row r="4669" spans="2:13">
      <c r="B4669" s="2"/>
      <c r="C4669" s="1">
        <v>2.2762164930000002</v>
      </c>
      <c r="D4669" s="1">
        <v>2.9747187429999999</v>
      </c>
      <c r="E4669" s="1"/>
      <c r="H4669" s="2">
        <v>7.3696463000000003</v>
      </c>
      <c r="I4669" s="2">
        <v>23.475470300000001</v>
      </c>
      <c r="J4669" s="2">
        <v>32.432752600000001</v>
      </c>
      <c r="L4669" s="2"/>
      <c r="M4669" s="2"/>
    </row>
    <row r="4670" spans="2:13">
      <c r="B4670" s="2"/>
      <c r="C4670" s="1">
        <v>8.1750587029999995</v>
      </c>
      <c r="D4670" s="1">
        <v>7.29498654</v>
      </c>
      <c r="E4670" s="1"/>
      <c r="H4670" s="2">
        <v>6.1027095300000003</v>
      </c>
      <c r="I4670" s="2">
        <v>146.27860899999999</v>
      </c>
      <c r="J4670" s="2">
        <v>15.4689978</v>
      </c>
      <c r="L4670" s="2"/>
      <c r="M4670" s="2"/>
    </row>
    <row r="4671" spans="2:13">
      <c r="B4671" s="2"/>
      <c r="C4671" s="1">
        <v>33.04438425</v>
      </c>
      <c r="D4671" s="1">
        <v>10.170767850000001</v>
      </c>
      <c r="E4671" s="1"/>
      <c r="H4671" s="2">
        <v>18.926726800000001</v>
      </c>
      <c r="I4671" s="2">
        <v>30.409284700000001</v>
      </c>
      <c r="J4671" s="2">
        <v>251.25823800000001</v>
      </c>
      <c r="L4671" s="2"/>
      <c r="M4671" s="2"/>
    </row>
    <row r="4672" spans="2:13">
      <c r="B4672" s="2"/>
      <c r="C4672" s="1">
        <v>54.617120399999997</v>
      </c>
      <c r="D4672" s="1">
        <v>0.66617869799999996</v>
      </c>
      <c r="E4672" s="1"/>
      <c r="H4672" s="2">
        <v>44.336838999999998</v>
      </c>
      <c r="I4672" s="2">
        <v>39.5662728</v>
      </c>
      <c r="J4672" s="2">
        <v>21.830405800000001</v>
      </c>
      <c r="L4672" s="2"/>
      <c r="M4672" s="2"/>
    </row>
    <row r="4673" spans="2:13">
      <c r="B4673" s="2"/>
      <c r="C4673" s="1">
        <v>13.58484644</v>
      </c>
      <c r="D4673" s="1">
        <v>1.3059740820000001</v>
      </c>
      <c r="E4673" s="1"/>
      <c r="H4673" s="2">
        <v>20.627872</v>
      </c>
      <c r="I4673" s="2">
        <v>54.382248400000002</v>
      </c>
      <c r="J4673" s="2">
        <v>27.878957799999998</v>
      </c>
      <c r="L4673" s="2"/>
      <c r="M4673" s="2"/>
    </row>
    <row r="4674" spans="2:13">
      <c r="B4674" s="2"/>
      <c r="C4674" s="1">
        <v>191.6852021</v>
      </c>
      <c r="D4674" s="1">
        <v>163.12803539999999</v>
      </c>
      <c r="E4674" s="1"/>
      <c r="H4674" s="2">
        <v>202.561182</v>
      </c>
      <c r="I4674" s="2">
        <v>110.490177</v>
      </c>
      <c r="J4674" s="2">
        <v>87.1825762</v>
      </c>
      <c r="L4674" s="2"/>
      <c r="M4674" s="2"/>
    </row>
    <row r="4675" spans="2:13">
      <c r="B4675" s="2"/>
      <c r="C4675" s="1">
        <v>6.9252528299999998</v>
      </c>
      <c r="D4675" s="1">
        <v>0.90362853200000004</v>
      </c>
      <c r="E4675" s="1"/>
      <c r="H4675" s="2">
        <v>25.868112799999999</v>
      </c>
      <c r="I4675" s="2">
        <v>5.5035208500000001</v>
      </c>
      <c r="J4675" s="2">
        <v>88.607809700000004</v>
      </c>
      <c r="L4675" s="2"/>
      <c r="M4675" s="2"/>
    </row>
    <row r="4676" spans="2:13">
      <c r="B4676" s="2"/>
      <c r="C4676" s="1">
        <v>33.726645429999998</v>
      </c>
      <c r="D4676" s="1">
        <v>0.94320350399999997</v>
      </c>
      <c r="E4676" s="1"/>
      <c r="H4676" s="2">
        <v>37.454933599999997</v>
      </c>
      <c r="I4676" s="2">
        <v>15.531122399999999</v>
      </c>
      <c r="J4676" s="2">
        <v>8.6209246000000004</v>
      </c>
      <c r="L4676" s="2"/>
      <c r="M4676" s="2"/>
    </row>
    <row r="4677" spans="2:13">
      <c r="B4677" s="2"/>
      <c r="C4677" s="1">
        <v>58.728800589999999</v>
      </c>
      <c r="D4677" s="1">
        <v>8.0798901549999993</v>
      </c>
      <c r="E4677" s="1"/>
      <c r="H4677" s="2">
        <v>78.008806500000006</v>
      </c>
      <c r="I4677" s="2">
        <v>24.9524039</v>
      </c>
      <c r="J4677" s="2">
        <v>23.151354000000001</v>
      </c>
      <c r="L4677" s="2"/>
      <c r="M4677" s="2"/>
    </row>
    <row r="4678" spans="2:13">
      <c r="B4678" s="2"/>
      <c r="C4678" s="1">
        <v>150.302741</v>
      </c>
      <c r="D4678" s="1">
        <v>12.42654127</v>
      </c>
      <c r="E4678" s="1"/>
      <c r="H4678" s="2">
        <v>114.63696</v>
      </c>
      <c r="I4678" s="2">
        <v>10.494001600000001</v>
      </c>
      <c r="J4678" s="2">
        <v>18.423750099999999</v>
      </c>
      <c r="L4678" s="2"/>
      <c r="M4678" s="2"/>
    </row>
    <row r="4679" spans="2:13">
      <c r="B4679" s="2"/>
      <c r="C4679" s="1">
        <v>11.38108246</v>
      </c>
      <c r="D4679" s="1">
        <v>33.025314289999997</v>
      </c>
      <c r="E4679" s="1"/>
      <c r="H4679" s="2">
        <v>11.3786387</v>
      </c>
      <c r="I4679" s="2">
        <v>7.2602944599999999</v>
      </c>
      <c r="J4679" s="2">
        <v>8.5166392200000001</v>
      </c>
      <c r="L4679" s="2"/>
      <c r="M4679" s="2"/>
    </row>
    <row r="4680" spans="2:13">
      <c r="B4680" s="2"/>
      <c r="C4680" s="1">
        <v>38.393794900000003</v>
      </c>
      <c r="D4680" s="1">
        <v>0.59362458299999998</v>
      </c>
      <c r="E4680" s="1"/>
      <c r="H4680" s="2">
        <v>28.663701</v>
      </c>
      <c r="I4680" s="2">
        <v>16.2929092</v>
      </c>
      <c r="J4680" s="2">
        <v>11.8537713</v>
      </c>
      <c r="L4680" s="2"/>
      <c r="M4680" s="2"/>
    </row>
    <row r="4681" spans="2:13">
      <c r="B4681" s="2"/>
      <c r="C4681" s="1">
        <v>13.97729756</v>
      </c>
      <c r="D4681" s="1">
        <v>1.0157576189999999</v>
      </c>
      <c r="E4681" s="1"/>
      <c r="H4681" s="2">
        <v>22.900030900000001</v>
      </c>
      <c r="I4681" s="2">
        <v>136.88842099999999</v>
      </c>
      <c r="J4681" s="2">
        <v>12.2709128</v>
      </c>
      <c r="L4681" s="2"/>
      <c r="M4681" s="2"/>
    </row>
    <row r="4682" spans="2:13">
      <c r="B4682" s="2"/>
      <c r="C4682" s="1">
        <v>16.6640783</v>
      </c>
      <c r="D4682" s="1">
        <v>5.5998585639999998</v>
      </c>
      <c r="E4682" s="1"/>
      <c r="H4682" s="2">
        <v>11.884223799999999</v>
      </c>
      <c r="I4682" s="2">
        <v>10.136428199999999</v>
      </c>
      <c r="J4682" s="2">
        <v>183.54226600000001</v>
      </c>
      <c r="L4682" s="2"/>
      <c r="M4682" s="2"/>
    </row>
    <row r="4683" spans="2:13">
      <c r="B4683" s="2"/>
      <c r="C4683" s="1">
        <v>16.839171879999999</v>
      </c>
      <c r="D4683" s="1">
        <v>5.7053918230000003</v>
      </c>
      <c r="E4683" s="1"/>
      <c r="H4683" s="2">
        <v>14.8879941</v>
      </c>
      <c r="I4683" s="2">
        <v>11.5511751</v>
      </c>
      <c r="J4683" s="2">
        <v>12.722816099999999</v>
      </c>
      <c r="L4683" s="2"/>
      <c r="M4683" s="2"/>
    </row>
    <row r="4684" spans="2:13">
      <c r="B4684" s="2"/>
      <c r="C4684" s="1">
        <v>9.8354288230000009</v>
      </c>
      <c r="D4684" s="1">
        <v>0.474899666</v>
      </c>
      <c r="E4684" s="1"/>
      <c r="H4684" s="2">
        <v>15.1437607</v>
      </c>
      <c r="I4684" s="2">
        <v>28.932351199999999</v>
      </c>
      <c r="J4684" s="2">
        <v>10.949964700000001</v>
      </c>
      <c r="L4684" s="2"/>
      <c r="M4684" s="2"/>
    </row>
    <row r="4685" spans="2:13">
      <c r="B4685" s="2"/>
      <c r="C4685" s="1">
        <v>165.99474810000001</v>
      </c>
      <c r="D4685" s="1">
        <v>0.82447858699999998</v>
      </c>
      <c r="E4685" s="1"/>
      <c r="H4685" s="2">
        <v>171.536101</v>
      </c>
      <c r="I4685" s="2">
        <v>54.304515100000003</v>
      </c>
      <c r="J4685" s="2">
        <v>21.169931800000001</v>
      </c>
      <c r="L4685" s="2"/>
      <c r="M4685" s="2"/>
    </row>
    <row r="4686" spans="2:13">
      <c r="B4686" s="2"/>
      <c r="C4686" s="1">
        <v>36.220219470000004</v>
      </c>
      <c r="D4686" s="1">
        <v>4.0168596770000002</v>
      </c>
      <c r="E4686" s="1"/>
      <c r="H4686" s="2">
        <v>18.706648600000001</v>
      </c>
      <c r="I4686" s="2">
        <v>153.30570399999999</v>
      </c>
      <c r="J4686" s="2">
        <v>60.728851900000002</v>
      </c>
      <c r="L4686" s="2"/>
      <c r="M4686" s="2"/>
    </row>
    <row r="4687" spans="2:13">
      <c r="B4687" s="2"/>
      <c r="C4687" s="1">
        <v>10.258068489999999</v>
      </c>
      <c r="D4687" s="1">
        <v>7.8622278080000001</v>
      </c>
      <c r="E4687" s="1"/>
      <c r="H4687" s="2">
        <v>17.302906499999999</v>
      </c>
      <c r="I4687" s="2">
        <v>4.29088067</v>
      </c>
      <c r="J4687" s="2">
        <v>78.422604399999997</v>
      </c>
      <c r="L4687" s="2"/>
      <c r="M4687" s="2"/>
    </row>
    <row r="4688" spans="2:13">
      <c r="B4688" s="2"/>
      <c r="C4688" s="1">
        <v>27.519880029999999</v>
      </c>
      <c r="D4688" s="1">
        <v>169.24896440000001</v>
      </c>
      <c r="E4688" s="1"/>
      <c r="H4688" s="2">
        <v>28.675597100000001</v>
      </c>
      <c r="I4688" s="2">
        <v>13.0902954</v>
      </c>
      <c r="J4688" s="2">
        <v>3.3023703100000001</v>
      </c>
      <c r="L4688" s="2"/>
      <c r="M4688" s="2"/>
    </row>
    <row r="4689" spans="2:13">
      <c r="B4689" s="2"/>
      <c r="C4689" s="1">
        <v>48.18695975</v>
      </c>
      <c r="D4689" s="1">
        <v>13.785281980000001</v>
      </c>
      <c r="E4689" s="1"/>
      <c r="H4689" s="2">
        <v>61.633797399999999</v>
      </c>
      <c r="I4689" s="2">
        <v>20.428323200000001</v>
      </c>
      <c r="J4689" s="2">
        <v>15.9209011</v>
      </c>
      <c r="L4689" s="2"/>
      <c r="M4689" s="2"/>
    </row>
    <row r="4690" spans="2:13">
      <c r="B4690" s="2"/>
      <c r="C4690" s="1">
        <v>66.016315989999995</v>
      </c>
      <c r="D4690" s="1">
        <v>2.5327982200000001</v>
      </c>
      <c r="E4690" s="1"/>
      <c r="H4690" s="2">
        <v>90.957733099999999</v>
      </c>
      <c r="I4690" s="2">
        <v>32.1194183</v>
      </c>
      <c r="J4690" s="2">
        <v>27.427054500000001</v>
      </c>
      <c r="L4690" s="2"/>
      <c r="M4690" s="2"/>
    </row>
    <row r="4691" spans="2:13">
      <c r="B4691" s="2"/>
      <c r="C4691" s="1">
        <v>15.528988910000001</v>
      </c>
      <c r="D4691" s="1">
        <v>0.28362063399999998</v>
      </c>
      <c r="E4691" s="1"/>
      <c r="H4691" s="2">
        <v>6.5726062699999996</v>
      </c>
      <c r="I4691" s="2">
        <v>29.056724500000001</v>
      </c>
      <c r="J4691" s="2">
        <v>32.641323399999997</v>
      </c>
      <c r="L4691" s="2"/>
      <c r="M4691" s="2"/>
    </row>
    <row r="4692" spans="2:13">
      <c r="B4692" s="2"/>
      <c r="C4692" s="1">
        <v>18.312373000000001</v>
      </c>
      <c r="D4692" s="1">
        <v>0.32319560600000002</v>
      </c>
      <c r="E4692" s="1"/>
      <c r="H4692" s="2">
        <v>16.761633</v>
      </c>
      <c r="I4692" s="2">
        <v>43.701686799999997</v>
      </c>
      <c r="J4692" s="2">
        <v>16.025186399999999</v>
      </c>
      <c r="L4692" s="2"/>
      <c r="M4692" s="2"/>
    </row>
    <row r="4693" spans="2:13">
      <c r="B4693" s="2"/>
      <c r="C4693" s="1">
        <v>35.030790690000003</v>
      </c>
      <c r="D4693" s="1">
        <v>0.29681229100000001</v>
      </c>
      <c r="E4693" s="1"/>
      <c r="H4693" s="2">
        <v>26.801958200000001</v>
      </c>
      <c r="I4693" s="2">
        <v>24.9057639</v>
      </c>
      <c r="J4693" s="2">
        <v>42.513672499999998</v>
      </c>
      <c r="L4693" s="2"/>
      <c r="M4693" s="2"/>
    </row>
    <row r="4694" spans="2:13">
      <c r="B4694" s="2"/>
      <c r="C4694" s="1">
        <v>18.22180736</v>
      </c>
      <c r="D4694" s="1">
        <v>3.6936640710000002</v>
      </c>
      <c r="E4694" s="1"/>
      <c r="H4694" s="2">
        <v>42.4215637</v>
      </c>
      <c r="I4694" s="2">
        <v>5.67453421</v>
      </c>
      <c r="J4694" s="2">
        <v>43.487002699999998</v>
      </c>
      <c r="L4694" s="2"/>
      <c r="M4694" s="2"/>
    </row>
    <row r="4695" spans="2:13">
      <c r="B4695" s="2"/>
      <c r="C4695" s="1">
        <v>20.226326920000002</v>
      </c>
      <c r="D4695" s="1">
        <v>204.840056</v>
      </c>
      <c r="E4695" s="1"/>
      <c r="H4695" s="2">
        <v>17.695478399999999</v>
      </c>
      <c r="I4695" s="2">
        <v>7.12037444</v>
      </c>
      <c r="J4695" s="2">
        <v>4.6580802300000004</v>
      </c>
      <c r="L4695" s="2"/>
      <c r="M4695" s="2"/>
    </row>
    <row r="4696" spans="2:13">
      <c r="B4696" s="2"/>
      <c r="C4696" s="1">
        <v>70.345353720000006</v>
      </c>
      <c r="D4696" s="1">
        <v>0.84426607300000001</v>
      </c>
      <c r="E4696" s="1"/>
      <c r="H4696" s="2">
        <v>49.779313899999998</v>
      </c>
      <c r="I4696" s="2">
        <v>3.4824538700000001</v>
      </c>
      <c r="J4696" s="2">
        <v>6.4656934499999998</v>
      </c>
      <c r="L4696" s="2"/>
      <c r="M4696" s="2"/>
    </row>
    <row r="4697" spans="2:13">
      <c r="B4697" s="2"/>
      <c r="C4697" s="1">
        <v>89.249422260000003</v>
      </c>
      <c r="D4697" s="1">
        <v>2.38109416</v>
      </c>
      <c r="E4697" s="1"/>
      <c r="H4697" s="2">
        <v>38.127064400000002</v>
      </c>
      <c r="I4697" s="2">
        <v>8.2086412699999993</v>
      </c>
      <c r="J4697" s="2">
        <v>4.9709363599999996</v>
      </c>
      <c r="L4697" s="2"/>
      <c r="M4697" s="2"/>
    </row>
    <row r="4698" spans="2:13">
      <c r="B4698" s="2"/>
      <c r="C4698" s="1">
        <v>3.4233813030000002</v>
      </c>
      <c r="D4698" s="1">
        <v>1.7610862620000001</v>
      </c>
      <c r="E4698" s="1"/>
      <c r="H4698" s="2">
        <v>5.8766832500000001</v>
      </c>
      <c r="I4698" s="2">
        <v>99.032281999999995</v>
      </c>
      <c r="J4698" s="2">
        <v>10.393776000000001</v>
      </c>
      <c r="L4698" s="2"/>
      <c r="M4698" s="2"/>
    </row>
    <row r="4699" spans="2:13">
      <c r="B4699" s="2"/>
      <c r="C4699" s="1">
        <v>6.8165740579999996</v>
      </c>
      <c r="D4699" s="1">
        <v>2.842802169</v>
      </c>
      <c r="E4699" s="1"/>
      <c r="H4699" s="2">
        <v>8.4402971000000004</v>
      </c>
      <c r="I4699" s="2">
        <v>11.0536817</v>
      </c>
      <c r="J4699" s="2">
        <v>92.327321499999996</v>
      </c>
      <c r="L4699" s="2"/>
      <c r="M4699" s="2"/>
    </row>
    <row r="4700" spans="2:13">
      <c r="B4700" s="2"/>
      <c r="C4700" s="1">
        <v>3.1999860500000001</v>
      </c>
      <c r="D4700" s="1">
        <v>0.65958287000000004</v>
      </c>
      <c r="E4700" s="1"/>
      <c r="H4700" s="2">
        <v>6.2216707299999996</v>
      </c>
      <c r="I4700" s="2">
        <v>50.8220612</v>
      </c>
      <c r="J4700" s="2">
        <v>14.043764299999999</v>
      </c>
      <c r="L4700" s="2"/>
      <c r="M4700" s="2"/>
    </row>
    <row r="4701" spans="2:13">
      <c r="B4701" s="2"/>
      <c r="C4701" s="1">
        <v>6.315444168</v>
      </c>
      <c r="D4701" s="1">
        <v>9.5177808109999997</v>
      </c>
      <c r="E4701" s="1"/>
      <c r="H4701" s="2">
        <v>19.170597300000001</v>
      </c>
      <c r="I4701" s="2">
        <v>18.127416100000001</v>
      </c>
      <c r="J4701" s="2">
        <v>34.483698400000002</v>
      </c>
      <c r="L4701" s="2"/>
      <c r="M4701" s="2"/>
    </row>
    <row r="4702" spans="2:13">
      <c r="B4702" s="2"/>
      <c r="C4702" s="1">
        <v>155.0302676</v>
      </c>
      <c r="D4702" s="1">
        <v>1.1146950499999999</v>
      </c>
      <c r="E4702" s="1"/>
      <c r="H4702" s="2">
        <v>114.250336</v>
      </c>
      <c r="I4702" s="2">
        <v>37.949419200000001</v>
      </c>
      <c r="J4702" s="2">
        <v>13.209481200000001</v>
      </c>
      <c r="L4702" s="2"/>
      <c r="M4702" s="2"/>
    </row>
    <row r="4703" spans="2:13">
      <c r="B4703" s="2"/>
      <c r="C4703" s="1">
        <v>18.77727664</v>
      </c>
      <c r="D4703" s="1">
        <v>0.40234555100000002</v>
      </c>
      <c r="E4703" s="1"/>
      <c r="H4703" s="2">
        <v>16.993607300000001</v>
      </c>
      <c r="I4703" s="2">
        <v>8.0531745800000003</v>
      </c>
      <c r="J4703" s="2">
        <v>47.554132500000001</v>
      </c>
      <c r="L4703" s="2"/>
      <c r="M4703" s="2"/>
    </row>
    <row r="4704" spans="2:13">
      <c r="B4704" s="2"/>
      <c r="C4704" s="1">
        <v>26.897995949999999</v>
      </c>
      <c r="D4704" s="1">
        <v>1.741298776</v>
      </c>
      <c r="E4704" s="1"/>
      <c r="H4704" s="2">
        <v>40.928600699999997</v>
      </c>
      <c r="I4704" s="2">
        <v>27.020110899999999</v>
      </c>
      <c r="J4704" s="2">
        <v>10.7066322</v>
      </c>
      <c r="L4704" s="2"/>
      <c r="M4704" s="2"/>
    </row>
    <row r="4705" spans="2:13">
      <c r="B4705" s="2"/>
      <c r="C4705" s="1">
        <v>24.839137000000001</v>
      </c>
      <c r="D4705" s="1">
        <v>7.0641325349999997</v>
      </c>
      <c r="E4705" s="1"/>
      <c r="H4705" s="2">
        <v>21.918600999999999</v>
      </c>
      <c r="I4705" s="2">
        <v>24.610377199999999</v>
      </c>
      <c r="J4705" s="2">
        <v>37.229880000000001</v>
      </c>
      <c r="L4705" s="2"/>
      <c r="M4705" s="2"/>
    </row>
    <row r="4706" spans="2:13">
      <c r="B4706" s="2"/>
      <c r="C4706" s="1">
        <v>74.861560449999999</v>
      </c>
      <c r="D4706" s="1">
        <v>0.31659977700000003</v>
      </c>
      <c r="E4706" s="1"/>
      <c r="H4706" s="2">
        <v>50.118353300000003</v>
      </c>
      <c r="I4706" s="2">
        <v>22.060723400000001</v>
      </c>
      <c r="J4706" s="2">
        <v>35.317981400000001</v>
      </c>
      <c r="L4706" s="2"/>
      <c r="M4706" s="2"/>
    </row>
    <row r="4707" spans="2:13">
      <c r="B4707" s="2"/>
      <c r="C4707" s="1">
        <v>9.4127891560000005</v>
      </c>
      <c r="D4707" s="1">
        <v>5.2436838149999998</v>
      </c>
      <c r="E4707" s="1"/>
      <c r="H4707" s="2">
        <v>11.592768899999999</v>
      </c>
      <c r="I4707" s="2">
        <v>25.6830973</v>
      </c>
      <c r="J4707" s="2">
        <v>11.7842477</v>
      </c>
      <c r="L4707" s="2"/>
      <c r="M4707" s="2"/>
    </row>
    <row r="4708" spans="2:13">
      <c r="B4708" s="2"/>
      <c r="C4708" s="1">
        <v>36.371162200000001</v>
      </c>
      <c r="D4708" s="1">
        <v>0.857457731</v>
      </c>
      <c r="E4708" s="1"/>
      <c r="H4708" s="2">
        <v>39.614079400000001</v>
      </c>
      <c r="I4708" s="2">
        <v>99.965082199999998</v>
      </c>
      <c r="J4708" s="2">
        <v>20.509457699999999</v>
      </c>
      <c r="L4708" s="2"/>
      <c r="M4708" s="2"/>
    </row>
    <row r="4709" spans="2:13">
      <c r="B4709" s="2"/>
      <c r="C4709" s="1">
        <v>34.88588566</v>
      </c>
      <c r="D4709" s="1">
        <v>0.244045662</v>
      </c>
      <c r="E4709" s="1"/>
      <c r="H4709" s="2">
        <v>36.818491199999997</v>
      </c>
      <c r="I4709" s="2">
        <v>4.1665073100000001</v>
      </c>
      <c r="J4709" s="2">
        <v>98.341111600000005</v>
      </c>
      <c r="L4709" s="2"/>
      <c r="M4709" s="2"/>
    </row>
    <row r="4710" spans="2:13">
      <c r="B4710" s="2"/>
      <c r="C4710" s="1">
        <v>13.64522354</v>
      </c>
      <c r="D4710" s="1">
        <v>0.26383314800000002</v>
      </c>
      <c r="E4710" s="1"/>
      <c r="H4710" s="2">
        <v>18.647168000000001</v>
      </c>
      <c r="I4710" s="2">
        <v>12.141948599999999</v>
      </c>
      <c r="J4710" s="2">
        <v>6.6047406200000003</v>
      </c>
      <c r="L4710" s="2"/>
      <c r="M4710" s="2"/>
    </row>
    <row r="4711" spans="2:13">
      <c r="B4711" s="2"/>
      <c r="C4711" s="1">
        <v>44.304712530000003</v>
      </c>
      <c r="D4711" s="1">
        <v>1.536828087</v>
      </c>
      <c r="E4711" s="1"/>
      <c r="H4711" s="2">
        <v>26.748425699999999</v>
      </c>
      <c r="I4711" s="2">
        <v>10.804935</v>
      </c>
      <c r="J4711" s="2">
        <v>15.3647124</v>
      </c>
      <c r="L4711" s="2"/>
      <c r="M4711" s="2"/>
    </row>
    <row r="4712" spans="2:13">
      <c r="B4712" s="2"/>
      <c r="C4712" s="1">
        <v>160.5366587</v>
      </c>
      <c r="D4712" s="1">
        <v>316.2633902</v>
      </c>
      <c r="E4712" s="1"/>
      <c r="H4712" s="2">
        <v>117.593146</v>
      </c>
      <c r="I4712" s="2">
        <v>3.3114405100000002</v>
      </c>
      <c r="J4712" s="2">
        <v>11.054250100000001</v>
      </c>
      <c r="L4712" s="2"/>
      <c r="M4712" s="2"/>
    </row>
    <row r="4713" spans="2:13">
      <c r="B4713" s="2"/>
      <c r="C4713" s="1">
        <v>13.59692186</v>
      </c>
      <c r="D4713" s="1">
        <v>1.0157576189999999</v>
      </c>
      <c r="E4713" s="1"/>
      <c r="H4713" s="2">
        <v>7.1852564399999999</v>
      </c>
      <c r="I4713" s="2">
        <v>13.152481999999999</v>
      </c>
      <c r="J4713" s="2">
        <v>3.9280825799999999</v>
      </c>
      <c r="L4713" s="2"/>
      <c r="M4713" s="2"/>
    </row>
    <row r="4714" spans="2:13">
      <c r="B4714" s="2"/>
      <c r="C4714" s="1">
        <v>39.11832004</v>
      </c>
      <c r="D4714" s="1">
        <v>1.523636429</v>
      </c>
      <c r="E4714" s="1"/>
      <c r="H4714" s="2">
        <v>24.012318100000002</v>
      </c>
      <c r="I4714" s="2">
        <v>29.569764599999999</v>
      </c>
      <c r="J4714" s="2">
        <v>5.7704575900000004</v>
      </c>
      <c r="L4714" s="2"/>
      <c r="M4714" s="2"/>
    </row>
    <row r="4715" spans="2:13">
      <c r="B4715" s="2"/>
      <c r="C4715" s="1">
        <v>18.1191663</v>
      </c>
      <c r="D4715" s="1">
        <v>1.8732153499999999</v>
      </c>
      <c r="E4715" s="1"/>
      <c r="H4715" s="2">
        <v>8.9220899599999992</v>
      </c>
      <c r="I4715" s="2">
        <v>23.5065636</v>
      </c>
      <c r="J4715" s="2">
        <v>23.464210099999999</v>
      </c>
      <c r="L4715" s="2"/>
      <c r="M4715" s="2"/>
    </row>
    <row r="4716" spans="2:13">
      <c r="B4716" s="2"/>
      <c r="C4716" s="1">
        <v>5.6995977959999999</v>
      </c>
      <c r="D4716" s="1">
        <v>2.2293900999999998</v>
      </c>
      <c r="E4716" s="1"/>
      <c r="H4716" s="2">
        <v>4.7049154399999997</v>
      </c>
      <c r="I4716" s="2">
        <v>21.423310000000001</v>
      </c>
      <c r="J4716" s="2">
        <v>28.435146499999998</v>
      </c>
      <c r="L4716" s="2"/>
      <c r="M4716" s="2"/>
    </row>
    <row r="4717" spans="2:13">
      <c r="B4717" s="2"/>
      <c r="C4717" s="1">
        <v>9.8414665330000002</v>
      </c>
      <c r="D4717" s="1">
        <v>197.89464839999999</v>
      </c>
      <c r="E4717" s="1"/>
      <c r="H4717" s="2">
        <v>7.8990236400000002</v>
      </c>
      <c r="I4717" s="2">
        <v>17.521096100000001</v>
      </c>
      <c r="J4717" s="2">
        <v>17.937085</v>
      </c>
      <c r="L4717" s="2"/>
      <c r="M4717" s="2"/>
    </row>
    <row r="4718" spans="2:13">
      <c r="B4718" s="2"/>
      <c r="C4718" s="1">
        <v>21.965187270000001</v>
      </c>
      <c r="D4718" s="1">
        <v>1.7083196329999999</v>
      </c>
      <c r="E4718" s="1"/>
      <c r="H4718" s="2">
        <v>20.63382</v>
      </c>
      <c r="I4718" s="2">
        <v>29.507577900000001</v>
      </c>
      <c r="J4718" s="2">
        <v>16.3032808</v>
      </c>
      <c r="L4718" s="2"/>
      <c r="M4718" s="2"/>
    </row>
    <row r="4719" spans="2:13">
      <c r="B4719" s="2"/>
      <c r="C4719" s="1">
        <v>62.647274070000002</v>
      </c>
      <c r="D4719" s="1">
        <v>1.9919402669999999</v>
      </c>
      <c r="E4719" s="1"/>
      <c r="H4719" s="2">
        <v>33.808772900000001</v>
      </c>
      <c r="I4719" s="2">
        <v>34.311498700000001</v>
      </c>
      <c r="J4719" s="2">
        <v>19.675174699999999</v>
      </c>
      <c r="L4719" s="2"/>
      <c r="M4719" s="2"/>
    </row>
    <row r="4720" spans="2:13">
      <c r="B4720" s="2"/>
      <c r="C4720" s="1">
        <v>6.2429916529999998</v>
      </c>
      <c r="D4720" s="1">
        <v>1.0553325920000001</v>
      </c>
      <c r="E4720" s="1"/>
      <c r="H4720" s="2">
        <v>22.9773557</v>
      </c>
      <c r="I4720" s="2">
        <v>54.2578751</v>
      </c>
      <c r="J4720" s="2">
        <v>24.3332549</v>
      </c>
      <c r="L4720" s="2"/>
      <c r="M4720" s="2"/>
    </row>
    <row r="4721" spans="2:13">
      <c r="B4721" s="2"/>
      <c r="C4721" s="1">
        <v>16.0301188</v>
      </c>
      <c r="D4721" s="1">
        <v>8.4492565620000004</v>
      </c>
      <c r="E4721" s="1"/>
      <c r="H4721" s="2">
        <v>19.0813764</v>
      </c>
      <c r="I4721" s="2">
        <v>35.897258899999997</v>
      </c>
      <c r="J4721" s="2">
        <v>71.157389699999996</v>
      </c>
      <c r="L4721" s="2"/>
      <c r="M4721" s="2"/>
    </row>
    <row r="4722" spans="2:13">
      <c r="B4722" s="2"/>
      <c r="C4722" s="1">
        <v>18.13727943</v>
      </c>
      <c r="D4722" s="1">
        <v>1.6225738599999999</v>
      </c>
      <c r="E4722" s="1"/>
      <c r="H4722" s="2">
        <v>26.998244199999998</v>
      </c>
      <c r="I4722" s="2">
        <v>55.703715299999999</v>
      </c>
      <c r="J4722" s="2">
        <v>36.882262099999998</v>
      </c>
      <c r="L4722" s="2"/>
      <c r="M4722" s="2"/>
    </row>
    <row r="4723" spans="2:13">
      <c r="B4723" s="2"/>
      <c r="C4723" s="1">
        <v>52.751468160000002</v>
      </c>
      <c r="D4723" s="1">
        <v>0.118724917</v>
      </c>
      <c r="E4723" s="1"/>
      <c r="H4723" s="2">
        <v>31.2332629</v>
      </c>
      <c r="I4723" s="2">
        <v>24.5948305</v>
      </c>
      <c r="J4723" s="2">
        <v>48.1103211</v>
      </c>
      <c r="L4723" s="2"/>
      <c r="M4723" s="2"/>
    </row>
    <row r="4724" spans="2:13">
      <c r="B4724" s="2"/>
      <c r="C4724" s="1">
        <v>94.574682069999994</v>
      </c>
      <c r="D4724" s="1">
        <v>1.563211401</v>
      </c>
      <c r="E4724" s="1"/>
      <c r="H4724" s="2">
        <v>76.640752699999993</v>
      </c>
      <c r="I4724" s="2">
        <v>94.601481300000003</v>
      </c>
      <c r="J4724" s="2">
        <v>31.5637078</v>
      </c>
      <c r="L4724" s="2"/>
      <c r="M4724" s="2"/>
    </row>
    <row r="4725" spans="2:13">
      <c r="B4725" s="2"/>
      <c r="C4725" s="1">
        <v>54.472215370000001</v>
      </c>
      <c r="D4725" s="1">
        <v>4.3994177409999997</v>
      </c>
      <c r="E4725" s="1"/>
      <c r="H4725" s="2">
        <v>52.818772500000001</v>
      </c>
      <c r="I4725" s="2">
        <v>32.492538400000001</v>
      </c>
      <c r="J4725" s="2">
        <v>106.092991</v>
      </c>
      <c r="L4725" s="2"/>
      <c r="M4725" s="2"/>
    </row>
    <row r="4726" spans="2:13">
      <c r="B4726" s="2"/>
      <c r="C4726" s="1">
        <v>37.59681724</v>
      </c>
      <c r="D4726" s="1">
        <v>3.119826974</v>
      </c>
      <c r="E4726" s="1"/>
      <c r="H4726" s="2">
        <v>44.342787100000002</v>
      </c>
      <c r="I4726" s="2">
        <v>6.7317077100000002</v>
      </c>
      <c r="J4726" s="2">
        <v>27.670387000000002</v>
      </c>
      <c r="L4726" s="2"/>
      <c r="M4726" s="2"/>
    </row>
    <row r="4727" spans="2:13">
      <c r="B4727" s="2"/>
      <c r="C4727" s="1">
        <v>17.859544790000001</v>
      </c>
      <c r="D4727" s="1">
        <v>1.0157576189999999</v>
      </c>
      <c r="E4727" s="1"/>
      <c r="H4727" s="2">
        <v>31.774536399999999</v>
      </c>
      <c r="I4727" s="2">
        <v>21.159016600000001</v>
      </c>
      <c r="J4727" s="2">
        <v>6.0137901400000002</v>
      </c>
      <c r="L4727" s="2"/>
      <c r="M4727" s="2"/>
    </row>
    <row r="4728" spans="2:13">
      <c r="B4728" s="2"/>
      <c r="C4728" s="1">
        <v>76.805702920000002</v>
      </c>
      <c r="D4728" s="1">
        <v>4.4258010560000001</v>
      </c>
      <c r="E4728" s="1"/>
      <c r="H4728" s="2">
        <v>115.46374</v>
      </c>
      <c r="I4728" s="2">
        <v>31.155524799999998</v>
      </c>
      <c r="J4728" s="2">
        <v>21.3089789</v>
      </c>
      <c r="L4728" s="2"/>
      <c r="M4728" s="2"/>
    </row>
    <row r="4729" spans="2:13">
      <c r="B4729" s="2"/>
      <c r="C4729" s="1">
        <v>22.961409339999999</v>
      </c>
      <c r="D4729" s="1">
        <v>0.70575367099999997</v>
      </c>
      <c r="E4729" s="1"/>
      <c r="H4729" s="2">
        <v>31.173782299999999</v>
      </c>
      <c r="I4729" s="2">
        <v>53.7137417</v>
      </c>
      <c r="J4729" s="2">
        <v>41.644627700000001</v>
      </c>
      <c r="L4729" s="2"/>
      <c r="M4729" s="2"/>
    </row>
    <row r="4730" spans="2:13">
      <c r="B4730" s="2"/>
      <c r="C4730" s="1">
        <v>2.5962150980000001</v>
      </c>
      <c r="D4730" s="1">
        <v>8.5745772999999997E-2</v>
      </c>
      <c r="E4730" s="1"/>
      <c r="H4730" s="2">
        <v>6.3703722300000001</v>
      </c>
      <c r="I4730" s="2">
        <v>32.523631700000003</v>
      </c>
      <c r="J4730" s="2">
        <v>67.542163299999999</v>
      </c>
      <c r="L4730" s="2"/>
      <c r="M4730" s="2"/>
    </row>
    <row r="4731" spans="2:13">
      <c r="B4731" s="2"/>
      <c r="C4731" s="1">
        <v>55.480512859999997</v>
      </c>
      <c r="D4731" s="1">
        <v>0.17808737499999999</v>
      </c>
      <c r="E4731" s="1"/>
      <c r="H4731" s="2">
        <v>30.2696772</v>
      </c>
      <c r="I4731" s="2">
        <v>71.126011000000005</v>
      </c>
      <c r="J4731" s="2">
        <v>25.132776100000001</v>
      </c>
      <c r="L4731" s="2"/>
      <c r="M4731" s="2"/>
    </row>
    <row r="4732" spans="2:13">
      <c r="B4732" s="2"/>
      <c r="C4732" s="1">
        <v>101.2886151</v>
      </c>
      <c r="D4732" s="1">
        <v>0.70575367099999997</v>
      </c>
      <c r="E4732" s="1"/>
      <c r="H4732" s="2">
        <v>58.290987700000002</v>
      </c>
      <c r="I4732" s="2">
        <v>15.080268999999999</v>
      </c>
      <c r="J4732" s="2">
        <v>73.347382699999997</v>
      </c>
      <c r="L4732" s="2"/>
      <c r="M4732" s="2"/>
    </row>
    <row r="4733" spans="2:13">
      <c r="B4733" s="2"/>
      <c r="C4733" s="1">
        <v>73.672131680000007</v>
      </c>
      <c r="D4733" s="1">
        <v>2.981314571</v>
      </c>
      <c r="E4733" s="1"/>
      <c r="H4733" s="2">
        <v>74.463762799999998</v>
      </c>
      <c r="I4733" s="2">
        <v>3.7156539099999999</v>
      </c>
      <c r="J4733" s="2">
        <v>14.356620400000001</v>
      </c>
      <c r="L4733" s="2"/>
      <c r="M4733" s="2"/>
    </row>
    <row r="4734" spans="2:13">
      <c r="B4734" s="2"/>
      <c r="C4734" s="1">
        <v>14.61125706</v>
      </c>
      <c r="D4734" s="1">
        <v>0.237449833</v>
      </c>
      <c r="E4734" s="1"/>
      <c r="H4734" s="2">
        <v>29.8890013</v>
      </c>
      <c r="I4734" s="2">
        <v>4.8972007599999996</v>
      </c>
      <c r="J4734" s="2">
        <v>2.1899929400000002</v>
      </c>
      <c r="L4734" s="2"/>
      <c r="M4734" s="2"/>
    </row>
    <row r="4735" spans="2:13">
      <c r="B4735" s="2"/>
      <c r="C4735" s="1">
        <v>101.1980494</v>
      </c>
      <c r="D4735" s="1">
        <v>0.87724521700000002</v>
      </c>
      <c r="E4735" s="1"/>
      <c r="H4735" s="2">
        <v>63.662085900000001</v>
      </c>
      <c r="I4735" s="2">
        <v>7.8977078900000004</v>
      </c>
      <c r="J4735" s="2">
        <v>5.5618868399999997</v>
      </c>
      <c r="L4735" s="2"/>
      <c r="M4735" s="2"/>
    </row>
    <row r="4736" spans="2:13">
      <c r="B4736" s="2"/>
      <c r="C4736" s="1">
        <v>15.293518239999999</v>
      </c>
      <c r="D4736" s="1">
        <v>199.37211400000001</v>
      </c>
      <c r="E4736" s="1"/>
      <c r="H4736" s="2">
        <v>17.659790099999999</v>
      </c>
      <c r="I4736" s="2">
        <v>41.214219700000001</v>
      </c>
      <c r="J4736" s="2">
        <v>7.8909269499999999</v>
      </c>
      <c r="L4736" s="2"/>
      <c r="M4736" s="2"/>
    </row>
    <row r="4737" spans="2:13">
      <c r="B4737" s="2"/>
      <c r="C4737" s="1">
        <v>2.4513100689999998</v>
      </c>
      <c r="D4737" s="1">
        <v>315.34656999999999</v>
      </c>
      <c r="E4737" s="1"/>
      <c r="H4737" s="2">
        <v>4.0446807800000002</v>
      </c>
      <c r="I4737" s="2">
        <v>4.19760065</v>
      </c>
      <c r="J4737" s="2">
        <v>43.243670199999997</v>
      </c>
      <c r="L4737" s="2"/>
      <c r="M4737" s="2"/>
    </row>
    <row r="4738" spans="2:13">
      <c r="B4738" s="2"/>
      <c r="C4738" s="1">
        <v>2.0950852069999999</v>
      </c>
      <c r="D4738" s="1">
        <v>1.932577808</v>
      </c>
      <c r="E4738" s="1"/>
      <c r="H4738" s="2">
        <v>7.2625812200000004</v>
      </c>
      <c r="I4738" s="2">
        <v>20.070749800000002</v>
      </c>
      <c r="J4738" s="2">
        <v>2.2247547299999999</v>
      </c>
      <c r="L4738" s="2"/>
      <c r="M4738" s="2"/>
    </row>
    <row r="4739" spans="2:13">
      <c r="B4739" s="2"/>
      <c r="C4739" s="1">
        <v>18.855766859999999</v>
      </c>
      <c r="D4739" s="1">
        <v>0.30340812</v>
      </c>
      <c r="E4739" s="1"/>
      <c r="H4739" s="2">
        <v>15.7385667</v>
      </c>
      <c r="I4739" s="2">
        <v>14.3029356</v>
      </c>
      <c r="J4739" s="2">
        <v>18.2151794</v>
      </c>
      <c r="L4739" s="2"/>
      <c r="M4739" s="2"/>
    </row>
    <row r="4740" spans="2:13">
      <c r="B4740" s="2"/>
      <c r="C4740" s="1">
        <v>74.058545089999996</v>
      </c>
      <c r="D4740" s="1">
        <v>19.12790322</v>
      </c>
      <c r="E4740" s="1"/>
      <c r="H4740" s="2">
        <v>58.076857500000003</v>
      </c>
      <c r="I4740" s="2">
        <v>33.720725199999997</v>
      </c>
      <c r="J4740" s="2">
        <v>26.140868099999999</v>
      </c>
      <c r="L4740" s="2"/>
      <c r="M4740" s="2"/>
    </row>
    <row r="4741" spans="2:13">
      <c r="B4741" s="2"/>
      <c r="C4741" s="1">
        <v>7.2694022729999999</v>
      </c>
      <c r="D4741" s="1">
        <v>1.2729949389999999</v>
      </c>
      <c r="E4741" s="1"/>
      <c r="H4741" s="2">
        <v>4.36587602</v>
      </c>
      <c r="I4741" s="2">
        <v>40.312512900000002</v>
      </c>
      <c r="J4741" s="2">
        <v>40.740821099999998</v>
      </c>
      <c r="L4741" s="2"/>
      <c r="M4741" s="2"/>
    </row>
    <row r="4742" spans="2:13">
      <c r="B4742" s="2"/>
      <c r="C4742" s="1">
        <v>21.717641180000001</v>
      </c>
      <c r="D4742" s="1">
        <v>5.7185834809999996</v>
      </c>
      <c r="E4742" s="1"/>
      <c r="H4742" s="2">
        <v>23.923097200000001</v>
      </c>
      <c r="I4742" s="2">
        <v>5.9543742599999998</v>
      </c>
      <c r="J4742" s="2">
        <v>26.905627599999999</v>
      </c>
      <c r="L4742" s="2"/>
      <c r="M4742" s="2"/>
    </row>
    <row r="4743" spans="2:13">
      <c r="B4743" s="2"/>
      <c r="C4743" s="1">
        <v>38.285116119999998</v>
      </c>
      <c r="D4743" s="1">
        <v>0.48809132399999999</v>
      </c>
      <c r="E4743" s="1"/>
      <c r="H4743" s="2">
        <v>21.609301899999998</v>
      </c>
      <c r="I4743" s="2">
        <v>152.419544</v>
      </c>
      <c r="J4743" s="2">
        <v>7.2304528899999996</v>
      </c>
      <c r="L4743" s="2"/>
      <c r="M4743" s="2"/>
    </row>
    <row r="4744" spans="2:13">
      <c r="B4744" s="2"/>
      <c r="C4744" s="1">
        <v>43.75528096</v>
      </c>
      <c r="D4744" s="1">
        <v>2.1898151280000002</v>
      </c>
      <c r="E4744" s="1"/>
      <c r="H4744" s="2">
        <v>40.524132600000002</v>
      </c>
      <c r="I4744" s="2">
        <v>20.894723200000001</v>
      </c>
      <c r="J4744" s="2">
        <v>169.01183599999999</v>
      </c>
      <c r="L4744" s="2"/>
      <c r="M4744" s="2"/>
    </row>
    <row r="4745" spans="2:13">
      <c r="B4745" s="2"/>
      <c r="C4745" s="1">
        <v>46.991493269999999</v>
      </c>
      <c r="D4745" s="1">
        <v>16.186163619999999</v>
      </c>
      <c r="E4745" s="1"/>
      <c r="H4745" s="2">
        <v>39.727092499999998</v>
      </c>
      <c r="I4745" s="2">
        <v>45.287447</v>
      </c>
      <c r="J4745" s="2">
        <v>17.728514300000001</v>
      </c>
      <c r="L4745" s="2"/>
      <c r="M4745" s="2"/>
    </row>
    <row r="4746" spans="2:13">
      <c r="B4746" s="2"/>
      <c r="C4746" s="1">
        <v>12.63088834</v>
      </c>
      <c r="D4746" s="1">
        <v>0.17149154599999999</v>
      </c>
      <c r="E4746" s="1"/>
      <c r="H4746" s="2">
        <v>8.6306350199999997</v>
      </c>
      <c r="I4746" s="2">
        <v>18.500536199999999</v>
      </c>
      <c r="J4746" s="2">
        <v>99.314441799999997</v>
      </c>
      <c r="L4746" s="2"/>
      <c r="M4746" s="2"/>
    </row>
    <row r="4747" spans="2:13">
      <c r="B4747" s="2"/>
      <c r="C4747" s="1">
        <v>293.66211609999999</v>
      </c>
      <c r="D4747" s="1">
        <v>0.44192052300000001</v>
      </c>
      <c r="E4747" s="1"/>
      <c r="H4747" s="2">
        <v>169.115241</v>
      </c>
      <c r="I4747" s="2">
        <v>31.4353649</v>
      </c>
      <c r="J4747" s="2">
        <v>17.450420000000001</v>
      </c>
      <c r="L4747" s="2"/>
      <c r="M4747" s="2"/>
    </row>
    <row r="4748" spans="2:13">
      <c r="B4748" s="2"/>
      <c r="C4748" s="1">
        <v>11.74334503</v>
      </c>
      <c r="D4748" s="1">
        <v>1.5302322580000001</v>
      </c>
      <c r="E4748" s="1"/>
      <c r="H4748" s="2">
        <v>29.395312400000002</v>
      </c>
      <c r="I4748" s="2">
        <v>138.225435</v>
      </c>
      <c r="J4748" s="2">
        <v>39.246063999999997</v>
      </c>
      <c r="L4748" s="2"/>
      <c r="M4748" s="2"/>
    </row>
    <row r="4749" spans="2:13">
      <c r="B4749" s="2"/>
      <c r="C4749" s="1">
        <v>129.82283029999999</v>
      </c>
      <c r="D4749" s="1">
        <v>2.3415191879999999</v>
      </c>
      <c r="E4749" s="1"/>
      <c r="H4749" s="2">
        <v>99.897667200000001</v>
      </c>
      <c r="I4749" s="2">
        <v>8.3019212899999992</v>
      </c>
      <c r="J4749" s="2">
        <v>236.345429</v>
      </c>
      <c r="L4749" s="2"/>
      <c r="M4749" s="2"/>
    </row>
    <row r="4750" spans="2:13">
      <c r="B4750" s="2"/>
      <c r="C4750" s="1">
        <v>15.19691488</v>
      </c>
      <c r="D4750" s="1">
        <v>1.3917198550000001</v>
      </c>
      <c r="E4750" s="1"/>
      <c r="H4750" s="2">
        <v>14.4299935</v>
      </c>
      <c r="I4750" s="2">
        <v>7.4624011599999998</v>
      </c>
      <c r="J4750" s="2">
        <v>3.0242759700000001</v>
      </c>
      <c r="L4750" s="2"/>
      <c r="M4750" s="2"/>
    </row>
    <row r="4751" spans="2:13">
      <c r="B4751" s="2"/>
      <c r="C4751" s="1">
        <v>46.683570080000003</v>
      </c>
      <c r="D4751" s="1">
        <v>1.0949075640000001</v>
      </c>
      <c r="E4751" s="1"/>
      <c r="H4751" s="2">
        <v>42.159849100000002</v>
      </c>
      <c r="I4751" s="2">
        <v>11.7221885</v>
      </c>
      <c r="J4751" s="2">
        <v>7.9604505400000001</v>
      </c>
      <c r="L4751" s="2"/>
      <c r="M4751" s="2"/>
    </row>
    <row r="4752" spans="2:13">
      <c r="B4752" s="2"/>
      <c r="C4752" s="1">
        <v>227.47674420000001</v>
      </c>
      <c r="D4752" s="1">
        <v>1.0553325920000001</v>
      </c>
      <c r="E4752" s="1"/>
      <c r="H4752" s="2">
        <v>223.04035300000001</v>
      </c>
      <c r="I4752" s="2">
        <v>45.131980300000002</v>
      </c>
      <c r="J4752" s="2">
        <v>14.947570900000001</v>
      </c>
      <c r="L4752" s="2"/>
      <c r="M4752" s="2"/>
    </row>
    <row r="4753" spans="2:13">
      <c r="B4753" s="2"/>
      <c r="C4753" s="1">
        <v>2.7048938690000002</v>
      </c>
      <c r="D4753" s="1">
        <v>0.15170406</v>
      </c>
      <c r="E4753" s="1"/>
      <c r="H4753" s="2">
        <v>4.3718240799999997</v>
      </c>
      <c r="I4753" s="2">
        <v>18.531629500000001</v>
      </c>
      <c r="J4753" s="2">
        <v>48.284130099999999</v>
      </c>
      <c r="L4753" s="2"/>
      <c r="M4753" s="2"/>
    </row>
    <row r="4754" spans="2:13">
      <c r="B4754" s="2"/>
      <c r="C4754" s="1">
        <v>8.3622276979999999</v>
      </c>
      <c r="D4754" s="1">
        <v>1.41810317</v>
      </c>
      <c r="E4754" s="1"/>
      <c r="H4754" s="2">
        <v>8.9399341299999993</v>
      </c>
      <c r="I4754" s="2">
        <v>21.811976699999999</v>
      </c>
      <c r="J4754" s="2">
        <v>17.763276099999999</v>
      </c>
      <c r="L4754" s="2"/>
      <c r="M4754" s="2"/>
    </row>
    <row r="4755" spans="2:13">
      <c r="B4755" s="2"/>
      <c r="C4755" s="1">
        <v>27.121391209999999</v>
      </c>
      <c r="D4755" s="1">
        <v>7.5654155159999998</v>
      </c>
      <c r="E4755" s="1"/>
      <c r="H4755" s="2">
        <v>24.2205002</v>
      </c>
      <c r="I4755" s="2">
        <v>14.6916023</v>
      </c>
      <c r="J4755" s="2">
        <v>18.875653499999999</v>
      </c>
      <c r="L4755" s="2"/>
      <c r="M4755" s="2"/>
    </row>
    <row r="4756" spans="2:13">
      <c r="B4756" s="2"/>
      <c r="C4756" s="1">
        <v>57.949936059999999</v>
      </c>
      <c r="D4756" s="1">
        <v>0.55404961100000005</v>
      </c>
      <c r="E4756" s="1"/>
      <c r="H4756" s="2">
        <v>52.015784400000001</v>
      </c>
      <c r="I4756" s="2">
        <v>4.7572807399999997</v>
      </c>
      <c r="J4756" s="2">
        <v>7.4737854400000003</v>
      </c>
      <c r="L4756" s="2"/>
      <c r="M4756" s="2"/>
    </row>
    <row r="4757" spans="2:13">
      <c r="B4757" s="2"/>
      <c r="C4757" s="1">
        <v>13.16824448</v>
      </c>
      <c r="D4757" s="1">
        <v>80.739539089999994</v>
      </c>
      <c r="E4757" s="1"/>
      <c r="H4757" s="2">
        <v>21.531977099999999</v>
      </c>
      <c r="I4757" s="2">
        <v>45.163073699999998</v>
      </c>
      <c r="J4757" s="2">
        <v>6.3961698599999997</v>
      </c>
      <c r="L4757" s="2"/>
      <c r="M4757" s="2"/>
    </row>
    <row r="4758" spans="2:13">
      <c r="B4758" s="2"/>
      <c r="C4758" s="1">
        <v>20.262553180000001</v>
      </c>
      <c r="D4758" s="1">
        <v>2.0249194099999999</v>
      </c>
      <c r="E4758" s="1"/>
      <c r="H4758" s="2">
        <v>24.9104752</v>
      </c>
      <c r="I4758" s="2">
        <v>93.248921100000004</v>
      </c>
      <c r="J4758" s="2">
        <v>43.1741466</v>
      </c>
      <c r="L4758" s="2"/>
      <c r="M4758" s="2"/>
    </row>
    <row r="4759" spans="2:13">
      <c r="B4759" s="2"/>
      <c r="C4759" s="1">
        <v>11.055046150000001</v>
      </c>
      <c r="D4759" s="1">
        <v>3.4628100659999999</v>
      </c>
      <c r="E4759" s="1"/>
      <c r="H4759" s="2">
        <v>10.712456</v>
      </c>
      <c r="I4759" s="2">
        <v>14.9248023</v>
      </c>
      <c r="J4759" s="2">
        <v>101.956338</v>
      </c>
      <c r="L4759" s="2"/>
      <c r="M4759" s="2"/>
    </row>
    <row r="4760" spans="2:13">
      <c r="B4760" s="2"/>
      <c r="C4760" s="1">
        <v>3.839983261</v>
      </c>
      <c r="D4760" s="1">
        <v>1.3257615679999999</v>
      </c>
      <c r="E4760" s="1"/>
      <c r="H4760" s="2">
        <v>6.6320868700000002</v>
      </c>
      <c r="I4760" s="2">
        <v>37.793952500000003</v>
      </c>
      <c r="J4760" s="2">
        <v>8.5514010099999993</v>
      </c>
      <c r="L4760" s="2"/>
      <c r="M4760" s="2"/>
    </row>
    <row r="4761" spans="2:13">
      <c r="B4761" s="2"/>
      <c r="C4761" s="1">
        <v>15.02182131</v>
      </c>
      <c r="D4761" s="1">
        <v>273.34433289999998</v>
      </c>
      <c r="E4761" s="1"/>
      <c r="H4761" s="2">
        <v>47.756973500000001</v>
      </c>
      <c r="I4761" s="2">
        <v>40.638992999999999</v>
      </c>
      <c r="J4761" s="2">
        <v>27.3575309</v>
      </c>
      <c r="L4761" s="2"/>
      <c r="M4761" s="2"/>
    </row>
    <row r="4762" spans="2:13">
      <c r="B4762" s="2"/>
      <c r="C4762" s="1">
        <v>119.540611</v>
      </c>
      <c r="D4762" s="1">
        <v>0.19787486100000001</v>
      </c>
      <c r="E4762" s="1"/>
      <c r="H4762" s="2">
        <v>101.384682</v>
      </c>
      <c r="I4762" s="2">
        <v>41.727259799999999</v>
      </c>
      <c r="J4762" s="2">
        <v>44.599380099999998</v>
      </c>
      <c r="L4762" s="2"/>
      <c r="M4762" s="2"/>
    </row>
    <row r="4763" spans="2:13">
      <c r="B4763" s="2"/>
      <c r="C4763" s="1">
        <v>15.480687229999999</v>
      </c>
      <c r="D4763" s="1">
        <v>1.4972531140000001</v>
      </c>
      <c r="E4763" s="1"/>
      <c r="H4763" s="2">
        <v>16.672412099999999</v>
      </c>
      <c r="I4763" s="2">
        <v>45.9093138</v>
      </c>
      <c r="J4763" s="2">
        <v>43.243670199999997</v>
      </c>
      <c r="L4763" s="2"/>
      <c r="M4763" s="2"/>
    </row>
    <row r="4764" spans="2:13">
      <c r="B4764" s="2"/>
      <c r="C4764" s="1">
        <v>42.994529559999997</v>
      </c>
      <c r="D4764" s="1">
        <v>41.171162729999999</v>
      </c>
      <c r="E4764" s="1"/>
      <c r="H4764" s="2">
        <v>32.000562600000002</v>
      </c>
      <c r="I4764" s="2">
        <v>31.155524799999998</v>
      </c>
      <c r="J4764" s="2">
        <v>44.634141900000003</v>
      </c>
      <c r="L4764" s="2"/>
      <c r="M4764" s="2"/>
    </row>
    <row r="4765" spans="2:13">
      <c r="B4765" s="2"/>
      <c r="C4765" s="1">
        <v>20.141798990000002</v>
      </c>
      <c r="D4765" s="1">
        <v>0.29681229100000001</v>
      </c>
      <c r="E4765" s="1"/>
      <c r="H4765" s="2">
        <v>51.1533157</v>
      </c>
      <c r="I4765" s="2">
        <v>4.3686140099999999</v>
      </c>
      <c r="J4765" s="2">
        <v>21.795643999999999</v>
      </c>
      <c r="L4765" s="2"/>
      <c r="M4765" s="2"/>
    </row>
    <row r="4766" spans="2:13">
      <c r="B4766" s="2"/>
      <c r="C4766" s="1">
        <v>75.157408219999994</v>
      </c>
      <c r="D4766" s="1">
        <v>0.77171195800000003</v>
      </c>
      <c r="E4766" s="1"/>
      <c r="H4766" s="2">
        <v>50.766691799999997</v>
      </c>
      <c r="I4766" s="2">
        <v>14.4273089</v>
      </c>
      <c r="J4766" s="2">
        <v>4.3799858800000004</v>
      </c>
      <c r="L4766" s="2"/>
      <c r="M4766" s="2"/>
    </row>
    <row r="4767" spans="2:13">
      <c r="B4767" s="2"/>
      <c r="C4767" s="1">
        <v>11.61051542</v>
      </c>
      <c r="D4767" s="1">
        <v>10.41481351</v>
      </c>
      <c r="E4767" s="1"/>
      <c r="H4767" s="2">
        <v>48.256610500000001</v>
      </c>
      <c r="I4767" s="2">
        <v>2.87613378</v>
      </c>
      <c r="J4767" s="2">
        <v>18.4932737</v>
      </c>
      <c r="L4767" s="2"/>
      <c r="M4767" s="2"/>
    </row>
    <row r="4768" spans="2:13">
      <c r="B4768" s="2"/>
      <c r="C4768" s="1">
        <v>13.458054539999999</v>
      </c>
      <c r="D4768" s="1">
        <v>0.70575367099999997</v>
      </c>
      <c r="E4768" s="1"/>
      <c r="H4768" s="2">
        <v>23.0903688</v>
      </c>
      <c r="I4768" s="2">
        <v>7.2447477899999999</v>
      </c>
      <c r="J4768" s="2">
        <v>2.5028490799999998</v>
      </c>
      <c r="L4768" s="2"/>
      <c r="M4768" s="2"/>
    </row>
    <row r="4769" spans="2:13">
      <c r="B4769" s="2"/>
      <c r="C4769" s="1">
        <v>3.157722084</v>
      </c>
      <c r="D4769" s="1">
        <v>0.88384104500000005</v>
      </c>
      <c r="E4769" s="1"/>
      <c r="H4769" s="2">
        <v>4.4372527399999999</v>
      </c>
      <c r="I4769" s="2">
        <v>18.484989500000001</v>
      </c>
      <c r="J4769" s="2">
        <v>6.1180755199999997</v>
      </c>
      <c r="L4769" s="2"/>
      <c r="M4769" s="2"/>
    </row>
    <row r="4770" spans="2:13">
      <c r="B4770" s="2"/>
      <c r="C4770" s="1">
        <v>32.114576990000003</v>
      </c>
      <c r="D4770" s="1">
        <v>0.230854004</v>
      </c>
      <c r="E4770" s="1"/>
      <c r="H4770" s="2">
        <v>25.915697300000001</v>
      </c>
      <c r="I4770" s="2">
        <v>101.364282</v>
      </c>
      <c r="J4770" s="2">
        <v>14.1828114</v>
      </c>
      <c r="L4770" s="2"/>
      <c r="M4770" s="2"/>
    </row>
    <row r="4771" spans="2:13">
      <c r="B4771" s="2"/>
      <c r="C4771" s="1">
        <v>6.9494036680000004</v>
      </c>
      <c r="D4771" s="1">
        <v>0.60681624000000001</v>
      </c>
      <c r="E4771" s="1"/>
      <c r="H4771" s="2">
        <v>3.5866801599999998</v>
      </c>
      <c r="I4771" s="2">
        <v>13.261308700000001</v>
      </c>
      <c r="J4771" s="2">
        <v>119.78913799999999</v>
      </c>
      <c r="L4771" s="2"/>
      <c r="M4771" s="2"/>
    </row>
    <row r="4772" spans="2:13">
      <c r="B4772" s="2"/>
      <c r="C4772" s="1">
        <v>11.888250060000001</v>
      </c>
      <c r="D4772" s="1">
        <v>1.92598198</v>
      </c>
      <c r="E4772" s="1"/>
      <c r="H4772" s="2">
        <v>8.2261669400000006</v>
      </c>
      <c r="I4772" s="2">
        <v>17.163522700000001</v>
      </c>
      <c r="J4772" s="2">
        <v>9.1423514899999994</v>
      </c>
      <c r="L4772" s="2"/>
      <c r="M4772" s="2"/>
    </row>
    <row r="4773" spans="2:13">
      <c r="B4773" s="2"/>
      <c r="C4773" s="1">
        <v>64.404247549999994</v>
      </c>
      <c r="D4773" s="1">
        <v>0.46830383799999997</v>
      </c>
      <c r="E4773" s="1"/>
      <c r="H4773" s="2">
        <v>22.192211700000001</v>
      </c>
      <c r="I4773" s="2">
        <v>5.8455475699999999</v>
      </c>
      <c r="J4773" s="2">
        <v>20.196601600000001</v>
      </c>
      <c r="L4773" s="2"/>
      <c r="M4773" s="2"/>
    </row>
    <row r="4774" spans="2:13">
      <c r="B4774" s="2"/>
      <c r="C4774" s="1">
        <v>219.66998580000001</v>
      </c>
      <c r="D4774" s="1">
        <v>1.2532074529999999</v>
      </c>
      <c r="E4774" s="1"/>
      <c r="H4774" s="2">
        <v>106.35726</v>
      </c>
      <c r="I4774" s="2">
        <v>13.2457621</v>
      </c>
      <c r="J4774" s="2">
        <v>4.5537948500000001</v>
      </c>
      <c r="L4774" s="2"/>
      <c r="M4774" s="2"/>
    </row>
    <row r="4775" spans="2:13">
      <c r="B4775" s="2"/>
      <c r="C4775" s="1">
        <v>14.00748611</v>
      </c>
      <c r="D4775" s="1">
        <v>0.310003949</v>
      </c>
      <c r="E4775" s="1"/>
      <c r="H4775" s="2">
        <v>12.6753158</v>
      </c>
      <c r="I4775" s="2">
        <v>22.931336900000002</v>
      </c>
      <c r="J4775" s="2">
        <v>11.9580567</v>
      </c>
      <c r="L4775" s="2"/>
      <c r="M4775" s="2"/>
    </row>
    <row r="4776" spans="2:13">
      <c r="B4776" s="2"/>
      <c r="C4776" s="1">
        <v>11.45957269</v>
      </c>
      <c r="D4776" s="1">
        <v>0.59362458299999998</v>
      </c>
      <c r="E4776" s="1"/>
      <c r="H4776" s="2">
        <v>23.518629099999998</v>
      </c>
      <c r="I4776" s="2">
        <v>3.51354721</v>
      </c>
      <c r="J4776" s="2">
        <v>29.199905900000001</v>
      </c>
      <c r="L4776" s="2"/>
      <c r="M4776" s="2"/>
    </row>
    <row r="4777" spans="2:13">
      <c r="B4777" s="2"/>
      <c r="C4777" s="1">
        <v>4.781865947</v>
      </c>
      <c r="D4777" s="1">
        <v>0.244045662</v>
      </c>
      <c r="E4777" s="1"/>
      <c r="H4777" s="2">
        <v>6.9056976299999997</v>
      </c>
      <c r="I4777" s="2">
        <v>42.2869399</v>
      </c>
      <c r="J4777" s="2">
        <v>4.2061769199999999</v>
      </c>
      <c r="L4777" s="2"/>
      <c r="M4777" s="2"/>
    </row>
    <row r="4778" spans="2:13">
      <c r="B4778" s="2"/>
      <c r="C4778" s="1">
        <v>7.0460070210000003</v>
      </c>
      <c r="D4778" s="1">
        <v>2.0974735259999999</v>
      </c>
      <c r="E4778" s="1"/>
      <c r="H4778" s="2">
        <v>13.989837</v>
      </c>
      <c r="I4778" s="2">
        <v>10.665015</v>
      </c>
      <c r="J4778" s="2">
        <v>40.0108234</v>
      </c>
      <c r="L4778" s="2"/>
      <c r="M4778" s="2"/>
    </row>
    <row r="4779" spans="2:13">
      <c r="B4779" s="2"/>
      <c r="C4779" s="1">
        <v>35.290412199999999</v>
      </c>
      <c r="D4779" s="1">
        <v>0.66617869799999996</v>
      </c>
      <c r="E4779" s="1"/>
      <c r="H4779" s="2">
        <v>39.185819100000003</v>
      </c>
      <c r="I4779" s="2">
        <v>9.7011215100000001</v>
      </c>
      <c r="J4779" s="2">
        <v>11.9928185</v>
      </c>
      <c r="L4779" s="2"/>
      <c r="M4779" s="2"/>
    </row>
    <row r="4780" spans="2:13">
      <c r="B4780" s="2"/>
      <c r="C4780" s="1">
        <v>6.4120475199999998</v>
      </c>
      <c r="D4780" s="1">
        <v>0.224258176</v>
      </c>
      <c r="E4780" s="1"/>
      <c r="H4780" s="2">
        <v>6.0789172899999997</v>
      </c>
      <c r="I4780" s="2">
        <v>2.78285377</v>
      </c>
      <c r="J4780" s="2">
        <v>9.1075897000000001</v>
      </c>
      <c r="L4780" s="2"/>
      <c r="M4780" s="2"/>
    </row>
    <row r="4781" spans="2:13">
      <c r="B4781" s="2"/>
      <c r="C4781" s="1">
        <v>40.63378513</v>
      </c>
      <c r="D4781" s="1">
        <v>0.62660372600000003</v>
      </c>
      <c r="E4781" s="1"/>
      <c r="H4781" s="2">
        <v>47.126479099999997</v>
      </c>
      <c r="I4781" s="2">
        <v>32.010591599999998</v>
      </c>
      <c r="J4781" s="2">
        <v>5.2490306999999996</v>
      </c>
      <c r="L4781" s="2"/>
      <c r="M4781" s="2"/>
    </row>
    <row r="4782" spans="2:13">
      <c r="B4782" s="2"/>
      <c r="C4782" s="1">
        <v>3.3931927549999998</v>
      </c>
      <c r="D4782" s="1">
        <v>0.50128298100000002</v>
      </c>
      <c r="E4782" s="1"/>
      <c r="H4782" s="2">
        <v>16.797321400000001</v>
      </c>
      <c r="I4782" s="2">
        <v>14.4584022</v>
      </c>
      <c r="J4782" s="2">
        <v>25.167537899999999</v>
      </c>
      <c r="L4782" s="2"/>
      <c r="M4782" s="2"/>
    </row>
    <row r="4783" spans="2:13">
      <c r="B4783" s="2"/>
      <c r="C4783" s="1">
        <v>21.125945640000001</v>
      </c>
      <c r="D4783" s="1">
        <v>0.96958681899999999</v>
      </c>
      <c r="E4783" s="1"/>
      <c r="H4783" s="2">
        <v>9.7488702899999993</v>
      </c>
      <c r="I4783" s="2">
        <v>3.8555739299999998</v>
      </c>
      <c r="J4783" s="2">
        <v>11.3671062</v>
      </c>
      <c r="L4783" s="2"/>
      <c r="M4783" s="2"/>
    </row>
    <row r="4784" spans="2:13">
      <c r="B4784" s="2"/>
      <c r="C4784" s="1">
        <v>5.874691372</v>
      </c>
      <c r="D4784" s="1">
        <v>4.3136719680000004</v>
      </c>
      <c r="E4784" s="1"/>
      <c r="H4784" s="2">
        <v>4.2826031799999997</v>
      </c>
      <c r="I4784" s="2">
        <v>24.563737100000001</v>
      </c>
      <c r="J4784" s="2">
        <v>3.0242759700000001</v>
      </c>
      <c r="L4784" s="2"/>
      <c r="M4784" s="2"/>
    </row>
    <row r="4785" spans="2:13">
      <c r="B4785" s="2"/>
      <c r="C4785" s="1">
        <v>50.752986300000003</v>
      </c>
      <c r="D4785" s="1">
        <v>6.8860451600000001</v>
      </c>
      <c r="E4785" s="1"/>
      <c r="H4785" s="2">
        <v>39.869846000000003</v>
      </c>
      <c r="I4785" s="2">
        <v>24.890217199999999</v>
      </c>
      <c r="J4785" s="2">
        <v>15.7818539</v>
      </c>
      <c r="L4785" s="2"/>
      <c r="M4785" s="2"/>
    </row>
    <row r="4786" spans="2:13">
      <c r="B4786" s="2"/>
      <c r="C4786" s="1">
        <v>5.1139399709999998</v>
      </c>
      <c r="D4786" s="1">
        <v>199.03572679999999</v>
      </c>
      <c r="E4786" s="1"/>
      <c r="H4786" s="2">
        <v>18.290284400000001</v>
      </c>
      <c r="I4786" s="2">
        <v>32.072778300000003</v>
      </c>
      <c r="J4786" s="2">
        <v>23.1861158</v>
      </c>
      <c r="L4786" s="2"/>
      <c r="M4786" s="2"/>
    </row>
    <row r="4787" spans="2:13">
      <c r="B4787" s="2"/>
      <c r="C4787" s="1">
        <v>6.9011019920000001</v>
      </c>
      <c r="D4787" s="1">
        <v>2.4866274189999999</v>
      </c>
      <c r="E4787" s="1"/>
      <c r="H4787" s="2">
        <v>3.96140794</v>
      </c>
      <c r="I4787" s="2">
        <v>35.384218799999999</v>
      </c>
      <c r="J4787" s="2">
        <v>29.8951417</v>
      </c>
      <c r="L4787" s="2"/>
      <c r="M4787" s="2"/>
    </row>
    <row r="4788" spans="2:13">
      <c r="B4788" s="2"/>
      <c r="C4788" s="1">
        <v>5.325259805</v>
      </c>
      <c r="D4788" s="1">
        <v>3.1462102889999999</v>
      </c>
      <c r="E4788" s="1"/>
      <c r="H4788" s="2">
        <v>13.995785100000001</v>
      </c>
      <c r="I4788" s="2">
        <v>84.511693100000002</v>
      </c>
      <c r="J4788" s="2">
        <v>36.082740899999997</v>
      </c>
      <c r="L4788" s="2"/>
      <c r="M4788" s="2"/>
    </row>
    <row r="4789" spans="2:13">
      <c r="B4789" s="2"/>
      <c r="C4789" s="1">
        <v>10.87995257</v>
      </c>
      <c r="D4789" s="1">
        <v>0.86405355900000003</v>
      </c>
      <c r="E4789" s="1"/>
      <c r="H4789" s="2">
        <v>25.808632200000002</v>
      </c>
      <c r="I4789" s="2">
        <v>19.293416300000001</v>
      </c>
      <c r="J4789" s="2">
        <v>64.900266999999999</v>
      </c>
      <c r="L4789" s="2"/>
      <c r="M4789" s="2"/>
    </row>
    <row r="4790" spans="2:13">
      <c r="B4790" s="2"/>
      <c r="C4790" s="1">
        <v>29.16213703</v>
      </c>
      <c r="D4790" s="1">
        <v>1.0157576189999999</v>
      </c>
      <c r="E4790" s="1"/>
      <c r="H4790" s="2">
        <v>30.525443800000001</v>
      </c>
      <c r="I4790" s="2">
        <v>22.9157902</v>
      </c>
      <c r="J4790" s="2">
        <v>16.164233599999999</v>
      </c>
      <c r="L4790" s="2"/>
      <c r="M4790" s="2"/>
    </row>
    <row r="4791" spans="2:13">
      <c r="B4791" s="2"/>
      <c r="C4791" s="1">
        <v>55.335607840000002</v>
      </c>
      <c r="D4791" s="1">
        <v>4.8215507779999998</v>
      </c>
      <c r="E4791" s="1"/>
      <c r="H4791" s="2">
        <v>42.629745800000002</v>
      </c>
      <c r="I4791" s="2">
        <v>71.918891200000004</v>
      </c>
      <c r="J4791" s="2">
        <v>29.443238399999998</v>
      </c>
      <c r="L4791" s="2"/>
      <c r="M4791" s="2"/>
    </row>
    <row r="4792" spans="2:13">
      <c r="B4792" s="2"/>
      <c r="C4792" s="1">
        <v>181.39694510000001</v>
      </c>
      <c r="D4792" s="1">
        <v>13.785281980000001</v>
      </c>
      <c r="E4792" s="1"/>
      <c r="H4792" s="2">
        <v>73.946281499999998</v>
      </c>
      <c r="I4792" s="2">
        <v>14.4428556</v>
      </c>
      <c r="J4792" s="2">
        <v>58.643144300000003</v>
      </c>
      <c r="L4792" s="2"/>
      <c r="M4792" s="2"/>
    </row>
    <row r="4793" spans="2:13">
      <c r="B4793" s="2"/>
      <c r="C4793" s="1">
        <v>37.0654988</v>
      </c>
      <c r="D4793" s="1">
        <v>0.89043687400000004</v>
      </c>
      <c r="E4793" s="1"/>
      <c r="H4793" s="2">
        <v>20.514858799999999</v>
      </c>
      <c r="I4793" s="2">
        <v>40.079312899999998</v>
      </c>
      <c r="J4793" s="2">
        <v>9.0380661100000008</v>
      </c>
      <c r="L4793" s="2"/>
      <c r="M4793" s="2"/>
    </row>
    <row r="4794" spans="2:13">
      <c r="B4794" s="2"/>
      <c r="C4794" s="1">
        <v>51.682793570000001</v>
      </c>
      <c r="D4794" s="1">
        <v>0.73873281400000002</v>
      </c>
      <c r="E4794" s="1"/>
      <c r="H4794" s="2">
        <v>34.225137099999998</v>
      </c>
      <c r="I4794" s="2">
        <v>65.575850200000005</v>
      </c>
      <c r="J4794" s="2">
        <v>24.1942077</v>
      </c>
      <c r="L4794" s="2"/>
      <c r="M4794" s="2"/>
    </row>
    <row r="4795" spans="2:13">
      <c r="B4795" s="2"/>
      <c r="C4795" s="1">
        <v>80.422290930000003</v>
      </c>
      <c r="D4795" s="1">
        <v>2.6383315000000001E-2</v>
      </c>
      <c r="E4795" s="1"/>
      <c r="H4795" s="2">
        <v>66.707492599999995</v>
      </c>
      <c r="I4795" s="2">
        <v>234.27275599999999</v>
      </c>
      <c r="J4795" s="2">
        <v>56.209818800000001</v>
      </c>
      <c r="L4795" s="2"/>
      <c r="M4795" s="2"/>
    </row>
    <row r="4796" spans="2:13">
      <c r="B4796" s="2"/>
      <c r="C4796" s="1">
        <v>10.686745869999999</v>
      </c>
      <c r="D4796" s="1">
        <v>0.68596618499999995</v>
      </c>
      <c r="E4796" s="1"/>
      <c r="H4796" s="2">
        <v>21.585509600000002</v>
      </c>
      <c r="I4796" s="2">
        <v>50.262381099999999</v>
      </c>
      <c r="J4796" s="2">
        <v>218.547391</v>
      </c>
      <c r="L4796" s="2"/>
      <c r="M4796" s="2"/>
    </row>
    <row r="4797" spans="2:13">
      <c r="B4797" s="2"/>
      <c r="C4797" s="1">
        <v>13.886731920000001</v>
      </c>
      <c r="D4797" s="1">
        <v>3.1330186310000001</v>
      </c>
      <c r="E4797" s="1"/>
      <c r="H4797" s="2">
        <v>24.809358100000001</v>
      </c>
      <c r="I4797" s="2">
        <v>32.694645100000002</v>
      </c>
      <c r="J4797" s="2">
        <v>33.649415400000002</v>
      </c>
      <c r="L4797" s="2"/>
      <c r="M4797" s="2"/>
    </row>
    <row r="4798" spans="2:13">
      <c r="B4798" s="2"/>
      <c r="C4798" s="1">
        <v>54.134103639999999</v>
      </c>
      <c r="D4798" s="1">
        <v>0.63319955500000003</v>
      </c>
      <c r="E4798" s="1"/>
      <c r="H4798" s="2">
        <v>79.840808999999993</v>
      </c>
      <c r="I4798" s="2">
        <v>1.1038135</v>
      </c>
      <c r="J4798" s="2">
        <v>32.919417699999997</v>
      </c>
      <c r="L4798" s="2"/>
      <c r="M4798" s="2"/>
    </row>
    <row r="4799" spans="2:13">
      <c r="B4799" s="2"/>
      <c r="C4799" s="1">
        <v>196.78102899999999</v>
      </c>
      <c r="D4799" s="1">
        <v>1.226824138</v>
      </c>
      <c r="E4799" s="1"/>
      <c r="H4799" s="2">
        <v>209.27654200000001</v>
      </c>
      <c r="I4799" s="2">
        <v>16.9303226</v>
      </c>
      <c r="J4799" s="2">
        <v>1.00809199</v>
      </c>
      <c r="L4799" s="2"/>
      <c r="M4799" s="2"/>
    </row>
    <row r="4800" spans="2:13">
      <c r="B4800" s="2"/>
      <c r="C4800" s="1">
        <v>33.799097940000003</v>
      </c>
      <c r="D4800" s="1">
        <v>1.371932369</v>
      </c>
      <c r="E4800" s="1"/>
      <c r="H4800" s="2">
        <v>46.466244500000002</v>
      </c>
      <c r="I4800" s="2">
        <v>39.270886099999998</v>
      </c>
      <c r="J4800" s="2">
        <v>10.741394</v>
      </c>
      <c r="L4800" s="2"/>
      <c r="M4800" s="2"/>
    </row>
    <row r="4801" spans="2:13">
      <c r="B4801" s="2"/>
      <c r="C4801" s="1">
        <v>15.22710343</v>
      </c>
      <c r="D4801" s="1">
        <v>280.4810195</v>
      </c>
      <c r="E4801" s="1"/>
      <c r="H4801" s="2">
        <v>29.2228186</v>
      </c>
      <c r="I4801" s="2">
        <v>19.7753631</v>
      </c>
      <c r="J4801" s="2">
        <v>51.5517386</v>
      </c>
      <c r="L4801" s="2"/>
      <c r="M4801" s="2"/>
    </row>
    <row r="4802" spans="2:13">
      <c r="B4802" s="2"/>
      <c r="C4802" s="1">
        <v>0.72452514400000001</v>
      </c>
      <c r="D4802" s="1">
        <v>0.53426212500000003</v>
      </c>
      <c r="E4802" s="1"/>
      <c r="H4802" s="2">
        <v>1.74278157</v>
      </c>
      <c r="I4802" s="2">
        <v>10.3229883</v>
      </c>
      <c r="J4802" s="2">
        <v>14.6347147</v>
      </c>
      <c r="L4802" s="2"/>
      <c r="M4802" s="2"/>
    </row>
    <row r="4803" spans="2:13">
      <c r="B4803" s="2"/>
      <c r="C4803" s="1">
        <v>20.353118819999999</v>
      </c>
      <c r="D4803" s="1">
        <v>9.2341601999999995E-2</v>
      </c>
      <c r="E4803" s="1"/>
      <c r="H4803" s="2">
        <v>11.7652626</v>
      </c>
      <c r="I4803" s="2">
        <v>9.8099481900000001</v>
      </c>
      <c r="J4803" s="2">
        <v>10.393776000000001</v>
      </c>
      <c r="L4803" s="2"/>
      <c r="M4803" s="2"/>
    </row>
    <row r="4804" spans="2:13">
      <c r="B4804" s="2"/>
      <c r="C4804" s="1">
        <v>76.413251799999998</v>
      </c>
      <c r="D4804" s="1">
        <v>1.965556952</v>
      </c>
      <c r="E4804" s="1"/>
      <c r="H4804" s="2">
        <v>26.462918800000001</v>
      </c>
      <c r="I4804" s="2">
        <v>26.942377499999999</v>
      </c>
      <c r="J4804" s="2">
        <v>10.428537800000001</v>
      </c>
      <c r="L4804" s="2"/>
      <c r="M4804" s="2"/>
    </row>
    <row r="4805" spans="2:13">
      <c r="B4805" s="2"/>
      <c r="C4805" s="1">
        <v>16.742568519999999</v>
      </c>
      <c r="D4805" s="1">
        <v>1.662148832</v>
      </c>
      <c r="E4805" s="1"/>
      <c r="H4805" s="2">
        <v>20.782521500000001</v>
      </c>
      <c r="I4805" s="2">
        <v>9.87213487</v>
      </c>
      <c r="J4805" s="2">
        <v>30.555615800000002</v>
      </c>
      <c r="L4805" s="2"/>
      <c r="M4805" s="2"/>
    </row>
    <row r="4806" spans="2:13">
      <c r="B4806" s="2"/>
      <c r="C4806" s="1">
        <v>16.024081089999999</v>
      </c>
      <c r="D4806" s="1">
        <v>4.3598427690000001</v>
      </c>
      <c r="E4806" s="1"/>
      <c r="H4806" s="2">
        <v>11.176404700000001</v>
      </c>
      <c r="I4806" s="2">
        <v>3.4047205300000001</v>
      </c>
      <c r="J4806" s="2">
        <v>11.401868</v>
      </c>
      <c r="L4806" s="2"/>
      <c r="M4806" s="2"/>
    </row>
    <row r="4807" spans="2:13">
      <c r="B4807" s="2"/>
      <c r="C4807" s="1">
        <v>41.956043520000001</v>
      </c>
      <c r="D4807" s="1">
        <v>11.747170909999999</v>
      </c>
      <c r="E4807" s="1"/>
      <c r="H4807" s="2">
        <v>13.3474466</v>
      </c>
      <c r="I4807" s="2">
        <v>43.577313400000001</v>
      </c>
      <c r="J4807" s="2">
        <v>2.95475238</v>
      </c>
      <c r="L4807" s="2"/>
      <c r="M4807" s="2"/>
    </row>
    <row r="4808" spans="2:13">
      <c r="B4808" s="2"/>
      <c r="C4808" s="1">
        <v>21.989338109999998</v>
      </c>
      <c r="D4808" s="1">
        <v>0.98277847600000001</v>
      </c>
      <c r="E4808" s="1"/>
      <c r="H4808" s="2">
        <v>30.840690899999998</v>
      </c>
      <c r="I4808" s="2">
        <v>29.227737900000001</v>
      </c>
      <c r="J4808" s="2">
        <v>38.828922499999997</v>
      </c>
      <c r="L4808" s="2"/>
      <c r="M4808" s="2"/>
    </row>
    <row r="4809" spans="2:13">
      <c r="B4809" s="2"/>
      <c r="C4809" s="1">
        <v>5.3494106429999997</v>
      </c>
      <c r="D4809" s="1">
        <v>5.7119876520000004</v>
      </c>
      <c r="E4809" s="1"/>
      <c r="H4809" s="2">
        <v>13.389082999999999</v>
      </c>
      <c r="I4809" s="2">
        <v>24.066243700000001</v>
      </c>
      <c r="J4809" s="2">
        <v>29.165144099999999</v>
      </c>
      <c r="L4809" s="2"/>
      <c r="M4809" s="2"/>
    </row>
    <row r="4810" spans="2:13">
      <c r="B4810" s="2"/>
      <c r="C4810" s="1">
        <v>6.8769511540000003</v>
      </c>
      <c r="D4810" s="1">
        <v>0.17808737499999999</v>
      </c>
      <c r="E4810" s="1"/>
      <c r="H4810" s="2">
        <v>4.1279536200000004</v>
      </c>
      <c r="I4810" s="2">
        <v>124.824206</v>
      </c>
      <c r="J4810" s="2">
        <v>27.7051488</v>
      </c>
      <c r="L4810" s="2"/>
      <c r="M4810" s="2"/>
    </row>
    <row r="4811" spans="2:13">
      <c r="B4811" s="2"/>
      <c r="C4811" s="1">
        <v>38.194550479999997</v>
      </c>
      <c r="D4811" s="1">
        <v>1.193844994</v>
      </c>
      <c r="E4811" s="1"/>
      <c r="H4811" s="2">
        <v>38.775402900000003</v>
      </c>
      <c r="I4811" s="2">
        <v>12.126401899999999</v>
      </c>
      <c r="J4811" s="2">
        <v>98.862538499999999</v>
      </c>
      <c r="L4811" s="2"/>
      <c r="M4811" s="2"/>
    </row>
    <row r="4812" spans="2:13">
      <c r="B4812" s="2"/>
      <c r="C4812" s="1">
        <v>39.583223670000002</v>
      </c>
      <c r="D4812" s="1">
        <v>0.474899666</v>
      </c>
      <c r="E4812" s="1"/>
      <c r="H4812" s="2">
        <v>39.060909799999997</v>
      </c>
      <c r="I4812" s="2">
        <v>51.257368</v>
      </c>
      <c r="J4812" s="2">
        <v>9.5594929999999998</v>
      </c>
      <c r="L4812" s="2"/>
      <c r="M4812" s="2"/>
    </row>
    <row r="4813" spans="2:13">
      <c r="B4813" s="2"/>
      <c r="C4813" s="1">
        <v>12.757680239999999</v>
      </c>
      <c r="D4813" s="1">
        <v>0.158299889</v>
      </c>
      <c r="E4813" s="1"/>
      <c r="H4813" s="2">
        <v>29.585650300000001</v>
      </c>
      <c r="I4813" s="2">
        <v>7.5401344999999997</v>
      </c>
      <c r="J4813" s="2">
        <v>59.581712699999997</v>
      </c>
      <c r="L4813" s="2"/>
      <c r="M4813" s="2"/>
    </row>
    <row r="4814" spans="2:13">
      <c r="B4814" s="2"/>
      <c r="C4814" s="1">
        <v>225.43599839999999</v>
      </c>
      <c r="D4814" s="1">
        <v>0.96958681899999999</v>
      </c>
      <c r="E4814" s="1"/>
      <c r="H4814" s="2">
        <v>123.933778</v>
      </c>
      <c r="I4814" s="2">
        <v>35.835072199999999</v>
      </c>
      <c r="J4814" s="2">
        <v>4.8318891900000001</v>
      </c>
      <c r="L4814" s="2"/>
      <c r="M4814" s="2"/>
    </row>
    <row r="4815" spans="2:13">
      <c r="B4815" s="2"/>
      <c r="C4815" s="1">
        <v>9.0867528409999991</v>
      </c>
      <c r="D4815" s="1">
        <v>0.43532469400000001</v>
      </c>
      <c r="E4815" s="1"/>
      <c r="H4815" s="2">
        <v>14.834461599999999</v>
      </c>
      <c r="I4815" s="2">
        <v>37.343099100000003</v>
      </c>
      <c r="J4815" s="2">
        <v>16.859469499999999</v>
      </c>
      <c r="L4815" s="2"/>
      <c r="M4815" s="2"/>
    </row>
    <row r="4816" spans="2:13">
      <c r="B4816" s="2"/>
      <c r="C4816" s="1">
        <v>92.829784009999997</v>
      </c>
      <c r="D4816" s="1">
        <v>0.72554115699999999</v>
      </c>
      <c r="E4816" s="1"/>
      <c r="H4816" s="2">
        <v>73.684566899999993</v>
      </c>
      <c r="I4816" s="2">
        <v>2.9227737899999999</v>
      </c>
      <c r="J4816" s="2">
        <v>17.276610999999999</v>
      </c>
      <c r="L4816" s="2"/>
      <c r="M4816" s="2"/>
    </row>
    <row r="4817" spans="2:13">
      <c r="B4817" s="2"/>
      <c r="C4817" s="1">
        <v>5.1743170669999996</v>
      </c>
      <c r="D4817" s="1">
        <v>0.21766234700000001</v>
      </c>
      <c r="E4817" s="1"/>
      <c r="H4817" s="2">
        <v>6.9770743399999997</v>
      </c>
      <c r="I4817" s="2">
        <v>38.571286000000001</v>
      </c>
      <c r="J4817" s="2">
        <v>3.3023703100000001</v>
      </c>
      <c r="L4817" s="2"/>
      <c r="M4817" s="2"/>
    </row>
    <row r="4818" spans="2:13">
      <c r="B4818" s="2"/>
      <c r="C4818" s="1">
        <v>41.273782339999997</v>
      </c>
      <c r="D4818" s="1">
        <v>0.63319955500000003</v>
      </c>
      <c r="E4818" s="1"/>
      <c r="H4818" s="2">
        <v>24.500059</v>
      </c>
      <c r="I4818" s="2">
        <v>17.9253094</v>
      </c>
      <c r="J4818" s="2">
        <v>25.306585099999999</v>
      </c>
      <c r="L4818" s="2"/>
      <c r="M4818" s="2"/>
    </row>
    <row r="4819" spans="2:13">
      <c r="B4819" s="2"/>
      <c r="C4819" s="1">
        <v>14.798426060000001</v>
      </c>
      <c r="D4819" s="1">
        <v>0.46830383799999997</v>
      </c>
      <c r="E4819" s="1"/>
      <c r="H4819" s="2">
        <v>25.529073400000001</v>
      </c>
      <c r="I4819" s="2">
        <v>11.7532818</v>
      </c>
      <c r="J4819" s="2">
        <v>11.019488300000001</v>
      </c>
      <c r="L4819" s="2"/>
      <c r="M4819" s="2"/>
    </row>
    <row r="4820" spans="2:13">
      <c r="B4820" s="2"/>
      <c r="C4820" s="1">
        <v>3.6830028129999999</v>
      </c>
      <c r="D4820" s="1">
        <v>1.3455490539999999</v>
      </c>
      <c r="E4820" s="1"/>
      <c r="H4820" s="2">
        <v>3.7294336000000001</v>
      </c>
      <c r="I4820" s="2">
        <v>4.7572807399999997</v>
      </c>
      <c r="J4820" s="2">
        <v>11.9580567</v>
      </c>
      <c r="L4820" s="2"/>
      <c r="M4820" s="2"/>
    </row>
    <row r="4821" spans="2:13">
      <c r="B4821" s="2"/>
      <c r="C4821" s="1">
        <v>24.676118850000002</v>
      </c>
      <c r="D4821" s="1">
        <v>1.510444772</v>
      </c>
      <c r="E4821" s="1"/>
      <c r="H4821" s="2">
        <v>33.838513200000001</v>
      </c>
      <c r="I4821" s="2">
        <v>12.934828700000001</v>
      </c>
      <c r="J4821" s="2">
        <v>6.2223609</v>
      </c>
      <c r="L4821" s="2"/>
      <c r="M4821" s="2"/>
    </row>
    <row r="4822" spans="2:13">
      <c r="B4822" s="2"/>
      <c r="C4822" s="1">
        <v>8.0180782550000007</v>
      </c>
      <c r="D4822" s="1">
        <v>0.12532074500000001</v>
      </c>
      <c r="E4822" s="1"/>
      <c r="H4822" s="2">
        <v>14.5013702</v>
      </c>
      <c r="I4822" s="2">
        <v>7.9132545600000004</v>
      </c>
      <c r="J4822" s="2">
        <v>7.4737854400000003</v>
      </c>
      <c r="L4822" s="2"/>
      <c r="M4822" s="2"/>
    </row>
    <row r="4823" spans="2:13">
      <c r="B4823" s="2"/>
      <c r="C4823" s="1">
        <v>7.4565712690000003</v>
      </c>
      <c r="D4823" s="1">
        <v>0.35617474999999998</v>
      </c>
      <c r="E4823" s="1"/>
      <c r="H4823" s="2">
        <v>15.821839499999999</v>
      </c>
      <c r="I4823" s="2">
        <v>41.291953100000001</v>
      </c>
      <c r="J4823" s="2">
        <v>5.6314104199999999</v>
      </c>
      <c r="L4823" s="2"/>
      <c r="M4823" s="2"/>
    </row>
    <row r="4824" spans="2:13">
      <c r="B4824" s="2"/>
      <c r="C4824" s="1">
        <v>4.0452653850000004</v>
      </c>
      <c r="D4824" s="1">
        <v>0.39574972200000003</v>
      </c>
      <c r="E4824" s="1"/>
      <c r="H4824" s="2">
        <v>7.4350749599999997</v>
      </c>
      <c r="I4824" s="2">
        <v>15.344562399999999</v>
      </c>
      <c r="J4824" s="2">
        <v>32.119896500000003</v>
      </c>
      <c r="L4824" s="2"/>
      <c r="M4824" s="2"/>
    </row>
    <row r="4825" spans="2:13">
      <c r="B4825" s="2"/>
      <c r="C4825" s="1">
        <v>9.2739218369999996</v>
      </c>
      <c r="D4825" s="1">
        <v>0.78490361500000005</v>
      </c>
      <c r="E4825" s="1"/>
      <c r="H4825" s="2">
        <v>10.890897799999999</v>
      </c>
      <c r="I4825" s="2">
        <v>2.7362137600000001</v>
      </c>
      <c r="J4825" s="2">
        <v>16.129471800000001</v>
      </c>
      <c r="L4825" s="2"/>
      <c r="M4825" s="2"/>
    </row>
    <row r="4826" spans="2:13">
      <c r="B4826" s="2"/>
      <c r="C4826" s="1">
        <v>12.04523051</v>
      </c>
      <c r="D4826" s="1">
        <v>283.42935499999999</v>
      </c>
      <c r="E4826" s="1"/>
      <c r="H4826" s="2">
        <v>8.0417770799999992</v>
      </c>
      <c r="I4826" s="2">
        <v>29.787417999999999</v>
      </c>
      <c r="J4826" s="2">
        <v>3.8933207900000002</v>
      </c>
      <c r="L4826" s="2"/>
      <c r="M4826" s="2"/>
    </row>
    <row r="4827" spans="2:13">
      <c r="B4827" s="2"/>
      <c r="C4827" s="1">
        <v>13.21654616</v>
      </c>
      <c r="D4827" s="1">
        <v>88.924962500000007</v>
      </c>
      <c r="E4827" s="1"/>
      <c r="H4827" s="2">
        <v>31.036976899999999</v>
      </c>
      <c r="I4827" s="2">
        <v>4.8350140799999997</v>
      </c>
      <c r="J4827" s="2">
        <v>18.354226600000001</v>
      </c>
      <c r="L4827" s="2"/>
      <c r="M4827" s="2"/>
    </row>
    <row r="4828" spans="2:13">
      <c r="B4828" s="2"/>
      <c r="C4828" s="1">
        <v>33.684381459999997</v>
      </c>
      <c r="D4828" s="1">
        <v>0.39574972200000003</v>
      </c>
      <c r="E4828" s="1"/>
      <c r="H4828" s="2">
        <v>20.288832599999999</v>
      </c>
      <c r="I4828" s="2">
        <v>19.5110697</v>
      </c>
      <c r="J4828" s="2">
        <v>3.5109410699999999</v>
      </c>
      <c r="L4828" s="2"/>
      <c r="M4828" s="2"/>
    </row>
    <row r="4829" spans="2:13">
      <c r="B4829" s="2"/>
      <c r="C4829" s="1">
        <v>3.6407388460000001</v>
      </c>
      <c r="D4829" s="1">
        <v>144.1914112</v>
      </c>
      <c r="E4829" s="1"/>
      <c r="H4829" s="2">
        <v>5.7577220499999999</v>
      </c>
      <c r="I4829" s="2">
        <v>32.896751799999997</v>
      </c>
      <c r="J4829" s="2">
        <v>8.8990189399999995</v>
      </c>
      <c r="L4829" s="2"/>
      <c r="M4829" s="2"/>
    </row>
    <row r="4830" spans="2:13">
      <c r="B4830" s="2"/>
      <c r="C4830" s="1">
        <v>2.9162137029999999</v>
      </c>
      <c r="D4830" s="1">
        <v>0.20447069000000001</v>
      </c>
      <c r="E4830" s="1"/>
      <c r="H4830" s="2">
        <v>33.767136399999998</v>
      </c>
      <c r="I4830" s="2">
        <v>8.0687212499999994</v>
      </c>
      <c r="J4830" s="2">
        <v>34.900839900000001</v>
      </c>
      <c r="L4830" s="2"/>
      <c r="M4830" s="2"/>
    </row>
    <row r="4831" spans="2:13">
      <c r="B4831" s="2"/>
      <c r="C4831" s="1">
        <v>10.55995397</v>
      </c>
      <c r="D4831" s="1">
        <v>0.91022435999999995</v>
      </c>
      <c r="E4831" s="1"/>
      <c r="H4831" s="2">
        <v>5.4365268100000002</v>
      </c>
      <c r="I4831" s="2">
        <v>7.6334145199999996</v>
      </c>
      <c r="J4831" s="2">
        <v>7.5433090199999997</v>
      </c>
      <c r="L4831" s="2"/>
      <c r="M4831" s="2"/>
    </row>
    <row r="4832" spans="2:13">
      <c r="B4832" s="2"/>
      <c r="C4832" s="1">
        <v>18.004449820000001</v>
      </c>
      <c r="D4832" s="1">
        <v>116.60765550000001</v>
      </c>
      <c r="E4832" s="1"/>
      <c r="H4832" s="2">
        <v>16.6248276</v>
      </c>
      <c r="I4832" s="2">
        <v>9.3435481199999995</v>
      </c>
      <c r="J4832" s="2">
        <v>6.2223609</v>
      </c>
      <c r="L4832" s="2"/>
      <c r="M4832" s="2"/>
    </row>
    <row r="4833" spans="2:13">
      <c r="B4833" s="2"/>
      <c r="C4833" s="1">
        <v>69.89856322</v>
      </c>
      <c r="D4833" s="1">
        <v>1.193844994</v>
      </c>
      <c r="E4833" s="1"/>
      <c r="H4833" s="2">
        <v>39.6319236</v>
      </c>
      <c r="I4833" s="2">
        <v>7.2758411299999999</v>
      </c>
      <c r="J4833" s="2">
        <v>4.9361745700000004</v>
      </c>
      <c r="L4833" s="2"/>
      <c r="M4833" s="2"/>
    </row>
    <row r="4834" spans="2:13">
      <c r="B4834" s="2"/>
      <c r="C4834" s="1">
        <v>8.3199637309999996</v>
      </c>
      <c r="D4834" s="1">
        <v>2.842802169</v>
      </c>
      <c r="E4834" s="1"/>
      <c r="H4834" s="2">
        <v>10.2485073</v>
      </c>
      <c r="I4834" s="2">
        <v>10.494001600000001</v>
      </c>
      <c r="J4834" s="2">
        <v>3.8237972</v>
      </c>
      <c r="L4834" s="2"/>
      <c r="M4834" s="2"/>
    </row>
    <row r="4835" spans="2:13">
      <c r="B4835" s="2"/>
      <c r="C4835" s="1">
        <v>6.3335572960000004</v>
      </c>
      <c r="D4835" s="1">
        <v>7.7303112340000002</v>
      </c>
      <c r="E4835" s="1"/>
      <c r="H4835" s="2">
        <v>9.2313890700000005</v>
      </c>
      <c r="I4835" s="2">
        <v>25.076777199999999</v>
      </c>
      <c r="J4835" s="2">
        <v>8.3775920500000005</v>
      </c>
      <c r="L4835" s="2"/>
      <c r="M4835" s="2"/>
    </row>
    <row r="4836" spans="2:13">
      <c r="B4836" s="2"/>
      <c r="C4836" s="1">
        <v>7.7765698739999998</v>
      </c>
      <c r="D4836" s="1">
        <v>1.596190545</v>
      </c>
      <c r="E4836" s="1"/>
      <c r="H4836" s="2">
        <v>6.0432289299999997</v>
      </c>
      <c r="I4836" s="2">
        <v>14.800428999999999</v>
      </c>
      <c r="J4836" s="2">
        <v>18.1456558</v>
      </c>
      <c r="L4836" s="2"/>
      <c r="M4836" s="2"/>
    </row>
    <row r="4837" spans="2:13">
      <c r="B4837" s="2"/>
      <c r="C4837" s="1">
        <v>6.556952549</v>
      </c>
      <c r="D4837" s="1">
        <v>1.932577808</v>
      </c>
      <c r="E4837" s="1"/>
      <c r="H4837" s="2">
        <v>5.6744492099999997</v>
      </c>
      <c r="I4837" s="2">
        <v>23.801950399999999</v>
      </c>
      <c r="J4837" s="2">
        <v>19.049462399999999</v>
      </c>
      <c r="L4837" s="2"/>
      <c r="M4837" s="2"/>
    </row>
    <row r="4838" spans="2:13">
      <c r="B4838" s="2"/>
      <c r="C4838" s="1">
        <v>19.882177479999999</v>
      </c>
      <c r="D4838" s="1">
        <v>0.69915784199999997</v>
      </c>
      <c r="E4838" s="1"/>
      <c r="H4838" s="2">
        <v>13.7519147</v>
      </c>
      <c r="I4838" s="2">
        <v>62.062303</v>
      </c>
      <c r="J4838" s="2">
        <v>23.325162899999999</v>
      </c>
      <c r="L4838" s="2"/>
      <c r="M4838" s="2"/>
    </row>
    <row r="4839" spans="2:13">
      <c r="B4839" s="2"/>
      <c r="C4839" s="1">
        <v>25.974226389999998</v>
      </c>
      <c r="D4839" s="1">
        <v>1.945769466</v>
      </c>
      <c r="E4839" s="1"/>
      <c r="H4839" s="2">
        <v>25.939489500000001</v>
      </c>
      <c r="I4839" s="2">
        <v>55.066301899999999</v>
      </c>
      <c r="J4839" s="2">
        <v>93.335413500000001</v>
      </c>
      <c r="L4839" s="2"/>
      <c r="M4839" s="2"/>
    </row>
    <row r="4840" spans="2:13">
      <c r="B4840" s="2"/>
      <c r="C4840" s="1">
        <v>39.317564449999999</v>
      </c>
      <c r="D4840" s="1">
        <v>0.87064938800000002</v>
      </c>
      <c r="E4840" s="1"/>
      <c r="H4840" s="2">
        <v>24.404890099999999</v>
      </c>
      <c r="I4840" s="2">
        <v>30.735764799999998</v>
      </c>
      <c r="J4840" s="2">
        <v>40.427964899999999</v>
      </c>
      <c r="L4840" s="2"/>
      <c r="M4840" s="2"/>
    </row>
    <row r="4841" spans="2:13">
      <c r="B4841" s="2"/>
      <c r="C4841" s="1">
        <v>49.587708360000001</v>
      </c>
      <c r="D4841" s="1">
        <v>7.4005197989999996</v>
      </c>
      <c r="E4841" s="1"/>
      <c r="H4841" s="2">
        <v>24.422734200000001</v>
      </c>
      <c r="I4841" s="2">
        <v>31.2643515</v>
      </c>
      <c r="J4841" s="2">
        <v>30.6599012</v>
      </c>
      <c r="L4841" s="2"/>
      <c r="M4841" s="2"/>
    </row>
    <row r="4842" spans="2:13">
      <c r="B4842" s="2"/>
      <c r="C4842" s="1">
        <v>98.722588509999994</v>
      </c>
      <c r="D4842" s="1">
        <v>429.94909369999999</v>
      </c>
      <c r="E4842" s="1"/>
      <c r="H4842" s="2">
        <v>102.21146299999999</v>
      </c>
      <c r="I4842" s="2">
        <v>21.003549899999999</v>
      </c>
      <c r="J4842" s="2">
        <v>16.650898699999999</v>
      </c>
      <c r="L4842" s="2"/>
      <c r="M4842" s="2"/>
    </row>
    <row r="4843" spans="2:13">
      <c r="B4843" s="2"/>
      <c r="C4843" s="1">
        <v>61.137846690000003</v>
      </c>
      <c r="D4843" s="1">
        <v>21.311122520000001</v>
      </c>
      <c r="E4843" s="1"/>
      <c r="H4843" s="2">
        <v>46.1807376</v>
      </c>
      <c r="I4843" s="2">
        <v>21.7808834</v>
      </c>
      <c r="J4843" s="2">
        <v>32.641323399999997</v>
      </c>
      <c r="L4843" s="2"/>
      <c r="M4843" s="2"/>
    </row>
    <row r="4844" spans="2:13">
      <c r="B4844" s="2"/>
      <c r="C4844" s="1">
        <v>48.368091040000003</v>
      </c>
      <c r="D4844" s="1">
        <v>6.6222120120000003</v>
      </c>
      <c r="E4844" s="1"/>
      <c r="H4844" s="2">
        <v>34.391682699999997</v>
      </c>
      <c r="I4844" s="2">
        <v>65.3426501</v>
      </c>
      <c r="J4844" s="2">
        <v>18.7713681</v>
      </c>
      <c r="L4844" s="2"/>
      <c r="M4844" s="2"/>
    </row>
    <row r="4845" spans="2:13">
      <c r="B4845" s="2"/>
      <c r="C4845" s="1">
        <v>23.486690070000002</v>
      </c>
      <c r="D4845" s="1">
        <v>1.9787486089999999</v>
      </c>
      <c r="E4845" s="1"/>
      <c r="H4845" s="2">
        <v>24.012318100000002</v>
      </c>
      <c r="I4845" s="2">
        <v>43.934886800000001</v>
      </c>
      <c r="J4845" s="2">
        <v>48.040797599999998</v>
      </c>
      <c r="L4845" s="2"/>
      <c r="M4845" s="2"/>
    </row>
    <row r="4846" spans="2:13">
      <c r="B4846" s="2"/>
      <c r="C4846" s="1">
        <v>26.795354889999999</v>
      </c>
      <c r="D4846" s="1">
        <v>0.52766629600000003</v>
      </c>
      <c r="E4846" s="1"/>
      <c r="H4846" s="2">
        <v>36.747114500000002</v>
      </c>
      <c r="I4846" s="2">
        <v>215.11926</v>
      </c>
      <c r="J4846" s="2">
        <v>41.436056899999997</v>
      </c>
      <c r="L4846" s="2"/>
      <c r="M4846" s="2"/>
    </row>
    <row r="4847" spans="2:13">
      <c r="B4847" s="2"/>
      <c r="C4847" s="1">
        <v>24.953853479999999</v>
      </c>
      <c r="D4847" s="1">
        <v>4.6170800999999997E-2</v>
      </c>
      <c r="E4847" s="1"/>
      <c r="H4847" s="2">
        <v>21.9602374</v>
      </c>
      <c r="I4847" s="2">
        <v>118.574445</v>
      </c>
      <c r="J4847" s="2">
        <v>291.61667899999998</v>
      </c>
      <c r="L4847" s="2"/>
      <c r="M4847" s="2"/>
    </row>
    <row r="4848" spans="2:13">
      <c r="B4848" s="2"/>
      <c r="C4848" s="1">
        <v>74.143073020000003</v>
      </c>
      <c r="D4848" s="1">
        <v>171.30026710000001</v>
      </c>
      <c r="E4848" s="1"/>
      <c r="H4848" s="2">
        <v>64.476970100000003</v>
      </c>
      <c r="I4848" s="2">
        <v>9.3280014500000004</v>
      </c>
      <c r="J4848" s="2">
        <v>76.823561900000001</v>
      </c>
      <c r="L4848" s="2"/>
      <c r="M4848" s="2"/>
    </row>
    <row r="4849" spans="2:13">
      <c r="B4849" s="2"/>
      <c r="C4849" s="1">
        <v>36.413426170000001</v>
      </c>
      <c r="D4849" s="1">
        <v>1.8336403779999999</v>
      </c>
      <c r="E4849" s="1"/>
      <c r="H4849" s="2">
        <v>35.135190199999997</v>
      </c>
      <c r="I4849" s="2">
        <v>6.3274943199999996</v>
      </c>
      <c r="J4849" s="2">
        <v>12.5142454</v>
      </c>
      <c r="L4849" s="2"/>
      <c r="M4849" s="2"/>
    </row>
    <row r="4850" spans="2:13">
      <c r="B4850" s="2"/>
      <c r="C4850" s="1">
        <v>306.98130329999998</v>
      </c>
      <c r="D4850" s="1">
        <v>1.0619284200000001</v>
      </c>
      <c r="E4850" s="1"/>
      <c r="H4850" s="2">
        <v>291.77613400000001</v>
      </c>
      <c r="I4850" s="2">
        <v>3.3736271900000001</v>
      </c>
      <c r="J4850" s="2">
        <v>8.7599717699999999</v>
      </c>
      <c r="L4850" s="2"/>
      <c r="M4850" s="2"/>
    </row>
    <row r="4851" spans="2:13">
      <c r="B4851" s="2"/>
      <c r="C4851" s="1">
        <v>85.602645699999997</v>
      </c>
      <c r="D4851" s="1">
        <v>0.62660372600000003</v>
      </c>
      <c r="E4851" s="1"/>
      <c r="H4851" s="2">
        <v>100.218862</v>
      </c>
      <c r="I4851" s="2">
        <v>5.5501608600000001</v>
      </c>
      <c r="J4851" s="2">
        <v>2.0509457699999998</v>
      </c>
      <c r="L4851" s="2"/>
      <c r="M4851" s="2"/>
    </row>
    <row r="4852" spans="2:13">
      <c r="B4852" s="2"/>
      <c r="C4852" s="1">
        <v>9.5818450229999996</v>
      </c>
      <c r="D4852" s="1">
        <v>0.88384104500000005</v>
      </c>
      <c r="E4852" s="1"/>
      <c r="H4852" s="2">
        <v>16.113294499999999</v>
      </c>
      <c r="I4852" s="2">
        <v>3.9488539500000002</v>
      </c>
      <c r="J4852" s="2">
        <v>6.5352170300000001</v>
      </c>
      <c r="L4852" s="2"/>
      <c r="M4852" s="2"/>
    </row>
    <row r="4853" spans="2:13">
      <c r="B4853" s="2"/>
      <c r="C4853" s="1">
        <v>15.559177460000001</v>
      </c>
      <c r="D4853" s="1">
        <v>0.86405355900000003</v>
      </c>
      <c r="E4853" s="1"/>
      <c r="H4853" s="2">
        <v>11.913964099999999</v>
      </c>
      <c r="I4853" s="2">
        <v>15.189095699999999</v>
      </c>
      <c r="J4853" s="2">
        <v>4.6580802300000004</v>
      </c>
      <c r="L4853" s="2"/>
      <c r="M4853" s="2"/>
    </row>
    <row r="4854" spans="2:13">
      <c r="B4854" s="2"/>
      <c r="C4854" s="1">
        <v>3.8701718079999998</v>
      </c>
      <c r="D4854" s="1">
        <v>3.0670603440000002</v>
      </c>
      <c r="E4854" s="1"/>
      <c r="H4854" s="2">
        <v>3.7472777800000001</v>
      </c>
      <c r="I4854" s="2">
        <v>21.609870000000001</v>
      </c>
      <c r="J4854" s="2">
        <v>15.051856300000001</v>
      </c>
      <c r="L4854" s="2"/>
      <c r="M4854" s="2"/>
    </row>
    <row r="4855" spans="2:13">
      <c r="B4855" s="2"/>
      <c r="C4855" s="1">
        <v>3.483758398</v>
      </c>
      <c r="D4855" s="1">
        <v>522.93708660000004</v>
      </c>
      <c r="E4855" s="1"/>
      <c r="H4855" s="2">
        <v>6.5963985100000002</v>
      </c>
      <c r="I4855" s="2">
        <v>26.196137400000001</v>
      </c>
      <c r="J4855" s="2">
        <v>18.0761322</v>
      </c>
      <c r="L4855" s="2"/>
      <c r="M4855" s="2"/>
    </row>
    <row r="4856" spans="2:13">
      <c r="B4856" s="2"/>
      <c r="C4856" s="1">
        <v>5.3675237710000001</v>
      </c>
      <c r="D4856" s="1">
        <v>7.928186095</v>
      </c>
      <c r="E4856" s="1"/>
      <c r="H4856" s="2">
        <v>5.9183196699999998</v>
      </c>
      <c r="I4856" s="2">
        <v>8.0687212499999994</v>
      </c>
      <c r="J4856" s="2">
        <v>19.953268999999999</v>
      </c>
      <c r="L4856" s="2"/>
      <c r="M4856" s="2"/>
    </row>
    <row r="4857" spans="2:13">
      <c r="B4857" s="2"/>
      <c r="C4857" s="1">
        <v>14.834652309999999</v>
      </c>
      <c r="D4857" s="1">
        <v>4.1817553939999996</v>
      </c>
      <c r="E4857" s="1"/>
      <c r="H4857" s="2">
        <v>23.221226099999999</v>
      </c>
      <c r="I4857" s="2">
        <v>41.494059800000002</v>
      </c>
      <c r="J4857" s="2">
        <v>11.089011899999999</v>
      </c>
      <c r="L4857" s="2"/>
      <c r="M4857" s="2"/>
    </row>
    <row r="4858" spans="2:13">
      <c r="B4858" s="2"/>
      <c r="C4858" s="1">
        <v>19.465575520000002</v>
      </c>
      <c r="D4858" s="1">
        <v>0.28362063399999998</v>
      </c>
      <c r="E4858" s="1"/>
      <c r="H4858" s="2">
        <v>24.244292399999999</v>
      </c>
      <c r="I4858" s="2">
        <v>60.367716000000001</v>
      </c>
      <c r="J4858" s="2">
        <v>45.746519200000002</v>
      </c>
      <c r="L4858" s="2"/>
      <c r="M4858" s="2"/>
    </row>
    <row r="4859" spans="2:13">
      <c r="B4859" s="2"/>
      <c r="C4859" s="1">
        <v>27.779501539999998</v>
      </c>
      <c r="D4859" s="1">
        <v>1.596190545</v>
      </c>
      <c r="E4859" s="1"/>
      <c r="H4859" s="2">
        <v>26.18336</v>
      </c>
      <c r="I4859" s="2">
        <v>294.62492600000002</v>
      </c>
      <c r="J4859" s="2">
        <v>60.589804700000002</v>
      </c>
      <c r="L4859" s="2"/>
      <c r="M4859" s="2"/>
    </row>
    <row r="4860" spans="2:13">
      <c r="B4860" s="2"/>
      <c r="C4860" s="1">
        <v>10.02259782</v>
      </c>
      <c r="D4860" s="1">
        <v>1.3917198550000001</v>
      </c>
      <c r="E4860" s="1"/>
      <c r="H4860" s="2">
        <v>12.2767958</v>
      </c>
      <c r="I4860" s="2">
        <v>87.279000199999999</v>
      </c>
      <c r="J4860" s="2">
        <v>180.51799</v>
      </c>
      <c r="L4860" s="2"/>
      <c r="M4860" s="2"/>
    </row>
    <row r="4861" spans="2:13">
      <c r="B4861" s="2"/>
      <c r="C4861" s="1">
        <v>65.491035260000004</v>
      </c>
      <c r="D4861" s="1">
        <v>0.49468715200000002</v>
      </c>
      <c r="E4861" s="1"/>
      <c r="H4861" s="2">
        <v>71.793083800000005</v>
      </c>
      <c r="I4861" s="2">
        <v>2.78285377</v>
      </c>
      <c r="J4861" s="2">
        <v>92.6749394</v>
      </c>
      <c r="L4861" s="2"/>
      <c r="M4861" s="2"/>
    </row>
    <row r="4862" spans="2:13">
      <c r="B4862" s="2"/>
      <c r="C4862" s="1">
        <v>58.873705620000003</v>
      </c>
      <c r="D4862" s="1">
        <v>0.67277452699999996</v>
      </c>
      <c r="E4862" s="1"/>
      <c r="H4862" s="2">
        <v>63.679929999999999</v>
      </c>
      <c r="I4862" s="2">
        <v>17.583282700000002</v>
      </c>
      <c r="J4862" s="2">
        <v>3.4761792699999998</v>
      </c>
      <c r="L4862" s="2"/>
      <c r="M4862" s="2"/>
    </row>
    <row r="4863" spans="2:13">
      <c r="B4863" s="2"/>
      <c r="C4863" s="1">
        <v>58.475216789999998</v>
      </c>
      <c r="D4863" s="1">
        <v>0.32979143500000002</v>
      </c>
      <c r="E4863" s="1"/>
      <c r="H4863" s="2">
        <v>183.90806599999999</v>
      </c>
      <c r="I4863" s="2">
        <v>19.806456399999998</v>
      </c>
      <c r="J4863" s="2">
        <v>15.260427</v>
      </c>
      <c r="L4863" s="2"/>
      <c r="M4863" s="2"/>
    </row>
    <row r="4864" spans="2:13">
      <c r="B4864" s="2"/>
      <c r="C4864" s="1">
        <v>54.291084089999998</v>
      </c>
      <c r="D4864" s="1">
        <v>0.17149154599999999</v>
      </c>
      <c r="E4864" s="1"/>
      <c r="H4864" s="2">
        <v>92.010539699999995</v>
      </c>
      <c r="I4864" s="2">
        <v>14.6138689</v>
      </c>
      <c r="J4864" s="2">
        <v>14.6694765</v>
      </c>
      <c r="L4864" s="2"/>
      <c r="M4864" s="2"/>
    </row>
    <row r="4865" spans="2:13">
      <c r="B4865" s="2"/>
      <c r="C4865" s="1">
        <v>6.0678980769999997</v>
      </c>
      <c r="D4865" s="1">
        <v>8.2447858719999996</v>
      </c>
      <c r="E4865" s="1"/>
      <c r="H4865" s="2">
        <v>4.69896738</v>
      </c>
      <c r="I4865" s="2">
        <v>12.483975300000001</v>
      </c>
      <c r="J4865" s="2">
        <v>7.7171179900000002</v>
      </c>
      <c r="L4865" s="2"/>
      <c r="M4865" s="2"/>
    </row>
    <row r="4866" spans="2:13">
      <c r="B4866" s="2"/>
      <c r="C4866" s="1">
        <v>13.11994281</v>
      </c>
      <c r="D4866" s="1">
        <v>8.0732943259999992</v>
      </c>
      <c r="E4866" s="1"/>
      <c r="H4866" s="2">
        <v>21.853172300000001</v>
      </c>
      <c r="I4866" s="2">
        <v>6.6539743700000002</v>
      </c>
      <c r="J4866" s="2">
        <v>14.391382200000001</v>
      </c>
      <c r="L4866" s="2"/>
      <c r="M4866" s="2"/>
    </row>
    <row r="4867" spans="2:13">
      <c r="B4867" s="2"/>
      <c r="C4867" s="1">
        <v>14.71389812</v>
      </c>
      <c r="D4867" s="1">
        <v>3.8255806450000001</v>
      </c>
      <c r="E4867" s="1"/>
      <c r="H4867" s="2">
        <v>15.0069553</v>
      </c>
      <c r="I4867" s="2">
        <v>9.3901881199999995</v>
      </c>
      <c r="J4867" s="2">
        <v>4.9014127700000003</v>
      </c>
      <c r="L4867" s="2"/>
      <c r="M4867" s="2"/>
    </row>
    <row r="4868" spans="2:13">
      <c r="B4868" s="2"/>
      <c r="C4868" s="1">
        <v>12.66107688</v>
      </c>
      <c r="D4868" s="1">
        <v>2.2359859289999999</v>
      </c>
      <c r="E4868" s="1"/>
      <c r="H4868" s="2">
        <v>10.9206381</v>
      </c>
      <c r="I4868" s="2">
        <v>71.607957799999994</v>
      </c>
      <c r="J4868" s="2">
        <v>4.1714151299999997</v>
      </c>
      <c r="L4868" s="2"/>
      <c r="M4868" s="2"/>
    </row>
    <row r="4869" spans="2:13">
      <c r="B4869" s="2"/>
      <c r="C4869" s="1">
        <v>6.0920489150000003</v>
      </c>
      <c r="D4869" s="1">
        <v>1.101503393</v>
      </c>
      <c r="E4869" s="1"/>
      <c r="H4869" s="2">
        <v>15.655293800000001</v>
      </c>
      <c r="I4869" s="2">
        <v>47.215234000000002</v>
      </c>
      <c r="J4869" s="2">
        <v>62.327894399999998</v>
      </c>
      <c r="L4869" s="2"/>
      <c r="M4869" s="2"/>
    </row>
    <row r="4870" spans="2:13">
      <c r="B4870" s="2"/>
      <c r="C4870" s="1">
        <v>9.6724106659999993</v>
      </c>
      <c r="D4870" s="1">
        <v>0.91682018899999995</v>
      </c>
      <c r="E4870" s="1"/>
      <c r="H4870" s="2">
        <v>7.6135167600000004</v>
      </c>
      <c r="I4870" s="2">
        <v>72.105451200000005</v>
      </c>
      <c r="J4870" s="2">
        <v>77.240703400000001</v>
      </c>
      <c r="L4870" s="2"/>
      <c r="M4870" s="2"/>
    </row>
    <row r="4871" spans="2:13">
      <c r="B4871" s="2"/>
      <c r="C4871" s="1">
        <v>2.9765907980000001</v>
      </c>
      <c r="D4871" s="1">
        <v>0.145108231</v>
      </c>
      <c r="E4871" s="1"/>
      <c r="H4871" s="2">
        <v>5.5911763700000003</v>
      </c>
      <c r="I4871" s="2">
        <v>36.9233391</v>
      </c>
      <c r="J4871" s="2">
        <v>41.714151299999997</v>
      </c>
      <c r="L4871" s="2"/>
      <c r="M4871" s="2"/>
    </row>
    <row r="4872" spans="2:13">
      <c r="B4872" s="2"/>
      <c r="C4872" s="1">
        <v>80.627573049999995</v>
      </c>
      <c r="D4872" s="1">
        <v>0.712349499</v>
      </c>
      <c r="E4872" s="1"/>
      <c r="H4872" s="2">
        <v>65.297802399999995</v>
      </c>
      <c r="I4872" s="2">
        <v>29.305471199999999</v>
      </c>
      <c r="J4872" s="2">
        <v>40.219394200000004</v>
      </c>
      <c r="L4872" s="2"/>
      <c r="M4872" s="2"/>
    </row>
    <row r="4873" spans="2:13">
      <c r="B4873" s="2"/>
      <c r="C4873" s="1">
        <v>134.38130100000001</v>
      </c>
      <c r="D4873" s="1">
        <v>71.399845650000003</v>
      </c>
      <c r="E4873" s="1"/>
      <c r="H4873" s="2">
        <v>82.802942799999997</v>
      </c>
      <c r="I4873" s="2">
        <v>15.950882500000001</v>
      </c>
      <c r="J4873" s="2">
        <v>46.754611199999999</v>
      </c>
      <c r="L4873" s="2"/>
      <c r="M4873" s="2"/>
    </row>
    <row r="4874" spans="2:13">
      <c r="B4874" s="2"/>
      <c r="C4874" s="1">
        <v>51.930339660000001</v>
      </c>
      <c r="D4874" s="1">
        <v>13.9963485</v>
      </c>
      <c r="E4874" s="1"/>
      <c r="H4874" s="2">
        <v>58.7965728</v>
      </c>
      <c r="I4874" s="2">
        <v>2.9849604599999999</v>
      </c>
      <c r="J4874" s="2">
        <v>15.260427</v>
      </c>
      <c r="L4874" s="2"/>
      <c r="M4874" s="2"/>
    </row>
    <row r="4875" spans="2:13">
      <c r="B4875" s="2"/>
      <c r="C4875" s="1">
        <v>49.768839649999997</v>
      </c>
      <c r="D4875" s="1">
        <v>0.34298309199999999</v>
      </c>
      <c r="E4875" s="1"/>
      <c r="H4875" s="2">
        <v>40.0244955</v>
      </c>
      <c r="I4875" s="2">
        <v>23.662030300000001</v>
      </c>
      <c r="J4875" s="2">
        <v>1.9118986</v>
      </c>
      <c r="L4875" s="2"/>
      <c r="M4875" s="2"/>
    </row>
    <row r="4876" spans="2:13">
      <c r="B4876" s="2"/>
      <c r="C4876" s="1">
        <v>18.789352050000002</v>
      </c>
      <c r="D4876" s="1">
        <v>0.87064938800000002</v>
      </c>
      <c r="E4876" s="1"/>
      <c r="H4876" s="2">
        <v>31.8994456</v>
      </c>
      <c r="I4876" s="2">
        <v>15.468935699999999</v>
      </c>
      <c r="J4876" s="2">
        <v>20.196601600000001</v>
      </c>
      <c r="L4876" s="2"/>
      <c r="M4876" s="2"/>
    </row>
    <row r="4877" spans="2:13">
      <c r="B4877" s="2"/>
      <c r="C4877" s="1">
        <v>25.36441773</v>
      </c>
      <c r="D4877" s="1">
        <v>0.21106651800000001</v>
      </c>
      <c r="E4877" s="1"/>
      <c r="H4877" s="2">
        <v>18.629323800000002</v>
      </c>
      <c r="I4877" s="2">
        <v>65.047263400000006</v>
      </c>
      <c r="J4877" s="2">
        <v>15.9209011</v>
      </c>
      <c r="L4877" s="2"/>
      <c r="M4877" s="2"/>
    </row>
    <row r="4878" spans="2:13">
      <c r="B4878" s="2"/>
      <c r="C4878" s="1">
        <v>5.0414874569999997</v>
      </c>
      <c r="D4878" s="1">
        <v>3.6870682420000001</v>
      </c>
      <c r="E4878" s="1"/>
      <c r="H4878" s="2">
        <v>3.65210882</v>
      </c>
      <c r="I4878" s="2">
        <v>10.711655</v>
      </c>
      <c r="J4878" s="2">
        <v>48.284130099999999</v>
      </c>
      <c r="L4878" s="2"/>
      <c r="M4878" s="2"/>
    </row>
    <row r="4879" spans="2:13">
      <c r="B4879" s="2"/>
      <c r="C4879" s="1">
        <v>9.4550531230000008</v>
      </c>
      <c r="D4879" s="1">
        <v>1.701723804</v>
      </c>
      <c r="E4879" s="1"/>
      <c r="H4879" s="2">
        <v>20.63382</v>
      </c>
      <c r="I4879" s="2">
        <v>8.8616013799999998</v>
      </c>
      <c r="J4879" s="2">
        <v>10.463299599999999</v>
      </c>
      <c r="L4879" s="2"/>
      <c r="M4879" s="2"/>
    </row>
    <row r="4880" spans="2:13">
      <c r="B4880" s="2"/>
      <c r="C4880" s="1">
        <v>28.3228954</v>
      </c>
      <c r="D4880" s="1">
        <v>2.242581757</v>
      </c>
      <c r="E4880" s="1"/>
      <c r="H4880" s="2">
        <v>21.329743100000002</v>
      </c>
      <c r="I4880" s="2">
        <v>3.6690138999999999</v>
      </c>
      <c r="J4880" s="2">
        <v>7.7171179900000002</v>
      </c>
      <c r="L4880" s="2"/>
      <c r="M4880" s="2"/>
    </row>
    <row r="4881" spans="2:13">
      <c r="B4881" s="2"/>
      <c r="C4881" s="1">
        <v>24.265554600000002</v>
      </c>
      <c r="D4881" s="1">
        <v>0.46830383799999997</v>
      </c>
      <c r="E4881" s="1"/>
      <c r="H4881" s="2">
        <v>65.119360599999993</v>
      </c>
      <c r="I4881" s="2">
        <v>35.353125499999997</v>
      </c>
      <c r="J4881" s="2">
        <v>3.0590377599999998</v>
      </c>
      <c r="L4881" s="2"/>
      <c r="M4881" s="2"/>
    </row>
    <row r="4882" spans="2:13">
      <c r="B4882" s="2"/>
      <c r="C4882" s="1">
        <v>5.8082765670000001</v>
      </c>
      <c r="D4882" s="1">
        <v>5.7185834809999996</v>
      </c>
      <c r="E4882" s="1"/>
      <c r="H4882" s="2">
        <v>11.8366393</v>
      </c>
      <c r="I4882" s="2">
        <v>41.587339800000002</v>
      </c>
      <c r="J4882" s="2">
        <v>44.286523899999999</v>
      </c>
      <c r="L4882" s="2"/>
      <c r="M4882" s="2"/>
    </row>
    <row r="4883" spans="2:13">
      <c r="B4883" s="2"/>
      <c r="C4883" s="1">
        <v>14.09805175</v>
      </c>
      <c r="D4883" s="1">
        <v>1.2663991100000001</v>
      </c>
      <c r="E4883" s="1"/>
      <c r="H4883" s="2">
        <v>9.5287920699999997</v>
      </c>
      <c r="I4883" s="2">
        <v>65.296010100000004</v>
      </c>
      <c r="J4883" s="2">
        <v>42.687481499999997</v>
      </c>
      <c r="L4883" s="2"/>
      <c r="M4883" s="2"/>
    </row>
    <row r="4884" spans="2:13">
      <c r="B4884" s="2"/>
      <c r="C4884" s="1">
        <v>7.1184595350000004</v>
      </c>
      <c r="D4884" s="1">
        <v>0.96299098999999999</v>
      </c>
      <c r="E4884" s="1"/>
      <c r="H4884" s="2">
        <v>4.4610449799999996</v>
      </c>
      <c r="I4884" s="2">
        <v>11.7688285</v>
      </c>
      <c r="J4884" s="2">
        <v>87.843050199999993</v>
      </c>
      <c r="L4884" s="2"/>
      <c r="M4884" s="2"/>
    </row>
    <row r="4885" spans="2:13">
      <c r="B4885" s="2"/>
      <c r="C4885" s="1">
        <v>73.032134470000003</v>
      </c>
      <c r="D4885" s="1">
        <v>1.21363248</v>
      </c>
      <c r="E4885" s="1"/>
      <c r="H4885" s="2">
        <v>54.870853199999999</v>
      </c>
      <c r="I4885" s="2">
        <v>72.649584599999997</v>
      </c>
      <c r="J4885" s="2">
        <v>12.827101499999999</v>
      </c>
      <c r="L4885" s="2"/>
      <c r="M4885" s="2"/>
    </row>
    <row r="4886" spans="2:13">
      <c r="B4886" s="2"/>
      <c r="C4886" s="1">
        <v>46.29715667</v>
      </c>
      <c r="D4886" s="1">
        <v>4.9007007219999998</v>
      </c>
      <c r="E4886" s="1"/>
      <c r="H4886" s="2">
        <v>43.153175099999999</v>
      </c>
      <c r="I4886" s="2">
        <v>32.601365100000002</v>
      </c>
      <c r="J4886" s="2">
        <v>95.838262599999993</v>
      </c>
      <c r="L4886" s="2"/>
      <c r="M4886" s="2"/>
    </row>
    <row r="4887" spans="2:13">
      <c r="B4887" s="2"/>
      <c r="C4887" s="1">
        <v>50.040536580000001</v>
      </c>
      <c r="D4887" s="1">
        <v>1.2861865960000001</v>
      </c>
      <c r="E4887" s="1"/>
      <c r="H4887" s="2">
        <v>73.089760900000002</v>
      </c>
      <c r="I4887" s="2">
        <v>43.826060099999999</v>
      </c>
      <c r="J4887" s="2">
        <v>22.664688900000002</v>
      </c>
      <c r="L4887" s="2"/>
      <c r="M4887" s="2"/>
    </row>
    <row r="4888" spans="2:13">
      <c r="B4888" s="2"/>
      <c r="C4888" s="1">
        <v>15.09427382</v>
      </c>
      <c r="D4888" s="1">
        <v>1.556615573</v>
      </c>
      <c r="E4888" s="1"/>
      <c r="H4888" s="2">
        <v>11.408379</v>
      </c>
      <c r="I4888" s="2">
        <v>22.4960302</v>
      </c>
      <c r="J4888" s="2">
        <v>25.063252599999998</v>
      </c>
      <c r="L4888" s="2"/>
      <c r="M4888" s="2"/>
    </row>
    <row r="4889" spans="2:13">
      <c r="B4889" s="2"/>
      <c r="C4889" s="1">
        <v>91.392809139999997</v>
      </c>
      <c r="D4889" s="1">
        <v>9.5177808109999997</v>
      </c>
      <c r="E4889" s="1"/>
      <c r="H4889" s="2">
        <v>107.826431</v>
      </c>
      <c r="I4889" s="2">
        <v>103.012229</v>
      </c>
      <c r="J4889" s="2">
        <v>15.4689978</v>
      </c>
      <c r="L4889" s="2"/>
      <c r="M4889" s="2"/>
    </row>
    <row r="4890" spans="2:13">
      <c r="B4890" s="2"/>
      <c r="C4890" s="1">
        <v>40.458691559999998</v>
      </c>
      <c r="D4890" s="1">
        <v>2.4932232480000001</v>
      </c>
      <c r="E4890" s="1"/>
      <c r="H4890" s="2">
        <v>27.3134914</v>
      </c>
      <c r="I4890" s="2">
        <v>34.560245399999999</v>
      </c>
      <c r="J4890" s="2">
        <v>90.484946500000007</v>
      </c>
      <c r="L4890" s="2"/>
      <c r="M4890" s="2"/>
    </row>
    <row r="4891" spans="2:13">
      <c r="B4891" s="2"/>
      <c r="C4891" s="1">
        <v>20.407458210000001</v>
      </c>
      <c r="D4891" s="1">
        <v>4.2543095099999997</v>
      </c>
      <c r="E4891" s="1"/>
      <c r="H4891" s="2">
        <v>33.939630200000003</v>
      </c>
      <c r="I4891" s="2">
        <v>30.0361647</v>
      </c>
      <c r="J4891" s="2">
        <v>29.686571000000001</v>
      </c>
      <c r="L4891" s="2"/>
      <c r="M4891" s="2"/>
    </row>
    <row r="4892" spans="2:13">
      <c r="B4892" s="2"/>
      <c r="C4892" s="1">
        <v>18.276146740000002</v>
      </c>
      <c r="D4892" s="1">
        <v>4.8743174079999996</v>
      </c>
      <c r="E4892" s="1"/>
      <c r="H4892" s="2">
        <v>22.8405503</v>
      </c>
      <c r="I4892" s="2">
        <v>40.1881396</v>
      </c>
      <c r="J4892" s="2">
        <v>26.314677100000001</v>
      </c>
      <c r="L4892" s="2"/>
      <c r="M4892" s="2"/>
    </row>
    <row r="4893" spans="2:13">
      <c r="B4893" s="2"/>
      <c r="C4893" s="1">
        <v>77.143814649999996</v>
      </c>
      <c r="D4893" s="1">
        <v>1.332357397</v>
      </c>
      <c r="E4893" s="1"/>
      <c r="H4893" s="2">
        <v>86.0565316</v>
      </c>
      <c r="I4893" s="2">
        <v>36.767872400000002</v>
      </c>
      <c r="J4893" s="2">
        <v>44.7036655</v>
      </c>
      <c r="L4893" s="2"/>
      <c r="M4893" s="2"/>
    </row>
    <row r="4894" spans="2:13">
      <c r="B4894" s="2"/>
      <c r="C4894" s="1">
        <v>23.879141189999999</v>
      </c>
      <c r="D4894" s="1">
        <v>0.81128692999999996</v>
      </c>
      <c r="E4894" s="1"/>
      <c r="H4894" s="2">
        <v>32.214692800000002</v>
      </c>
      <c r="I4894" s="2">
        <v>67.192703800000004</v>
      </c>
      <c r="J4894" s="2">
        <v>30.1732361</v>
      </c>
      <c r="L4894" s="2"/>
      <c r="M4894" s="2"/>
    </row>
    <row r="4895" spans="2:13">
      <c r="B4895" s="2"/>
      <c r="C4895" s="1">
        <v>53.572596650000001</v>
      </c>
      <c r="D4895" s="1">
        <v>190.8173242</v>
      </c>
      <c r="E4895" s="1"/>
      <c r="H4895" s="2">
        <v>31.9529782</v>
      </c>
      <c r="I4895" s="2">
        <v>68.343157300000001</v>
      </c>
      <c r="J4895" s="2">
        <v>47.415085300000001</v>
      </c>
      <c r="L4895" s="2"/>
      <c r="M4895" s="2"/>
    </row>
    <row r="4896" spans="2:13">
      <c r="B4896" s="2"/>
      <c r="C4896" s="1">
        <v>33.557589559999997</v>
      </c>
      <c r="D4896" s="1">
        <v>1.2532074529999999</v>
      </c>
      <c r="E4896" s="1"/>
      <c r="H4896" s="2">
        <v>45.478866500000002</v>
      </c>
      <c r="I4896" s="2">
        <v>20.583789899999999</v>
      </c>
      <c r="J4896" s="2">
        <v>95.838262599999993</v>
      </c>
      <c r="L4896" s="2"/>
      <c r="M4896" s="2"/>
    </row>
    <row r="4897" spans="2:13">
      <c r="B4897" s="2"/>
      <c r="C4897" s="1">
        <v>48.543184609999997</v>
      </c>
      <c r="D4897" s="1">
        <v>1.088311735</v>
      </c>
      <c r="E4897" s="1"/>
      <c r="H4897" s="2">
        <v>39.863897899999998</v>
      </c>
      <c r="I4897" s="2">
        <v>31.186618200000002</v>
      </c>
      <c r="J4897" s="2">
        <v>10.7066322</v>
      </c>
      <c r="L4897" s="2"/>
      <c r="M4897" s="2"/>
    </row>
    <row r="4898" spans="2:13">
      <c r="B4898" s="2"/>
      <c r="C4898" s="1">
        <v>84.552084249999993</v>
      </c>
      <c r="D4898" s="1">
        <v>0.38915389299999997</v>
      </c>
      <c r="E4898" s="1"/>
      <c r="H4898" s="2">
        <v>65.963985100000002</v>
      </c>
      <c r="I4898" s="2">
        <v>11.7688285</v>
      </c>
      <c r="J4898" s="2">
        <v>20.4746959</v>
      </c>
      <c r="L4898" s="2"/>
      <c r="M4898" s="2"/>
    </row>
    <row r="4899" spans="2:13">
      <c r="B4899" s="2"/>
      <c r="C4899" s="1">
        <v>73.158926370000003</v>
      </c>
      <c r="D4899" s="1">
        <v>1.299378253</v>
      </c>
      <c r="E4899" s="1"/>
      <c r="H4899" s="2">
        <v>98.612886200000005</v>
      </c>
      <c r="I4899" s="2">
        <v>22.247283500000002</v>
      </c>
      <c r="J4899" s="2">
        <v>12.9313869</v>
      </c>
      <c r="L4899" s="2"/>
      <c r="M4899" s="2"/>
    </row>
    <row r="4900" spans="2:13">
      <c r="B4900" s="2"/>
      <c r="C4900" s="1">
        <v>12.32296515</v>
      </c>
      <c r="D4900" s="1">
        <v>1.2598032809999999</v>
      </c>
      <c r="E4900" s="1"/>
      <c r="H4900" s="2">
        <v>17.909608599999999</v>
      </c>
      <c r="I4900" s="2">
        <v>20.474963200000001</v>
      </c>
      <c r="J4900" s="2">
        <v>21.482787900000002</v>
      </c>
      <c r="L4900" s="2"/>
      <c r="M4900" s="2"/>
    </row>
    <row r="4901" spans="2:13">
      <c r="B4901" s="2"/>
      <c r="C4901" s="1">
        <v>9.4731662510000003</v>
      </c>
      <c r="D4901" s="1">
        <v>0.164895717</v>
      </c>
      <c r="E4901" s="1"/>
      <c r="H4901" s="2">
        <v>25.255462600000001</v>
      </c>
      <c r="I4901" s="2">
        <v>20.832536600000001</v>
      </c>
      <c r="J4901" s="2">
        <v>22.108500200000002</v>
      </c>
      <c r="L4901" s="2"/>
      <c r="M4901" s="2"/>
    </row>
    <row r="4902" spans="2:13">
      <c r="B4902" s="2"/>
      <c r="C4902" s="1">
        <v>10.276181619999999</v>
      </c>
      <c r="D4902" s="1">
        <v>1.121290879</v>
      </c>
      <c r="E4902" s="1"/>
      <c r="H4902" s="2">
        <v>15.292462199999999</v>
      </c>
      <c r="I4902" s="2">
        <v>41.369686399999999</v>
      </c>
      <c r="J4902" s="2">
        <v>9.6637783800000001</v>
      </c>
      <c r="L4902" s="2"/>
      <c r="M4902" s="2"/>
    </row>
    <row r="4903" spans="2:13">
      <c r="B4903" s="2"/>
      <c r="C4903" s="1">
        <v>8.3682654070000009</v>
      </c>
      <c r="D4903" s="1">
        <v>1.3059740820000001</v>
      </c>
      <c r="E4903" s="1"/>
      <c r="H4903" s="2">
        <v>23.738707300000002</v>
      </c>
      <c r="I4903" s="2">
        <v>8.3330146299999992</v>
      </c>
      <c r="J4903" s="2">
        <v>27.531339800000001</v>
      </c>
      <c r="L4903" s="2"/>
      <c r="M4903" s="2"/>
    </row>
    <row r="4904" spans="2:13">
      <c r="B4904" s="2"/>
      <c r="C4904" s="1">
        <v>28.950817189999999</v>
      </c>
      <c r="D4904" s="1">
        <v>111.0539678</v>
      </c>
      <c r="E4904" s="1"/>
      <c r="H4904" s="2">
        <v>24.946163500000001</v>
      </c>
      <c r="I4904" s="2">
        <v>6.4518676700000004</v>
      </c>
      <c r="J4904" s="2">
        <v>14.6694765</v>
      </c>
      <c r="L4904" s="2"/>
      <c r="M4904" s="2"/>
    </row>
    <row r="4905" spans="2:13">
      <c r="B4905" s="2"/>
      <c r="C4905" s="1">
        <v>7.7041173589999996</v>
      </c>
      <c r="D4905" s="1">
        <v>0.51447463800000004</v>
      </c>
      <c r="E4905" s="1"/>
      <c r="H4905" s="2">
        <v>15.5184885</v>
      </c>
      <c r="I4905" s="2">
        <v>15.313469</v>
      </c>
      <c r="J4905" s="2">
        <v>3.8585589900000001</v>
      </c>
      <c r="L4905" s="2"/>
      <c r="M4905" s="2"/>
    </row>
    <row r="4906" spans="2:13">
      <c r="B4906" s="2"/>
      <c r="C4906" s="1">
        <v>44.40735359</v>
      </c>
      <c r="D4906" s="1">
        <v>1.827044549</v>
      </c>
      <c r="E4906" s="1"/>
      <c r="H4906" s="2">
        <v>33.315083899999998</v>
      </c>
      <c r="I4906" s="2">
        <v>26.973470899999999</v>
      </c>
      <c r="J4906" s="2">
        <v>26.175629900000001</v>
      </c>
      <c r="L4906" s="2"/>
      <c r="M4906" s="2"/>
    </row>
    <row r="4907" spans="2:13">
      <c r="B4907" s="2"/>
      <c r="C4907" s="1">
        <v>14.79238835</v>
      </c>
      <c r="D4907" s="1">
        <v>0.69256201299999998</v>
      </c>
      <c r="E4907" s="1"/>
      <c r="H4907" s="2">
        <v>17.172049099999999</v>
      </c>
      <c r="I4907" s="2">
        <v>23.584296999999999</v>
      </c>
      <c r="J4907" s="2">
        <v>23.672780800000002</v>
      </c>
      <c r="L4907" s="2"/>
      <c r="M4907" s="2"/>
    </row>
    <row r="4908" spans="2:13">
      <c r="B4908" s="2"/>
      <c r="C4908" s="1">
        <v>4.8784692999999999</v>
      </c>
      <c r="D4908" s="1">
        <v>0.17808737499999999</v>
      </c>
      <c r="E4908" s="1"/>
      <c r="H4908" s="2">
        <v>6.8759573300000003</v>
      </c>
      <c r="I4908" s="2">
        <v>9.9032281999999991</v>
      </c>
      <c r="J4908" s="2">
        <v>21.9346912</v>
      </c>
      <c r="L4908" s="2"/>
      <c r="M4908" s="2"/>
    </row>
    <row r="4909" spans="2:13">
      <c r="B4909" s="2"/>
      <c r="C4909" s="1">
        <v>18.402938649999999</v>
      </c>
      <c r="D4909" s="1">
        <v>0.49468715200000002</v>
      </c>
      <c r="E4909" s="1"/>
      <c r="H4909" s="2">
        <v>27.694167199999999</v>
      </c>
      <c r="I4909" s="2">
        <v>22.931336900000002</v>
      </c>
      <c r="J4909" s="2">
        <v>10.741394</v>
      </c>
      <c r="L4909" s="2"/>
      <c r="M4909" s="2"/>
    </row>
    <row r="4910" spans="2:13">
      <c r="B4910" s="2"/>
      <c r="C4910" s="1">
        <v>34.734942920000002</v>
      </c>
      <c r="D4910" s="1">
        <v>1.4049115130000001</v>
      </c>
      <c r="E4910" s="1"/>
      <c r="H4910" s="2">
        <v>27.0636729</v>
      </c>
      <c r="I4910" s="2">
        <v>11.0070417</v>
      </c>
      <c r="J4910" s="2">
        <v>19.8489836</v>
      </c>
      <c r="L4910" s="2"/>
      <c r="M4910" s="2"/>
    </row>
    <row r="4911" spans="2:13">
      <c r="B4911" s="2"/>
      <c r="C4911" s="1">
        <v>39.52284658</v>
      </c>
      <c r="D4911" s="1">
        <v>1.1146950499999999</v>
      </c>
      <c r="E4911" s="1"/>
      <c r="H4911" s="2">
        <v>28.2235446</v>
      </c>
      <c r="I4911" s="2">
        <v>12.623895299999999</v>
      </c>
      <c r="J4911" s="2">
        <v>11.645200600000001</v>
      </c>
      <c r="L4911" s="2"/>
      <c r="M4911" s="2"/>
    </row>
    <row r="4912" spans="2:13">
      <c r="B4912" s="2"/>
      <c r="C4912" s="1">
        <v>7.5350614919999996</v>
      </c>
      <c r="D4912" s="1">
        <v>0.44192052300000001</v>
      </c>
      <c r="E4912" s="1"/>
      <c r="H4912" s="2">
        <v>11.2596775</v>
      </c>
      <c r="I4912" s="2">
        <v>14.7071489</v>
      </c>
      <c r="J4912" s="2">
        <v>6.8828349600000003</v>
      </c>
      <c r="L4912" s="2"/>
      <c r="M4912" s="2"/>
    </row>
    <row r="4913" spans="2:13">
      <c r="B4913" s="2"/>
      <c r="C4913" s="1">
        <v>56.512961189999999</v>
      </c>
      <c r="D4913" s="1">
        <v>2.2030067849999999</v>
      </c>
      <c r="E4913" s="1"/>
      <c r="H4913" s="2">
        <v>28.170012</v>
      </c>
      <c r="I4913" s="2">
        <v>4.4774406899999999</v>
      </c>
      <c r="J4913" s="2">
        <v>10.1504435</v>
      </c>
      <c r="L4913" s="2"/>
      <c r="M4913" s="2"/>
    </row>
    <row r="4914" spans="2:13">
      <c r="B4914" s="2"/>
      <c r="C4914" s="1">
        <v>6.007520982</v>
      </c>
      <c r="D4914" s="1">
        <v>374.26051200000001</v>
      </c>
      <c r="E4914" s="1"/>
      <c r="H4914" s="2">
        <v>18.040465900000001</v>
      </c>
      <c r="I4914" s="2">
        <v>3.6690138999999999</v>
      </c>
      <c r="J4914" s="2">
        <v>4.9014127700000003</v>
      </c>
      <c r="L4914" s="2"/>
      <c r="M4914" s="2"/>
    </row>
    <row r="4915" spans="2:13">
      <c r="B4915" s="2"/>
      <c r="C4915" s="1">
        <v>4.5705461139999999</v>
      </c>
      <c r="D4915" s="1">
        <v>0.54745378200000006</v>
      </c>
      <c r="E4915" s="1"/>
      <c r="H4915" s="2">
        <v>10.5340142</v>
      </c>
      <c r="I4915" s="2">
        <v>3.7156539099999999</v>
      </c>
      <c r="J4915" s="2">
        <v>4.8318891900000001</v>
      </c>
      <c r="L4915" s="2"/>
      <c r="M4915" s="2"/>
    </row>
    <row r="4916" spans="2:13">
      <c r="B4916" s="2"/>
      <c r="C4916" s="1">
        <v>20.105572729999999</v>
      </c>
      <c r="D4916" s="1">
        <v>0.93660767499999997</v>
      </c>
      <c r="E4916" s="1"/>
      <c r="H4916" s="2">
        <v>12.5623027</v>
      </c>
      <c r="I4916" s="2">
        <v>31.5286449</v>
      </c>
      <c r="J4916" s="2">
        <v>5.7009340100000001</v>
      </c>
      <c r="L4916" s="2"/>
      <c r="M4916" s="2"/>
    </row>
    <row r="4917" spans="2:13">
      <c r="B4917" s="2"/>
      <c r="C4917" s="1">
        <v>9.2618464179999993</v>
      </c>
      <c r="D4917" s="1">
        <v>0.41553720799999999</v>
      </c>
      <c r="E4917" s="1"/>
      <c r="H4917" s="2">
        <v>6.9532821</v>
      </c>
      <c r="I4917" s="2">
        <v>60.460996100000003</v>
      </c>
      <c r="J4917" s="2">
        <v>34.900839900000001</v>
      </c>
      <c r="L4917" s="2"/>
      <c r="M4917" s="2"/>
    </row>
    <row r="4918" spans="2:13">
      <c r="B4918" s="2"/>
      <c r="C4918" s="1">
        <v>30.013454070000002</v>
      </c>
      <c r="D4918" s="1">
        <v>0.66617869799999996</v>
      </c>
      <c r="E4918" s="1"/>
      <c r="H4918" s="2">
        <v>8.3808164999999999</v>
      </c>
      <c r="I4918" s="2">
        <v>9.87213487</v>
      </c>
      <c r="J4918" s="2">
        <v>48.596986200000003</v>
      </c>
      <c r="L4918" s="2"/>
      <c r="M4918" s="2"/>
    </row>
    <row r="4919" spans="2:13">
      <c r="B4919" s="2"/>
      <c r="C4919" s="1">
        <v>8.9780740699999999</v>
      </c>
      <c r="D4919" s="1">
        <v>0.41553720799999999</v>
      </c>
      <c r="E4919" s="1"/>
      <c r="H4919" s="2">
        <v>8.9815705500000007</v>
      </c>
      <c r="I4919" s="2">
        <v>13.416775400000001</v>
      </c>
      <c r="J4919" s="2">
        <v>19.883745399999999</v>
      </c>
      <c r="L4919" s="2"/>
      <c r="M4919" s="2"/>
    </row>
    <row r="4920" spans="2:13">
      <c r="B4920" s="2"/>
      <c r="C4920" s="1">
        <v>42.245853580000002</v>
      </c>
      <c r="D4920" s="1">
        <v>0.67277452699999996</v>
      </c>
      <c r="E4920" s="1"/>
      <c r="H4920" s="2">
        <v>32.863031300000003</v>
      </c>
      <c r="I4920" s="2">
        <v>14.3651222</v>
      </c>
      <c r="J4920" s="2">
        <v>13.974240699999999</v>
      </c>
      <c r="L4920" s="2"/>
      <c r="M4920" s="2"/>
    </row>
    <row r="4921" spans="2:13">
      <c r="B4921" s="2"/>
      <c r="C4921" s="1">
        <v>35.024752980000002</v>
      </c>
      <c r="D4921" s="1">
        <v>0.76511612900000003</v>
      </c>
      <c r="E4921" s="1"/>
      <c r="H4921" s="2">
        <v>56.690959599999999</v>
      </c>
      <c r="I4921" s="2">
        <v>19.806456399999998</v>
      </c>
      <c r="J4921" s="2">
        <v>13.1051959</v>
      </c>
      <c r="L4921" s="2"/>
      <c r="M4921" s="2"/>
    </row>
    <row r="4922" spans="2:13">
      <c r="B4922" s="2"/>
      <c r="C4922" s="1">
        <v>8.9599609410000003</v>
      </c>
      <c r="D4922" s="1">
        <v>0.38255806399999998</v>
      </c>
      <c r="E4922" s="1"/>
      <c r="H4922" s="2">
        <v>27.759595900000001</v>
      </c>
      <c r="I4922" s="2">
        <v>13.4945088</v>
      </c>
      <c r="J4922" s="2">
        <v>18.1456558</v>
      </c>
      <c r="L4922" s="2"/>
      <c r="M4922" s="2"/>
    </row>
    <row r="4923" spans="2:13">
      <c r="B4923" s="2"/>
      <c r="C4923" s="1">
        <v>8.2837374740000005</v>
      </c>
      <c r="D4923" s="1">
        <v>1.3653365399999999</v>
      </c>
      <c r="E4923" s="1"/>
      <c r="H4923" s="2">
        <v>21.942393200000001</v>
      </c>
      <c r="I4923" s="2">
        <v>13.028108700000001</v>
      </c>
      <c r="J4923" s="2">
        <v>10.8109175</v>
      </c>
      <c r="L4923" s="2"/>
      <c r="M4923" s="2"/>
    </row>
    <row r="4924" spans="2:13">
      <c r="B4924" s="2"/>
      <c r="C4924" s="1">
        <v>7.239213726</v>
      </c>
      <c r="D4924" s="1">
        <v>54.32984098</v>
      </c>
      <c r="E4924" s="1"/>
      <c r="H4924" s="2">
        <v>12.520666200000001</v>
      </c>
      <c r="I4924" s="2">
        <v>15.546669100000001</v>
      </c>
      <c r="J4924" s="2">
        <v>19.223271400000002</v>
      </c>
      <c r="L4924" s="2"/>
      <c r="M4924" s="2"/>
    </row>
    <row r="4925" spans="2:13">
      <c r="B4925" s="2"/>
      <c r="C4925" s="1">
        <v>6.1765768479999998</v>
      </c>
      <c r="D4925" s="1">
        <v>7.9677610669999996</v>
      </c>
      <c r="E4925" s="1"/>
      <c r="H4925" s="2">
        <v>24.256188600000002</v>
      </c>
      <c r="I4925" s="2">
        <v>6.2964009799999996</v>
      </c>
      <c r="J4925" s="2">
        <v>14.1132878</v>
      </c>
      <c r="L4925" s="2"/>
      <c r="M4925" s="2"/>
    </row>
    <row r="4926" spans="2:13">
      <c r="B4926" s="2"/>
      <c r="C4926" s="1">
        <v>9.1048659700000005</v>
      </c>
      <c r="D4926" s="1">
        <v>1.8138528920000001</v>
      </c>
      <c r="E4926" s="1"/>
      <c r="H4926" s="2">
        <v>14.810669300000001</v>
      </c>
      <c r="I4926" s="2">
        <v>32.414805000000001</v>
      </c>
      <c r="J4926" s="2">
        <v>4.7623655999999999</v>
      </c>
      <c r="L4926" s="2"/>
      <c r="M4926" s="2"/>
    </row>
    <row r="4927" spans="2:13">
      <c r="B4927" s="2"/>
      <c r="C4927" s="1">
        <v>18.107090880000001</v>
      </c>
      <c r="D4927" s="1">
        <v>1.543423915</v>
      </c>
      <c r="E4927" s="1"/>
      <c r="H4927" s="2">
        <v>16.4880222</v>
      </c>
      <c r="I4927" s="2">
        <v>6.9338144100000001</v>
      </c>
      <c r="J4927" s="2">
        <v>28.1222903</v>
      </c>
      <c r="L4927" s="2"/>
      <c r="M4927" s="2"/>
    </row>
    <row r="4928" spans="2:13">
      <c r="B4928" s="2"/>
      <c r="C4928" s="1">
        <v>32.307783690000001</v>
      </c>
      <c r="D4928" s="1">
        <v>5.5009211340000004</v>
      </c>
      <c r="E4928" s="1"/>
      <c r="H4928" s="2">
        <v>14.584643</v>
      </c>
      <c r="I4928" s="2">
        <v>77.173665299999996</v>
      </c>
      <c r="J4928" s="2">
        <v>7.1609293000000003</v>
      </c>
      <c r="L4928" s="2"/>
      <c r="M4928" s="2"/>
    </row>
    <row r="4929" spans="2:13">
      <c r="B4929" s="2"/>
      <c r="C4929" s="1">
        <v>12.02711738</v>
      </c>
      <c r="D4929" s="1">
        <v>3.9706888760000001</v>
      </c>
      <c r="E4929" s="1"/>
      <c r="H4929" s="2">
        <v>7.5480881000000002</v>
      </c>
      <c r="I4929" s="2">
        <v>11.038135</v>
      </c>
      <c r="J4929" s="2">
        <v>70.323106699999997</v>
      </c>
      <c r="L4929" s="2"/>
      <c r="M4929" s="2"/>
    </row>
    <row r="4930" spans="2:13">
      <c r="B4930" s="2"/>
      <c r="C4930" s="1">
        <v>38.858698529999998</v>
      </c>
      <c r="D4930" s="1">
        <v>3.8123889869999998</v>
      </c>
      <c r="E4930" s="1"/>
      <c r="H4930" s="2">
        <v>36.527036299999999</v>
      </c>
      <c r="I4930" s="2">
        <v>39.270886099999998</v>
      </c>
      <c r="J4930" s="2">
        <v>14.8780473</v>
      </c>
      <c r="L4930" s="2"/>
      <c r="M4930" s="2"/>
    </row>
    <row r="4931" spans="2:13">
      <c r="B4931" s="2"/>
      <c r="C4931" s="1">
        <v>11.42334643</v>
      </c>
      <c r="D4931" s="1">
        <v>1.576403059</v>
      </c>
      <c r="E4931" s="1"/>
      <c r="H4931" s="2">
        <v>9.5823246100000006</v>
      </c>
      <c r="I4931" s="2">
        <v>106.448043</v>
      </c>
      <c r="J4931" s="2">
        <v>22.0737384</v>
      </c>
      <c r="L4931" s="2"/>
      <c r="M4931" s="2"/>
    </row>
    <row r="4932" spans="2:13">
      <c r="B4932" s="2"/>
      <c r="C4932" s="1">
        <v>57.09258131</v>
      </c>
      <c r="D4932" s="1">
        <v>0.46170800899999997</v>
      </c>
      <c r="E4932" s="1"/>
      <c r="H4932" s="2">
        <v>80.334497999999996</v>
      </c>
      <c r="I4932" s="2">
        <v>23.895230399999999</v>
      </c>
      <c r="J4932" s="2">
        <v>71.887387399999994</v>
      </c>
      <c r="L4932" s="2"/>
      <c r="M4932" s="2"/>
    </row>
    <row r="4933" spans="2:13">
      <c r="B4933" s="2"/>
      <c r="C4933" s="1">
        <v>23.861028059999999</v>
      </c>
      <c r="D4933" s="1">
        <v>2.981314571</v>
      </c>
      <c r="E4933" s="1"/>
      <c r="H4933" s="2">
        <v>27.1172054</v>
      </c>
      <c r="I4933" s="2">
        <v>77.453505399999997</v>
      </c>
      <c r="J4933" s="2">
        <v>38.550828099999997</v>
      </c>
      <c r="L4933" s="2"/>
      <c r="M4933" s="2"/>
    </row>
    <row r="4934" spans="2:13">
      <c r="B4934" s="2"/>
      <c r="C4934" s="1">
        <v>16.984076909999999</v>
      </c>
      <c r="D4934" s="1">
        <v>0.81128692999999996</v>
      </c>
      <c r="E4934" s="1"/>
      <c r="H4934" s="2">
        <v>29.841416899999999</v>
      </c>
      <c r="I4934" s="2">
        <v>11.2091484</v>
      </c>
      <c r="J4934" s="2">
        <v>77.796892099999994</v>
      </c>
      <c r="L4934" s="2"/>
      <c r="M4934" s="2"/>
    </row>
    <row r="4935" spans="2:13">
      <c r="B4935" s="2"/>
      <c r="C4935" s="1">
        <v>42.378683189999997</v>
      </c>
      <c r="D4935" s="1">
        <v>0.25064149099999999</v>
      </c>
      <c r="E4935" s="1"/>
      <c r="H4935" s="2">
        <v>83.362060499999998</v>
      </c>
      <c r="I4935" s="2">
        <v>12.608348599999999</v>
      </c>
      <c r="J4935" s="2">
        <v>15.8861393</v>
      </c>
      <c r="L4935" s="2"/>
      <c r="M4935" s="2"/>
    </row>
    <row r="4936" spans="2:13">
      <c r="B4936" s="2"/>
      <c r="C4936" s="1">
        <v>48.591486289999999</v>
      </c>
      <c r="D4936" s="1">
        <v>0.64639121200000005</v>
      </c>
      <c r="E4936" s="1"/>
      <c r="H4936" s="2">
        <v>39.197715199999998</v>
      </c>
      <c r="I4936" s="2">
        <v>41.416326400000003</v>
      </c>
      <c r="J4936" s="2">
        <v>13.209481200000001</v>
      </c>
      <c r="L4936" s="2"/>
      <c r="M4936" s="2"/>
    </row>
    <row r="4937" spans="2:13">
      <c r="B4937" s="2"/>
      <c r="C4937" s="1">
        <v>114.20327570000001</v>
      </c>
      <c r="D4937" s="1">
        <v>606.03133660000003</v>
      </c>
      <c r="E4937" s="1"/>
      <c r="H4937" s="2">
        <v>97.845586499999996</v>
      </c>
      <c r="I4937" s="2">
        <v>16.8370426</v>
      </c>
      <c r="J4937" s="2">
        <v>36.082740899999997</v>
      </c>
      <c r="L4937" s="2"/>
      <c r="M4937" s="2"/>
    </row>
    <row r="4938" spans="2:13">
      <c r="B4938" s="2"/>
      <c r="C4938" s="1">
        <v>15.98785483</v>
      </c>
      <c r="D4938" s="1">
        <v>3.9772847050000002</v>
      </c>
      <c r="E4938" s="1"/>
      <c r="H4938" s="2">
        <v>20.699248699999998</v>
      </c>
      <c r="I4938" s="2">
        <v>3.49800054</v>
      </c>
      <c r="J4938" s="2">
        <v>19.536127499999999</v>
      </c>
      <c r="L4938" s="2"/>
      <c r="M4938" s="2"/>
    </row>
    <row r="4939" spans="2:13">
      <c r="B4939" s="2"/>
      <c r="C4939" s="1">
        <v>11.375044750000001</v>
      </c>
      <c r="D4939" s="1">
        <v>2.0183235810000002</v>
      </c>
      <c r="E4939" s="1"/>
      <c r="H4939" s="2">
        <v>13.775706899999999</v>
      </c>
      <c r="I4939" s="2">
        <v>7.4468544899999998</v>
      </c>
      <c r="J4939" s="2">
        <v>3.3371320999999998</v>
      </c>
      <c r="L4939" s="2"/>
      <c r="M4939" s="2"/>
    </row>
    <row r="4940" spans="2:13">
      <c r="B4940" s="2"/>
      <c r="C4940" s="1">
        <v>28.298744559999999</v>
      </c>
      <c r="D4940" s="1">
        <v>0.230854004</v>
      </c>
      <c r="E4940" s="1"/>
      <c r="H4940" s="2">
        <v>46.989673799999998</v>
      </c>
      <c r="I4940" s="2">
        <v>114.470124</v>
      </c>
      <c r="J4940" s="2">
        <v>6.81331138</v>
      </c>
      <c r="L4940" s="2"/>
      <c r="M4940" s="2"/>
    </row>
    <row r="4941" spans="2:13">
      <c r="B4941" s="2"/>
      <c r="C4941" s="1">
        <v>16.70634227</v>
      </c>
      <c r="D4941" s="1">
        <v>0.94320350399999997</v>
      </c>
      <c r="E4941" s="1"/>
      <c r="H4941" s="2">
        <v>19.8308319</v>
      </c>
      <c r="I4941" s="2">
        <v>159.83530500000001</v>
      </c>
      <c r="J4941" s="2">
        <v>146.79905099999999</v>
      </c>
      <c r="L4941" s="2"/>
      <c r="M4941" s="2"/>
    </row>
    <row r="4942" spans="2:13">
      <c r="B4942" s="2"/>
      <c r="C4942" s="1">
        <v>9.1048659700000005</v>
      </c>
      <c r="D4942" s="1">
        <v>0.93660767499999997</v>
      </c>
      <c r="E4942" s="1"/>
      <c r="H4942" s="2">
        <v>5.6803972700000003</v>
      </c>
      <c r="I4942" s="2">
        <v>39.550726099999999</v>
      </c>
      <c r="J4942" s="2">
        <v>135.64051499999999</v>
      </c>
      <c r="L4942" s="2"/>
      <c r="M4942" s="2"/>
    </row>
    <row r="4943" spans="2:13">
      <c r="B4943" s="2"/>
      <c r="C4943" s="1">
        <v>15.263329690000001</v>
      </c>
      <c r="D4943" s="1">
        <v>5.7713501100000002</v>
      </c>
      <c r="E4943" s="1"/>
      <c r="H4943" s="2">
        <v>11.6165611</v>
      </c>
      <c r="I4943" s="2">
        <v>5.72117422</v>
      </c>
      <c r="J4943" s="2">
        <v>48.179844699999997</v>
      </c>
      <c r="L4943" s="2"/>
      <c r="M4943" s="2"/>
    </row>
    <row r="4944" spans="2:13">
      <c r="B4944" s="2"/>
      <c r="C4944" s="1">
        <v>107.30217380000001</v>
      </c>
      <c r="D4944" s="1">
        <v>1.4115073410000001</v>
      </c>
      <c r="E4944" s="1"/>
      <c r="H4944" s="2">
        <v>123.64827099999999</v>
      </c>
      <c r="I4944" s="2">
        <v>13.7588021</v>
      </c>
      <c r="J4944" s="2">
        <v>5.9790283500000001</v>
      </c>
      <c r="L4944" s="2"/>
      <c r="M4944" s="2"/>
    </row>
    <row r="4945" spans="2:13">
      <c r="B4945" s="2"/>
      <c r="C4945" s="1">
        <v>79.42003115</v>
      </c>
      <c r="D4945" s="1">
        <v>2.17662347</v>
      </c>
      <c r="E4945" s="1"/>
      <c r="H4945" s="2">
        <v>148.33866800000001</v>
      </c>
      <c r="I4945" s="2">
        <v>23.662030300000001</v>
      </c>
      <c r="J4945" s="2">
        <v>11.7842477</v>
      </c>
      <c r="L4945" s="2"/>
      <c r="M4945" s="2"/>
    </row>
    <row r="4946" spans="2:13">
      <c r="B4946" s="2"/>
      <c r="C4946" s="1">
        <v>62.725764300000002</v>
      </c>
      <c r="D4946" s="1">
        <v>1.6027863739999999</v>
      </c>
      <c r="E4946" s="1"/>
      <c r="H4946" s="2">
        <v>68.7893136</v>
      </c>
      <c r="I4946" s="2">
        <v>69.291504099999997</v>
      </c>
      <c r="J4946" s="2">
        <v>23.811827999999998</v>
      </c>
      <c r="L4946" s="2"/>
      <c r="M4946" s="2"/>
    </row>
    <row r="4947" spans="2:13">
      <c r="B4947" s="2"/>
      <c r="C4947" s="1">
        <v>10.596180220000001</v>
      </c>
      <c r="D4947" s="1">
        <v>2.1634318129999999</v>
      </c>
      <c r="E4947" s="1"/>
      <c r="H4947" s="2">
        <v>6.8224247900000003</v>
      </c>
      <c r="I4947" s="2">
        <v>19.588802999999999</v>
      </c>
      <c r="J4947" s="2">
        <v>69.384538300000003</v>
      </c>
      <c r="L4947" s="2"/>
      <c r="M4947" s="2"/>
    </row>
    <row r="4948" spans="2:13">
      <c r="B4948" s="2"/>
      <c r="C4948" s="1">
        <v>11.489761229999999</v>
      </c>
      <c r="D4948" s="1">
        <v>3.5947266400000002</v>
      </c>
      <c r="E4948" s="1"/>
      <c r="H4948" s="2">
        <v>13.9363045</v>
      </c>
      <c r="I4948" s="2">
        <v>68.1410506</v>
      </c>
      <c r="J4948" s="2">
        <v>15.7818539</v>
      </c>
      <c r="L4948" s="2"/>
      <c r="M4948" s="2"/>
    </row>
    <row r="4949" spans="2:13">
      <c r="B4949" s="2"/>
      <c r="C4949" s="1">
        <v>10.44523749</v>
      </c>
      <c r="D4949" s="1">
        <v>3.5815349830000001</v>
      </c>
      <c r="E4949" s="1"/>
      <c r="H4949" s="2">
        <v>20.538651099999999</v>
      </c>
      <c r="I4949" s="2">
        <v>18.096322799999999</v>
      </c>
      <c r="J4949" s="2">
        <v>62.536465100000001</v>
      </c>
      <c r="L4949" s="2"/>
      <c r="M4949" s="2"/>
    </row>
    <row r="4950" spans="2:13">
      <c r="B4950" s="2"/>
      <c r="C4950" s="1">
        <v>78.224564659999999</v>
      </c>
      <c r="D4950" s="1">
        <v>0.51447463800000004</v>
      </c>
      <c r="E4950" s="1"/>
      <c r="H4950" s="2">
        <v>72.9113191</v>
      </c>
      <c r="I4950" s="2">
        <v>19.542162999999999</v>
      </c>
      <c r="J4950" s="2">
        <v>15.1561416</v>
      </c>
      <c r="L4950" s="2"/>
      <c r="M4950" s="2"/>
    </row>
    <row r="4951" spans="2:13">
      <c r="B4951" s="2"/>
      <c r="C4951" s="1">
        <v>23.432350679999999</v>
      </c>
      <c r="D4951" s="1">
        <v>1.3257615679999999</v>
      </c>
      <c r="E4951" s="1"/>
      <c r="H4951" s="2">
        <v>20.300728700000001</v>
      </c>
      <c r="I4951" s="2">
        <v>48.319047500000003</v>
      </c>
      <c r="J4951" s="2">
        <v>20.057554400000001</v>
      </c>
      <c r="L4951" s="2"/>
      <c r="M4951" s="2"/>
    </row>
    <row r="4952" spans="2:13">
      <c r="B4952" s="2"/>
      <c r="C4952" s="1">
        <v>56.730318740000001</v>
      </c>
      <c r="D4952" s="1">
        <v>1.2202283089999999</v>
      </c>
      <c r="E4952" s="1"/>
      <c r="H4952" s="2">
        <v>54.966022199999998</v>
      </c>
      <c r="I4952" s="2">
        <v>39.892752899999998</v>
      </c>
      <c r="J4952" s="2">
        <v>24.9589672</v>
      </c>
      <c r="L4952" s="2"/>
      <c r="M4952" s="2"/>
    </row>
    <row r="4953" spans="2:13">
      <c r="B4953" s="2"/>
      <c r="C4953" s="1">
        <v>26.78327947</v>
      </c>
      <c r="D4953" s="1">
        <v>0.613412069</v>
      </c>
      <c r="E4953" s="1"/>
      <c r="H4953" s="2">
        <v>17.445659899999999</v>
      </c>
      <c r="I4953" s="2">
        <v>26.615897499999999</v>
      </c>
      <c r="J4953" s="2">
        <v>86.035437000000002</v>
      </c>
      <c r="L4953" s="2"/>
      <c r="M4953" s="2"/>
    </row>
    <row r="4954" spans="2:13">
      <c r="B4954" s="2"/>
      <c r="C4954" s="1">
        <v>23.1908423</v>
      </c>
      <c r="D4954" s="1">
        <v>0.44192052300000001</v>
      </c>
      <c r="E4954" s="1"/>
      <c r="H4954" s="2">
        <v>25.017540199999999</v>
      </c>
      <c r="I4954" s="2">
        <v>127.20284599999999</v>
      </c>
      <c r="J4954" s="2">
        <v>15.086618</v>
      </c>
      <c r="L4954" s="2"/>
      <c r="M4954" s="2"/>
    </row>
    <row r="4955" spans="2:13">
      <c r="B4955" s="2"/>
      <c r="C4955" s="1">
        <v>40.162843789999997</v>
      </c>
      <c r="D4955" s="1">
        <v>7.9149944E-2</v>
      </c>
      <c r="E4955" s="1"/>
      <c r="H4955" s="2">
        <v>35.676463699999999</v>
      </c>
      <c r="I4955" s="2">
        <v>12.888188700000001</v>
      </c>
      <c r="J4955" s="2">
        <v>43.626049899999998</v>
      </c>
      <c r="L4955" s="2"/>
      <c r="M4955" s="2"/>
    </row>
    <row r="4956" spans="2:13">
      <c r="B4956" s="2"/>
      <c r="C4956" s="1">
        <v>75.73099062</v>
      </c>
      <c r="D4956" s="1">
        <v>0.63319955500000003</v>
      </c>
      <c r="E4956" s="1"/>
      <c r="H4956" s="2">
        <v>71.691966800000003</v>
      </c>
      <c r="I4956" s="2">
        <v>11.1936017</v>
      </c>
      <c r="J4956" s="2">
        <v>9.9766345100000002</v>
      </c>
      <c r="L4956" s="2"/>
      <c r="M4956" s="2"/>
    </row>
    <row r="4957" spans="2:13">
      <c r="B4957" s="2"/>
      <c r="C4957" s="1">
        <v>15.1425755</v>
      </c>
      <c r="D4957" s="1">
        <v>0.25723731900000002</v>
      </c>
      <c r="E4957" s="1"/>
      <c r="H4957" s="2">
        <v>16.244151800000001</v>
      </c>
      <c r="I4957" s="2">
        <v>18.267336199999999</v>
      </c>
      <c r="J4957" s="2">
        <v>9.8723491400000007</v>
      </c>
      <c r="L4957" s="2"/>
      <c r="M4957" s="2"/>
    </row>
    <row r="4958" spans="2:13">
      <c r="B4958" s="2"/>
      <c r="C4958" s="1">
        <v>33.171176150000001</v>
      </c>
      <c r="D4958" s="1">
        <v>0.310003949</v>
      </c>
      <c r="E4958" s="1"/>
      <c r="H4958" s="2">
        <v>53.913215600000001</v>
      </c>
      <c r="I4958" s="2">
        <v>2.86058711</v>
      </c>
      <c r="J4958" s="2">
        <v>15.260427</v>
      </c>
      <c r="L4958" s="2"/>
      <c r="M4958" s="2"/>
    </row>
    <row r="4959" spans="2:13">
      <c r="B4959" s="2"/>
      <c r="C4959" s="1">
        <v>33.334194310000001</v>
      </c>
      <c r="D4959" s="1">
        <v>1.121290879</v>
      </c>
      <c r="E4959" s="1"/>
      <c r="H4959" s="2">
        <v>16.5772431</v>
      </c>
      <c r="I4959" s="2">
        <v>21.361123299999999</v>
      </c>
      <c r="J4959" s="2">
        <v>3.9976061600000001</v>
      </c>
      <c r="L4959" s="2"/>
      <c r="M4959" s="2"/>
    </row>
    <row r="4960" spans="2:13">
      <c r="B4960" s="2"/>
      <c r="C4960" s="1">
        <v>10.28221933</v>
      </c>
      <c r="D4960" s="1">
        <v>0.27042897700000001</v>
      </c>
      <c r="E4960" s="1"/>
      <c r="H4960" s="2">
        <v>11.9734447</v>
      </c>
      <c r="I4960" s="2">
        <v>5.69008088</v>
      </c>
      <c r="J4960" s="2">
        <v>25.897535600000001</v>
      </c>
      <c r="L4960" s="2"/>
      <c r="M4960" s="2"/>
    </row>
    <row r="4961" spans="2:13">
      <c r="B4961" s="2"/>
      <c r="C4961" s="1">
        <v>7.4626089779999996</v>
      </c>
      <c r="D4961" s="1">
        <v>0.40894137899999999</v>
      </c>
      <c r="E4961" s="1"/>
      <c r="H4961" s="2">
        <v>16.969815100000002</v>
      </c>
      <c r="I4961" s="2">
        <v>4.5085340299999999</v>
      </c>
      <c r="J4961" s="2">
        <v>5.4923632500000004</v>
      </c>
      <c r="L4961" s="2"/>
      <c r="M4961" s="2"/>
    </row>
    <row r="4962" spans="2:13">
      <c r="B4962" s="2"/>
      <c r="C4962" s="1">
        <v>2.2822542019999998</v>
      </c>
      <c r="D4962" s="1">
        <v>0.42213303699999999</v>
      </c>
      <c r="E4962" s="1"/>
      <c r="H4962" s="2">
        <v>4.1755380999999998</v>
      </c>
      <c r="I4962" s="2">
        <v>19.1534963</v>
      </c>
      <c r="J4962" s="2">
        <v>2.5723726600000001</v>
      </c>
      <c r="L4962" s="2"/>
      <c r="M4962" s="2"/>
    </row>
    <row r="4963" spans="2:13">
      <c r="B4963" s="2"/>
      <c r="C4963" s="1">
        <v>24.386308790000001</v>
      </c>
      <c r="D4963" s="1">
        <v>0.65298704100000005</v>
      </c>
      <c r="E4963" s="1"/>
      <c r="H4963" s="2">
        <v>29.401260400000002</v>
      </c>
      <c r="I4963" s="2">
        <v>3.8555739299999998</v>
      </c>
      <c r="J4963" s="2">
        <v>11.9580567</v>
      </c>
      <c r="L4963" s="2"/>
      <c r="M4963" s="2"/>
    </row>
    <row r="4964" spans="2:13">
      <c r="B4964" s="2"/>
      <c r="C4964" s="1">
        <v>4.8663938809999996</v>
      </c>
      <c r="D4964" s="1">
        <v>0.237449833</v>
      </c>
      <c r="E4964" s="1"/>
      <c r="H4964" s="2">
        <v>7.8276469200000003</v>
      </c>
      <c r="I4964" s="2">
        <v>6.2342142999999997</v>
      </c>
      <c r="J4964" s="2">
        <v>4.3452240900000003</v>
      </c>
      <c r="L4964" s="2"/>
      <c r="M4964" s="2"/>
    </row>
    <row r="4965" spans="2:13">
      <c r="B4965" s="2"/>
      <c r="C4965" s="1">
        <v>6.5629902580000001</v>
      </c>
      <c r="D4965" s="1">
        <v>27.979505339999999</v>
      </c>
      <c r="E4965" s="1"/>
      <c r="H4965" s="2">
        <v>5.6209166699999997</v>
      </c>
      <c r="I4965" s="2">
        <v>8.5040279900000009</v>
      </c>
      <c r="J4965" s="2">
        <v>3.1980849299999998</v>
      </c>
      <c r="L4965" s="2"/>
      <c r="M4965" s="2"/>
    </row>
    <row r="4966" spans="2:13">
      <c r="B4966" s="2"/>
      <c r="C4966" s="1">
        <v>39.866996020000002</v>
      </c>
      <c r="D4966" s="1">
        <v>0.620007898</v>
      </c>
      <c r="E4966" s="1"/>
      <c r="H4966" s="2">
        <v>16.8746461</v>
      </c>
      <c r="I4966" s="2">
        <v>11.1469617</v>
      </c>
      <c r="J4966" s="2">
        <v>6.0137901400000002</v>
      </c>
      <c r="L4966" s="2"/>
      <c r="M4966" s="2"/>
    </row>
    <row r="4967" spans="2:13">
      <c r="B4967" s="2"/>
      <c r="C4967" s="1">
        <v>11.006744469999999</v>
      </c>
      <c r="D4967" s="1">
        <v>1.035545106</v>
      </c>
      <c r="E4967" s="1"/>
      <c r="H4967" s="2">
        <v>5.70418951</v>
      </c>
      <c r="I4967" s="2">
        <v>6.0632009399999998</v>
      </c>
      <c r="J4967" s="2">
        <v>5.4576014600000002</v>
      </c>
      <c r="L4967" s="2"/>
      <c r="M4967" s="2"/>
    </row>
    <row r="4968" spans="2:13">
      <c r="B4968" s="2"/>
      <c r="C4968" s="1">
        <v>11.54410062</v>
      </c>
      <c r="D4968" s="1">
        <v>0.949799332</v>
      </c>
      <c r="E4968" s="1"/>
      <c r="H4968" s="2">
        <v>4.1457978000000004</v>
      </c>
      <c r="I4968" s="2">
        <v>5.5501608600000001</v>
      </c>
      <c r="J4968" s="2">
        <v>2.5028490799999998</v>
      </c>
      <c r="L4968" s="2"/>
      <c r="M4968" s="2"/>
    </row>
    <row r="4969" spans="2:13">
      <c r="B4969" s="2"/>
      <c r="C4969" s="1">
        <v>11.48372352</v>
      </c>
      <c r="D4969" s="1">
        <v>1.2400157949999999</v>
      </c>
      <c r="E4969" s="1"/>
      <c r="H4969" s="2">
        <v>8.2796994799999997</v>
      </c>
      <c r="I4969" s="2">
        <v>13.230215400000001</v>
      </c>
      <c r="J4969" s="2">
        <v>5.4576014600000002</v>
      </c>
      <c r="L4969" s="2"/>
      <c r="M4969" s="2"/>
    </row>
    <row r="4970" spans="2:13">
      <c r="B4970" s="2"/>
      <c r="C4970" s="1">
        <v>14.587106220000001</v>
      </c>
      <c r="D4970" s="1">
        <v>2.0908776969999998</v>
      </c>
      <c r="E4970" s="1"/>
      <c r="H4970" s="2">
        <v>9.3146619099999999</v>
      </c>
      <c r="I4970" s="2">
        <v>38.866672700000002</v>
      </c>
      <c r="J4970" s="2">
        <v>12.3751982</v>
      </c>
      <c r="L4970" s="2"/>
      <c r="M4970" s="2"/>
    </row>
    <row r="4971" spans="2:13">
      <c r="B4971" s="2"/>
      <c r="C4971" s="1">
        <v>3.8882849369999999</v>
      </c>
      <c r="D4971" s="1">
        <v>6.8266827020000003</v>
      </c>
      <c r="E4971" s="1"/>
      <c r="H4971" s="2">
        <v>3.6580568800000002</v>
      </c>
      <c r="I4971" s="2">
        <v>23.662030300000001</v>
      </c>
      <c r="J4971" s="2">
        <v>33.023703099999999</v>
      </c>
      <c r="L4971" s="2"/>
      <c r="M4971" s="2"/>
    </row>
    <row r="4972" spans="2:13">
      <c r="B4972" s="2"/>
      <c r="C4972" s="1">
        <v>10.191653690000001</v>
      </c>
      <c r="D4972" s="1">
        <v>1.6951279749999999</v>
      </c>
      <c r="E4972" s="1"/>
      <c r="H4972" s="2">
        <v>5.9183196699999998</v>
      </c>
      <c r="I4972" s="2">
        <v>31.777391600000001</v>
      </c>
      <c r="J4972" s="2">
        <v>21.795643999999999</v>
      </c>
      <c r="L4972" s="2"/>
      <c r="M4972" s="2"/>
    </row>
    <row r="4973" spans="2:13">
      <c r="B4973" s="2"/>
      <c r="C4973" s="1">
        <v>16.084458189999999</v>
      </c>
      <c r="D4973" s="1">
        <v>2.6383315000000001E-2</v>
      </c>
      <c r="E4973" s="1"/>
      <c r="H4973" s="2">
        <v>16.053813900000002</v>
      </c>
      <c r="I4973" s="2">
        <v>9.8876815300000001</v>
      </c>
      <c r="J4973" s="2">
        <v>16.025186399999999</v>
      </c>
      <c r="L4973" s="2"/>
      <c r="M4973" s="2"/>
    </row>
    <row r="4974" spans="2:13">
      <c r="B4974" s="2"/>
      <c r="C4974" s="1">
        <v>16.585588080000001</v>
      </c>
      <c r="D4974" s="1">
        <v>1.4642739709999999</v>
      </c>
      <c r="E4974" s="1"/>
      <c r="H4974" s="2">
        <v>27.378920000000001</v>
      </c>
      <c r="I4974" s="2">
        <v>58.206729000000003</v>
      </c>
      <c r="J4974" s="2">
        <v>10.7066322</v>
      </c>
      <c r="L4974" s="2"/>
      <c r="M4974" s="2"/>
    </row>
    <row r="4975" spans="2:13">
      <c r="B4975" s="2"/>
      <c r="C4975" s="1">
        <v>38.369644059999999</v>
      </c>
      <c r="D4975" s="1">
        <v>0.86405355900000003</v>
      </c>
      <c r="E4975" s="1"/>
      <c r="H4975" s="2">
        <v>29.871157199999999</v>
      </c>
      <c r="I4975" s="2">
        <v>59.201715900000004</v>
      </c>
      <c r="J4975" s="2">
        <v>44.634141900000003</v>
      </c>
      <c r="L4975" s="2"/>
      <c r="M4975" s="2"/>
    </row>
    <row r="4976" spans="2:13">
      <c r="B4976" s="2"/>
      <c r="C4976" s="1">
        <v>11.634666259999999</v>
      </c>
      <c r="D4976" s="1">
        <v>0.40894137899999999</v>
      </c>
      <c r="E4976" s="1"/>
      <c r="H4976" s="2">
        <v>22.120835</v>
      </c>
      <c r="I4976" s="2">
        <v>1.08826684</v>
      </c>
      <c r="J4976" s="2">
        <v>31.111804500000002</v>
      </c>
      <c r="L4976" s="2"/>
      <c r="M4976" s="2"/>
    </row>
    <row r="4977" spans="2:13">
      <c r="B4977" s="2"/>
      <c r="C4977" s="1">
        <v>20.335005689999999</v>
      </c>
      <c r="D4977" s="1">
        <v>1.4642739709999999</v>
      </c>
      <c r="E4977" s="1"/>
      <c r="H4977" s="2">
        <v>12.2173152</v>
      </c>
      <c r="I4977" s="2">
        <v>17.054696</v>
      </c>
      <c r="J4977" s="2">
        <v>0.90380660999999995</v>
      </c>
      <c r="L4977" s="2"/>
      <c r="M4977" s="2"/>
    </row>
    <row r="4978" spans="2:13">
      <c r="B4978" s="2"/>
      <c r="C4978" s="1">
        <v>72.971757370000006</v>
      </c>
      <c r="D4978" s="1">
        <v>18.78492013</v>
      </c>
      <c r="E4978" s="1"/>
      <c r="H4978" s="2">
        <v>50.992718099999998</v>
      </c>
      <c r="I4978" s="2">
        <v>9.2502680999999995</v>
      </c>
      <c r="J4978" s="2">
        <v>20.787552099999999</v>
      </c>
      <c r="L4978" s="2"/>
      <c r="M4978" s="2"/>
    </row>
    <row r="4979" spans="2:13">
      <c r="B4979" s="2"/>
      <c r="C4979" s="1">
        <v>45.983195770000002</v>
      </c>
      <c r="D4979" s="1">
        <v>2.6515231359999998</v>
      </c>
      <c r="E4979" s="1"/>
      <c r="H4979" s="2">
        <v>39.447533700000001</v>
      </c>
      <c r="I4979" s="2">
        <v>14.5827756</v>
      </c>
      <c r="J4979" s="2">
        <v>8.4123538399999997</v>
      </c>
      <c r="L4979" s="2"/>
      <c r="M4979" s="2"/>
    </row>
    <row r="4980" spans="2:13">
      <c r="B4980" s="2"/>
      <c r="C4980" s="1">
        <v>1.2075419060000001</v>
      </c>
      <c r="D4980" s="1">
        <v>1.332357397</v>
      </c>
      <c r="E4980" s="1"/>
      <c r="H4980" s="2">
        <v>1.52270335</v>
      </c>
      <c r="I4980" s="2">
        <v>36.177098899999997</v>
      </c>
      <c r="J4980" s="2">
        <v>15.2951888</v>
      </c>
      <c r="L4980" s="2"/>
      <c r="M4980" s="2"/>
    </row>
    <row r="4981" spans="2:13">
      <c r="B4981" s="2"/>
      <c r="C4981" s="1">
        <v>44.920558900000003</v>
      </c>
      <c r="D4981" s="1">
        <v>0.237449833</v>
      </c>
      <c r="E4981" s="1"/>
      <c r="H4981" s="2">
        <v>24.9640077</v>
      </c>
      <c r="I4981" s="2">
        <v>210.73509899999999</v>
      </c>
      <c r="J4981" s="2">
        <v>26.245153500000001</v>
      </c>
      <c r="L4981" s="2"/>
      <c r="M4981" s="2"/>
    </row>
    <row r="4982" spans="2:13">
      <c r="B4982" s="2"/>
      <c r="C4982" s="1">
        <v>32.34400995</v>
      </c>
      <c r="D4982" s="1">
        <v>0.17808737499999999</v>
      </c>
      <c r="E4982" s="1"/>
      <c r="H4982" s="2">
        <v>14.2931881</v>
      </c>
      <c r="I4982" s="2">
        <v>30.5336581</v>
      </c>
      <c r="J4982" s="2">
        <v>156.567114</v>
      </c>
      <c r="L4982" s="2"/>
      <c r="M4982" s="2"/>
    </row>
    <row r="4983" spans="2:13">
      <c r="B4983" s="2"/>
      <c r="C4983" s="1">
        <v>14.303333869999999</v>
      </c>
      <c r="D4983" s="1">
        <v>0.36277057800000001</v>
      </c>
      <c r="E4983" s="1"/>
      <c r="H4983" s="2">
        <v>13.5496806</v>
      </c>
      <c r="I4983" s="2">
        <v>16.899229299999998</v>
      </c>
      <c r="J4983" s="2">
        <v>40.567012099999999</v>
      </c>
      <c r="L4983" s="2"/>
      <c r="M4983" s="2"/>
    </row>
    <row r="4984" spans="2:13">
      <c r="B4984" s="2"/>
      <c r="C4984" s="1">
        <v>6.03771E-3</v>
      </c>
      <c r="D4984" s="1">
        <v>1.0949075640000001</v>
      </c>
      <c r="E4984" s="1"/>
      <c r="H4984" s="2">
        <v>1.189612E-2</v>
      </c>
      <c r="I4984" s="2">
        <v>3.2958938400000002</v>
      </c>
      <c r="J4984" s="2">
        <v>14.947570900000001</v>
      </c>
      <c r="L4984" s="2"/>
      <c r="M4984" s="2"/>
    </row>
    <row r="4985" spans="2:13">
      <c r="B4985" s="2"/>
      <c r="C4985" s="1">
        <v>12.81805733</v>
      </c>
      <c r="D4985" s="1">
        <v>1.108099221</v>
      </c>
      <c r="E4985" s="1"/>
      <c r="H4985" s="2">
        <v>29.204974499999999</v>
      </c>
      <c r="I4985" s="2">
        <v>9.0792547399999997</v>
      </c>
      <c r="J4985" s="2">
        <v>6.1528373099999998</v>
      </c>
      <c r="L4985" s="2"/>
      <c r="M4985" s="2"/>
    </row>
    <row r="4986" spans="2:13">
      <c r="B4986" s="2"/>
      <c r="C4986" s="1">
        <v>214.40510309999999</v>
      </c>
      <c r="D4986" s="1">
        <v>2.4734357619999998</v>
      </c>
      <c r="E4986" s="1"/>
      <c r="H4986" s="2">
        <v>162.68538799999999</v>
      </c>
      <c r="I4986" s="2">
        <v>6.2497609699999996</v>
      </c>
      <c r="J4986" s="2">
        <v>9.0728279000000001</v>
      </c>
      <c r="L4986" s="2"/>
      <c r="M4986" s="2"/>
    </row>
    <row r="4987" spans="2:13">
      <c r="B4987" s="2"/>
      <c r="C4987" s="1">
        <v>42.294155250000003</v>
      </c>
      <c r="D4987" s="1">
        <v>8.5745772999999997E-2</v>
      </c>
      <c r="E4987" s="1"/>
      <c r="H4987" s="2">
        <v>51.688641099999998</v>
      </c>
      <c r="I4987" s="2">
        <v>26.320510800000001</v>
      </c>
      <c r="J4987" s="2">
        <v>4.6928420199999996</v>
      </c>
      <c r="L4987" s="2"/>
      <c r="M4987" s="2"/>
    </row>
    <row r="4988" spans="2:13">
      <c r="B4988" s="2"/>
      <c r="C4988" s="1">
        <v>13.723713760000001</v>
      </c>
      <c r="D4988" s="1">
        <v>1.457678142</v>
      </c>
      <c r="E4988" s="1"/>
      <c r="H4988" s="2">
        <v>19.4680003</v>
      </c>
      <c r="I4988" s="2">
        <v>19.666536399999998</v>
      </c>
      <c r="J4988" s="2">
        <v>20.718028499999999</v>
      </c>
      <c r="L4988" s="2"/>
      <c r="M4988" s="2"/>
    </row>
    <row r="4989" spans="2:13">
      <c r="B4989" s="2"/>
      <c r="C4989" s="1">
        <v>7.4384581399999998</v>
      </c>
      <c r="D4989" s="1">
        <v>4.2740969959999999</v>
      </c>
      <c r="E4989" s="1"/>
      <c r="H4989" s="2">
        <v>7.7086857200000001</v>
      </c>
      <c r="I4989" s="2">
        <v>39.799472799999997</v>
      </c>
      <c r="J4989" s="2">
        <v>16.198995400000001</v>
      </c>
      <c r="L4989" s="2"/>
      <c r="M4989" s="2"/>
    </row>
    <row r="4990" spans="2:13">
      <c r="B4990" s="2"/>
      <c r="C4990" s="1">
        <v>9.7569385989999997</v>
      </c>
      <c r="D4990" s="1">
        <v>1.741298776</v>
      </c>
      <c r="E4990" s="1"/>
      <c r="H4990" s="2">
        <v>10.807625</v>
      </c>
      <c r="I4990" s="2">
        <v>2.78285377</v>
      </c>
      <c r="J4990" s="2">
        <v>25.862773799999999</v>
      </c>
      <c r="L4990" s="2"/>
      <c r="M4990" s="2"/>
    </row>
    <row r="4991" spans="2:13">
      <c r="B4991" s="2"/>
      <c r="C4991" s="1">
        <v>10.608255639999999</v>
      </c>
      <c r="D4991" s="1">
        <v>4.6632508890000004</v>
      </c>
      <c r="E4991" s="1"/>
      <c r="H4991" s="2">
        <v>9.5109478900000006</v>
      </c>
      <c r="I4991" s="2">
        <v>18.531629500000001</v>
      </c>
      <c r="J4991" s="2">
        <v>2.7114198300000001</v>
      </c>
      <c r="L4991" s="2"/>
      <c r="M4991" s="2"/>
    </row>
    <row r="4992" spans="2:13">
      <c r="B4992" s="2"/>
      <c r="C4992" s="1">
        <v>23.474614649999999</v>
      </c>
      <c r="D4992" s="1">
        <v>1.0421409340000001</v>
      </c>
      <c r="E4992" s="1"/>
      <c r="H4992" s="2">
        <v>23.221226099999999</v>
      </c>
      <c r="I4992" s="2">
        <v>20.397229800000002</v>
      </c>
      <c r="J4992" s="2">
        <v>24.611349300000001</v>
      </c>
      <c r="L4992" s="2"/>
      <c r="M4992" s="2"/>
    </row>
    <row r="4993" spans="2:13">
      <c r="B4993" s="2"/>
      <c r="C4993" s="1">
        <v>40.380201329999998</v>
      </c>
      <c r="D4993" s="1">
        <v>104.2470726</v>
      </c>
      <c r="E4993" s="1"/>
      <c r="H4993" s="2">
        <v>22.263588500000001</v>
      </c>
      <c r="I4993" s="2">
        <v>27.735257600000001</v>
      </c>
      <c r="J4993" s="2">
        <v>19.1885096</v>
      </c>
      <c r="L4993" s="2"/>
      <c r="M4993" s="2"/>
    </row>
    <row r="4994" spans="2:13">
      <c r="B4994" s="2"/>
      <c r="C4994" s="1">
        <v>58.125029640000001</v>
      </c>
      <c r="D4994" s="1">
        <v>1.41810317</v>
      </c>
      <c r="E4994" s="1"/>
      <c r="H4994" s="2">
        <v>28.657752899999998</v>
      </c>
      <c r="I4994" s="2">
        <v>51.2729146</v>
      </c>
      <c r="J4994" s="2">
        <v>19.223271400000002</v>
      </c>
      <c r="L4994" s="2"/>
      <c r="M4994" s="2"/>
    </row>
    <row r="4995" spans="2:13">
      <c r="B4995" s="2"/>
      <c r="C4995" s="1">
        <v>2.5479134210000001</v>
      </c>
      <c r="D4995" s="1">
        <v>0.57383709699999996</v>
      </c>
      <c r="E4995" s="1"/>
      <c r="H4995" s="2">
        <v>2.8967052099999999</v>
      </c>
      <c r="I4995" s="2">
        <v>39.535179499999998</v>
      </c>
      <c r="J4995" s="2">
        <v>49.2226985</v>
      </c>
      <c r="L4995" s="2"/>
      <c r="M4995" s="2"/>
    </row>
    <row r="4996" spans="2:13">
      <c r="B4996" s="2"/>
      <c r="C4996" s="1">
        <v>42.994529559999997</v>
      </c>
      <c r="D4996" s="1">
        <v>1.3983156839999999</v>
      </c>
      <c r="E4996" s="1"/>
      <c r="H4996" s="2">
        <v>28.116479500000001</v>
      </c>
      <c r="I4996" s="2">
        <v>25.698644000000002</v>
      </c>
      <c r="J4996" s="2">
        <v>26.662295</v>
      </c>
      <c r="L4996" s="2"/>
      <c r="M4996" s="2"/>
    </row>
    <row r="4997" spans="2:13">
      <c r="B4997" s="2"/>
      <c r="C4997" s="1">
        <v>54.279008670000003</v>
      </c>
      <c r="D4997" s="1">
        <v>2.4272649610000001</v>
      </c>
      <c r="E4997" s="1"/>
      <c r="H4997" s="2">
        <v>19.848676099999999</v>
      </c>
      <c r="I4997" s="2">
        <v>28.885711100000002</v>
      </c>
      <c r="J4997" s="2">
        <v>21.865167599999999</v>
      </c>
      <c r="L4997" s="2"/>
      <c r="M4997" s="2"/>
    </row>
    <row r="4998" spans="2:13">
      <c r="B4998" s="2"/>
      <c r="C4998" s="1">
        <v>25.171211029999998</v>
      </c>
      <c r="D4998" s="1">
        <v>176.47799259999999</v>
      </c>
      <c r="E4998" s="1"/>
      <c r="H4998" s="2">
        <v>24.7736698</v>
      </c>
      <c r="I4998" s="2">
        <v>0.21765337000000001</v>
      </c>
      <c r="J4998" s="2">
        <v>21.7261205</v>
      </c>
      <c r="L4998" s="2"/>
      <c r="M4998" s="2"/>
    </row>
    <row r="4999" spans="2:13">
      <c r="B4999" s="2"/>
      <c r="C4999" s="1">
        <v>117.02288609999999</v>
      </c>
      <c r="D4999" s="1">
        <v>0.37596223600000001</v>
      </c>
      <c r="E4999" s="1"/>
      <c r="H4999" s="2">
        <v>55.8998676</v>
      </c>
      <c r="I4999" s="2">
        <v>11.9087485</v>
      </c>
      <c r="J4999" s="2">
        <v>12.3751982</v>
      </c>
      <c r="L4999" s="2"/>
      <c r="M4999" s="2"/>
    </row>
    <row r="5000" spans="2:13">
      <c r="B5000" s="2"/>
      <c r="C5000" s="1">
        <v>16.096533600000001</v>
      </c>
      <c r="D5000" s="1">
        <v>0.70575367099999997</v>
      </c>
      <c r="E5000" s="1"/>
      <c r="H5000" s="2">
        <v>27.515725400000001</v>
      </c>
      <c r="I5000" s="2">
        <v>12.4528819</v>
      </c>
      <c r="J5000" s="2">
        <v>11.3671062</v>
      </c>
      <c r="L5000" s="2"/>
      <c r="M5000" s="2"/>
    </row>
    <row r="5001" spans="2:13">
      <c r="B5001" s="2"/>
      <c r="C5001" s="1">
        <v>17.310113220000002</v>
      </c>
      <c r="D5001" s="1">
        <v>2.0578985539999999</v>
      </c>
      <c r="E5001" s="1"/>
      <c r="H5001" s="2">
        <v>26.082242999999998</v>
      </c>
      <c r="I5001" s="2">
        <v>15.251282399999999</v>
      </c>
      <c r="J5001" s="2">
        <v>14.252335</v>
      </c>
      <c r="L5001" s="2"/>
      <c r="M5001" s="2"/>
    </row>
    <row r="5002" spans="2:13">
      <c r="B5002" s="2"/>
      <c r="C5002" s="1">
        <v>23.384049009999998</v>
      </c>
      <c r="D5002" s="1">
        <v>1.5170406000000001</v>
      </c>
      <c r="E5002" s="1"/>
      <c r="H5002" s="2">
        <v>27.218322400000002</v>
      </c>
      <c r="I5002" s="2">
        <v>39.177606099999998</v>
      </c>
      <c r="J5002" s="2">
        <v>48.6665098</v>
      </c>
      <c r="L5002" s="2"/>
      <c r="M5002" s="2"/>
    </row>
    <row r="5003" spans="2:13">
      <c r="B5003" s="2"/>
      <c r="C5003" s="1">
        <v>8.4527933E-2</v>
      </c>
      <c r="D5003" s="1">
        <v>0</v>
      </c>
      <c r="E5003" s="1"/>
      <c r="H5003" s="2">
        <v>0.16059762</v>
      </c>
      <c r="I5003" s="2">
        <v>7.2136544499999999</v>
      </c>
      <c r="J5003" s="2">
        <v>6.9871203399999997</v>
      </c>
      <c r="L5003" s="2"/>
      <c r="M5003" s="2"/>
    </row>
    <row r="5004" spans="2:13">
      <c r="B5004" s="2"/>
      <c r="C5004" s="1">
        <v>9.5758073130000003</v>
      </c>
      <c r="D5004" s="1">
        <v>0</v>
      </c>
      <c r="E5004" s="1"/>
      <c r="H5004" s="2">
        <v>14.602487200000001</v>
      </c>
      <c r="I5004" s="2">
        <v>18.904749599999999</v>
      </c>
      <c r="J5004" s="2">
        <v>16.859469499999999</v>
      </c>
      <c r="L5004" s="2"/>
      <c r="M5004" s="2"/>
    </row>
    <row r="5005" spans="2:13">
      <c r="B5005" s="2"/>
      <c r="C5005" s="1">
        <v>43.906223699999998</v>
      </c>
      <c r="D5005" s="1">
        <v>0</v>
      </c>
      <c r="E5005" s="1"/>
      <c r="H5005" s="2">
        <v>16.8984384</v>
      </c>
      <c r="I5005" s="2">
        <v>21.7808834</v>
      </c>
      <c r="J5005" s="2">
        <v>32.432752600000001</v>
      </c>
      <c r="L5005" s="2"/>
      <c r="M5005" s="2"/>
    </row>
    <row r="5006" spans="2:13">
      <c r="B5006" s="2"/>
      <c r="C5006" s="1">
        <v>67.199707059999994</v>
      </c>
      <c r="D5006" s="1">
        <v>0</v>
      </c>
      <c r="E5006" s="1"/>
      <c r="H5006" s="2">
        <v>22.025666099999999</v>
      </c>
      <c r="I5006" s="2">
        <v>23.0868036</v>
      </c>
      <c r="J5006" s="2">
        <v>18.249941199999999</v>
      </c>
      <c r="L5006" s="2"/>
      <c r="M5006" s="2"/>
    </row>
    <row r="5007" spans="2:13">
      <c r="B5007" s="2"/>
      <c r="C5007" s="1">
        <v>69.433659590000005</v>
      </c>
      <c r="D5007" s="1">
        <v>0</v>
      </c>
      <c r="E5007" s="1"/>
      <c r="H5007" s="2">
        <v>63.233825500000002</v>
      </c>
      <c r="I5007" s="2">
        <v>0</v>
      </c>
      <c r="J5007" s="2">
        <v>0</v>
      </c>
      <c r="L5007" s="2"/>
      <c r="M5007" s="2"/>
    </row>
    <row r="5008" spans="2:13">
      <c r="B5008" s="2"/>
      <c r="C5008" s="1">
        <v>14.164466559999999</v>
      </c>
      <c r="D5008" s="1">
        <v>0</v>
      </c>
      <c r="E5008" s="1"/>
      <c r="H5008" s="2">
        <v>8.7912326400000005</v>
      </c>
      <c r="I5008" s="2">
        <v>0</v>
      </c>
      <c r="J5008" s="2">
        <v>0</v>
      </c>
      <c r="L5008" s="2"/>
      <c r="M5008" s="2"/>
    </row>
    <row r="5009" spans="2:13">
      <c r="B5009" s="2"/>
      <c r="C5009" s="1">
        <v>5.4399762860000003</v>
      </c>
      <c r="D5009" s="1">
        <v>0</v>
      </c>
      <c r="E5009" s="1"/>
      <c r="H5009" s="2">
        <v>16.672412099999999</v>
      </c>
      <c r="I5009" s="2">
        <v>0</v>
      </c>
      <c r="J5009" s="2">
        <v>0</v>
      </c>
      <c r="L5009" s="2"/>
      <c r="M5009" s="2"/>
    </row>
    <row r="5010" spans="2:13">
      <c r="B5010" s="2"/>
      <c r="C5010" s="1">
        <v>17.34030177</v>
      </c>
      <c r="D5010" s="1">
        <v>0</v>
      </c>
      <c r="E5010" s="1"/>
      <c r="H5010" s="2">
        <v>34.558228399999997</v>
      </c>
      <c r="I5010" s="2">
        <v>0</v>
      </c>
      <c r="J5010" s="2">
        <v>0</v>
      </c>
      <c r="L5010" s="2"/>
      <c r="M5010" s="2"/>
    </row>
    <row r="5011" spans="2:13">
      <c r="B5011" s="2"/>
      <c r="C5011" s="1">
        <v>40.162843789999997</v>
      </c>
      <c r="D5011" s="1">
        <v>0</v>
      </c>
      <c r="E5011" s="1"/>
      <c r="H5011" s="2">
        <v>21.073976500000001</v>
      </c>
      <c r="I5011" s="2">
        <v>0</v>
      </c>
      <c r="J5011" s="2">
        <v>0</v>
      </c>
      <c r="L5011" s="2"/>
      <c r="M5011" s="2"/>
    </row>
  </sheetData>
  <mergeCells count="2">
    <mergeCell ref="C1:E1"/>
    <mergeCell ref="H1:J1"/>
  </mergeCells>
  <phoneticPr fontId="3"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9233-49D0-F749-ABC9-6CE8E6CF2234}">
  <sheetPr>
    <tabColor rgb="FFD883FF"/>
  </sheetPr>
  <dimension ref="A1:AE174"/>
  <sheetViews>
    <sheetView topLeftCell="D29" zoomScale="77" zoomScaleNormal="150" workbookViewId="0">
      <selection activeCell="Y6" sqref="Y6"/>
    </sheetView>
  </sheetViews>
  <sheetFormatPr defaultColWidth="10.6640625" defaultRowHeight="15.5"/>
  <cols>
    <col min="2" max="2" width="11.5" bestFit="1" customWidth="1"/>
    <col min="3" max="3" width="13.1640625" bestFit="1" customWidth="1"/>
    <col min="4" max="4" width="13.5" bestFit="1" customWidth="1"/>
    <col min="5" max="5" width="10.58203125" customWidth="1"/>
    <col min="6" max="6" width="11.33203125" bestFit="1" customWidth="1"/>
    <col min="8" max="8" width="11.5" bestFit="1" customWidth="1"/>
    <col min="9" max="9" width="13.6640625" bestFit="1" customWidth="1"/>
    <col min="10" max="11" width="11.5" bestFit="1" customWidth="1"/>
    <col min="12" max="12" width="13.83203125" bestFit="1" customWidth="1"/>
    <col min="14" max="14" width="11.5" bestFit="1" customWidth="1"/>
    <col min="15" max="15" width="13.1640625" bestFit="1" customWidth="1"/>
    <col min="16" max="16" width="13.33203125" bestFit="1" customWidth="1"/>
    <col min="17" max="17" width="11.5" bestFit="1" customWidth="1"/>
    <col min="18" max="18" width="11.1640625" bestFit="1" customWidth="1"/>
    <col min="19" max="19" width="13" bestFit="1" customWidth="1"/>
    <col min="20" max="23" width="11" bestFit="1" customWidth="1"/>
    <col min="25" max="25" width="13.1640625" customWidth="1"/>
    <col min="26" max="26" width="16" customWidth="1"/>
    <col min="27" max="27" width="12.58203125" customWidth="1"/>
    <col min="28" max="28" width="11.83203125" customWidth="1"/>
  </cols>
  <sheetData>
    <row r="1" spans="1:31">
      <c r="A1" s="4"/>
      <c r="B1" s="3"/>
      <c r="C1" s="3"/>
      <c r="D1" s="3"/>
      <c r="E1" s="5"/>
      <c r="F1" s="3"/>
      <c r="G1" s="6"/>
      <c r="H1" s="3"/>
      <c r="I1" s="3" t="s">
        <v>8</v>
      </c>
      <c r="J1" s="5" t="s">
        <v>9</v>
      </c>
      <c r="K1" s="3" t="s">
        <v>10</v>
      </c>
      <c r="L1" s="3" t="s">
        <v>34</v>
      </c>
      <c r="M1" s="6"/>
      <c r="N1" s="3"/>
      <c r="O1" s="3" t="s">
        <v>8</v>
      </c>
      <c r="P1" s="5" t="s">
        <v>9</v>
      </c>
      <c r="Q1" s="3" t="s">
        <v>10</v>
      </c>
      <c r="R1" s="3" t="s">
        <v>34</v>
      </c>
    </row>
    <row r="2" spans="1:31">
      <c r="C2" s="7"/>
      <c r="D2" s="3"/>
      <c r="E2" s="5"/>
      <c r="F2" s="3"/>
      <c r="G2" s="57" t="s">
        <v>11</v>
      </c>
      <c r="H2" s="58" t="s">
        <v>11</v>
      </c>
      <c r="I2" s="7">
        <v>11.940552711486816</v>
      </c>
      <c r="J2" s="5">
        <f>10^((I2-39.09)/-3.05)</f>
        <v>796999643.95192957</v>
      </c>
      <c r="K2" s="5">
        <f t="shared" ref="K2:K21" si="0">J2*66*144/602000000000</f>
        <v>12.582532584915512</v>
      </c>
      <c r="L2" s="3"/>
      <c r="M2" s="57" t="s">
        <v>12</v>
      </c>
      <c r="N2" s="58" t="s">
        <v>12</v>
      </c>
      <c r="O2" s="7">
        <v>12.786782264709473</v>
      </c>
      <c r="P2" s="5">
        <f t="shared" ref="P2:P9" si="1">10^((O2-39.09)/-3.05)</f>
        <v>420732261.6090042</v>
      </c>
      <c r="Q2" s="5">
        <f t="shared" ref="Q2:Q9" si="2">P2*66*144/602000000000</f>
        <v>6.6422581633421531</v>
      </c>
    </row>
    <row r="3" spans="1:31">
      <c r="C3" s="7"/>
      <c r="D3" s="3"/>
      <c r="E3" s="5"/>
      <c r="F3" s="3"/>
      <c r="G3" s="57"/>
      <c r="H3" s="58"/>
      <c r="I3" s="7">
        <v>12.320695877075195</v>
      </c>
      <c r="J3" s="5">
        <f t="shared" ref="J3:J21" si="3">10^((I3-39.09)/-3.05)</f>
        <v>598165035.85573626</v>
      </c>
      <c r="K3" s="5">
        <f t="shared" si="0"/>
        <v>9.4434559813503611</v>
      </c>
      <c r="L3" s="3"/>
      <c r="M3" s="57"/>
      <c r="N3" s="58"/>
      <c r="O3" s="7">
        <v>12.408650398254395</v>
      </c>
      <c r="P3" s="5">
        <f t="shared" si="1"/>
        <v>559736304.26704216</v>
      </c>
      <c r="Q3" s="5">
        <f t="shared" si="2"/>
        <v>8.8367671690265261</v>
      </c>
    </row>
    <row r="4" spans="1:31">
      <c r="C4" s="7"/>
      <c r="D4" s="3"/>
      <c r="E4" s="5"/>
      <c r="F4" s="3"/>
      <c r="G4" s="57"/>
      <c r="H4" s="58"/>
      <c r="I4" s="7">
        <v>11.777454376220703</v>
      </c>
      <c r="J4" s="5">
        <f t="shared" si="3"/>
        <v>901432042.22463095</v>
      </c>
      <c r="K4" s="5">
        <f t="shared" si="0"/>
        <v>14.231246061964939</v>
      </c>
      <c r="L4" s="3"/>
      <c r="M4" s="57"/>
      <c r="N4" s="58"/>
      <c r="O4" s="7">
        <v>12.804454803466797</v>
      </c>
      <c r="P4" s="5">
        <f t="shared" si="1"/>
        <v>415156211.20879579</v>
      </c>
      <c r="Q4" s="5">
        <f t="shared" si="2"/>
        <v>6.5542269623395262</v>
      </c>
    </row>
    <row r="5" spans="1:31">
      <c r="C5" s="7"/>
      <c r="D5" s="3"/>
      <c r="E5" s="5"/>
      <c r="F5" s="3"/>
      <c r="G5" s="57"/>
      <c r="H5" s="58"/>
      <c r="I5" s="7">
        <v>11.972212791442871</v>
      </c>
      <c r="J5" s="5">
        <f t="shared" si="3"/>
        <v>778175894.01796985</v>
      </c>
      <c r="K5" s="5">
        <f t="shared" si="0"/>
        <v>12.285354977984694</v>
      </c>
      <c r="L5" s="3">
        <f>AVERAGE(K2:K7)</f>
        <v>11.75060909064729</v>
      </c>
      <c r="M5" s="57"/>
      <c r="N5" s="58"/>
      <c r="O5" s="7">
        <v>12.788151741027832</v>
      </c>
      <c r="P5" s="5">
        <f t="shared" si="1"/>
        <v>420297499.48094684</v>
      </c>
      <c r="Q5" s="5">
        <f t="shared" si="2"/>
        <v>6.6353944104101643</v>
      </c>
      <c r="R5">
        <f>AVERAGE(Q2:Q7)</f>
        <v>6.7720309245724257</v>
      </c>
      <c r="AA5" s="61" t="s">
        <v>69</v>
      </c>
      <c r="AB5" s="61"/>
      <c r="AC5" s="61"/>
      <c r="AD5" s="61"/>
      <c r="AE5" s="61"/>
    </row>
    <row r="6" spans="1:31">
      <c r="C6" s="7"/>
      <c r="D6" s="3"/>
      <c r="E6" s="5"/>
      <c r="F6" s="3"/>
      <c r="G6" s="57"/>
      <c r="H6" s="58"/>
      <c r="I6" s="7">
        <v>12.419096946716309</v>
      </c>
      <c r="J6" s="5">
        <f t="shared" si="3"/>
        <v>555339261.14052999</v>
      </c>
      <c r="K6" s="5">
        <f t="shared" si="0"/>
        <v>8.7673493984710902</v>
      </c>
      <c r="L6" s="3"/>
      <c r="M6" s="57"/>
      <c r="N6" s="58"/>
      <c r="O6" s="7">
        <v>12.813451766967773</v>
      </c>
      <c r="P6" s="5">
        <f t="shared" si="1"/>
        <v>412345933.29266727</v>
      </c>
      <c r="Q6" s="5">
        <f t="shared" si="2"/>
        <v>6.5098600498563286</v>
      </c>
      <c r="Z6" s="60" t="s">
        <v>61</v>
      </c>
      <c r="AA6" s="60" t="s">
        <v>56</v>
      </c>
      <c r="AB6" s="60" t="s">
        <v>57</v>
      </c>
      <c r="AC6" s="60" t="s">
        <v>58</v>
      </c>
      <c r="AD6" s="60" t="s">
        <v>59</v>
      </c>
      <c r="AE6" s="60" t="s">
        <v>60</v>
      </c>
    </row>
    <row r="7" spans="1:31" ht="16" thickBot="1">
      <c r="C7" s="7"/>
      <c r="D7" s="3"/>
      <c r="E7" s="5"/>
      <c r="F7" s="3"/>
      <c r="G7" s="57"/>
      <c r="H7" s="58"/>
      <c r="I7" s="7">
        <v>11.877725601196289</v>
      </c>
      <c r="J7" s="5">
        <f t="shared" si="3"/>
        <v>835713042.36076164</v>
      </c>
      <c r="K7" s="5">
        <f t="shared" si="0"/>
        <v>13.193715539197143</v>
      </c>
      <c r="L7" s="3"/>
      <c r="M7" s="57"/>
      <c r="N7" s="58"/>
      <c r="O7" s="7">
        <v>13.047942161560059</v>
      </c>
      <c r="P7" s="5">
        <f t="shared" si="1"/>
        <v>345445563.24293256</v>
      </c>
      <c r="Q7" s="5">
        <f t="shared" si="2"/>
        <v>5.4536787924598524</v>
      </c>
    </row>
    <row r="8" spans="1:31">
      <c r="C8" s="7"/>
      <c r="D8" s="3"/>
      <c r="E8" s="5"/>
      <c r="F8" s="2"/>
      <c r="G8" s="59" t="s">
        <v>13</v>
      </c>
      <c r="H8" s="53">
        <v>60</v>
      </c>
      <c r="I8" s="7">
        <v>17.432012557983398</v>
      </c>
      <c r="J8" s="5">
        <f t="shared" si="3"/>
        <v>12617679.425394675</v>
      </c>
      <c r="K8" s="5">
        <f>J8*66*144/602000000000</f>
        <v>0.19920004195839033</v>
      </c>
      <c r="L8" s="3">
        <f t="shared" ref="L8:L21" si="4">K8/11.75060909</f>
        <v>1.6952316295494291E-2</v>
      </c>
      <c r="M8" s="59" t="s">
        <v>14</v>
      </c>
      <c r="N8" s="53">
        <v>60</v>
      </c>
      <c r="O8" s="7">
        <v>14.04737377166748</v>
      </c>
      <c r="P8" s="5">
        <f t="shared" si="1"/>
        <v>162441549.70597368</v>
      </c>
      <c r="Q8" s="5">
        <f t="shared" si="2"/>
        <v>2.5645257282484617</v>
      </c>
      <c r="R8">
        <f>Q8/6.772030925</f>
        <v>0.37869374145666085</v>
      </c>
      <c r="Y8" s="63" t="s">
        <v>54</v>
      </c>
      <c r="Z8" s="3" t="s">
        <v>62</v>
      </c>
      <c r="AA8" s="3">
        <v>100</v>
      </c>
      <c r="AB8" s="62" t="s">
        <v>68</v>
      </c>
      <c r="AC8" s="62" t="s">
        <v>68</v>
      </c>
      <c r="AD8" s="62" t="s">
        <v>68</v>
      </c>
      <c r="AE8" s="62" t="s">
        <v>68</v>
      </c>
    </row>
    <row r="9" spans="1:31">
      <c r="C9" s="7"/>
      <c r="D9" s="3"/>
      <c r="E9" s="5"/>
      <c r="F9" s="2"/>
      <c r="G9" s="59"/>
      <c r="H9" s="53"/>
      <c r="I9" s="7">
        <v>17.149875640869102</v>
      </c>
      <c r="J9" s="5">
        <f t="shared" si="3"/>
        <v>15612893.46991183</v>
      </c>
      <c r="K9" s="5">
        <f>J9*66*144/602000000000</f>
        <v>0.246486610528309</v>
      </c>
      <c r="L9" s="3">
        <f t="shared" si="4"/>
        <v>2.0976496506727806E-2</v>
      </c>
      <c r="M9" s="59"/>
      <c r="N9" s="53"/>
      <c r="O9" s="7">
        <v>14.711591720581055</v>
      </c>
      <c r="P9" s="5">
        <f t="shared" si="1"/>
        <v>98383155.392396688</v>
      </c>
      <c r="Q9" s="5">
        <f t="shared" si="2"/>
        <v>1.5532118087198308</v>
      </c>
      <c r="R9">
        <f>Q9/6.772030925</f>
        <v>0.22935686885095416</v>
      </c>
      <c r="Y9" s="64" t="s">
        <v>67</v>
      </c>
      <c r="Z9" s="3" t="s">
        <v>63</v>
      </c>
      <c r="AA9" s="3">
        <v>100</v>
      </c>
      <c r="AB9" s="62" t="s">
        <v>68</v>
      </c>
      <c r="AC9" s="62" t="s">
        <v>68</v>
      </c>
      <c r="AD9" s="62" t="s">
        <v>68</v>
      </c>
      <c r="AE9" s="62" t="s">
        <v>68</v>
      </c>
    </row>
    <row r="10" spans="1:31" ht="16" thickBot="1">
      <c r="C10" s="7"/>
      <c r="D10" s="3"/>
      <c r="E10" s="5"/>
      <c r="F10" s="2"/>
      <c r="G10" s="59"/>
      <c r="H10" s="53"/>
      <c r="I10" s="7">
        <v>13.647261619567871</v>
      </c>
      <c r="J10" s="5">
        <f t="shared" si="3"/>
        <v>219725993.18552601</v>
      </c>
      <c r="K10" s="5">
        <f t="shared" si="0"/>
        <v>3.4688967429156796</v>
      </c>
      <c r="L10" s="3">
        <f t="shared" si="4"/>
        <v>0.29520995178605502</v>
      </c>
      <c r="M10" s="59"/>
      <c r="N10" s="53"/>
      <c r="O10" s="26" t="s">
        <v>0</v>
      </c>
      <c r="P10" s="5"/>
      <c r="Q10" s="5"/>
      <c r="Y10" s="65" t="s">
        <v>55</v>
      </c>
      <c r="Z10" s="3" t="s">
        <v>64</v>
      </c>
      <c r="AA10" s="3">
        <v>100</v>
      </c>
      <c r="AB10" s="62" t="s">
        <v>68</v>
      </c>
      <c r="AC10" s="62" t="s">
        <v>68</v>
      </c>
      <c r="AD10" s="62" t="s">
        <v>68</v>
      </c>
      <c r="AE10" s="62" t="s">
        <v>68</v>
      </c>
    </row>
    <row r="11" spans="1:31" ht="16" thickBot="1">
      <c r="C11" s="7"/>
      <c r="D11" s="3"/>
      <c r="E11" s="5"/>
      <c r="F11" s="2"/>
      <c r="G11" s="59"/>
      <c r="H11" s="53"/>
      <c r="I11" s="7">
        <v>17.461614608764599</v>
      </c>
      <c r="J11" s="5">
        <f t="shared" si="3"/>
        <v>12338827.67170652</v>
      </c>
      <c r="K11" s="5">
        <f t="shared" si="0"/>
        <v>0.19479770463770557</v>
      </c>
      <c r="L11" s="3">
        <f t="shared" si="4"/>
        <v>1.6577668710252839E-2</v>
      </c>
      <c r="M11" s="59"/>
      <c r="N11" s="53"/>
      <c r="O11" s="7">
        <v>14.204818725585938</v>
      </c>
      <c r="P11" s="5">
        <f t="shared" ref="P11:P42" si="5">10^((O11-39.09)/-3.05)</f>
        <v>144236716.63837951</v>
      </c>
      <c r="Q11" s="5">
        <f t="shared" ref="Q11:Q27" si="6">P11*66*144/602000000000</f>
        <v>2.2771191942378053</v>
      </c>
      <c r="R11">
        <f t="shared" ref="R11:R27" si="7">Q11/6.772030925</f>
        <v>0.33625351382130692</v>
      </c>
      <c r="Y11" s="3"/>
      <c r="Z11" s="3"/>
      <c r="AA11" s="3"/>
      <c r="AB11" s="3"/>
      <c r="AC11" s="3"/>
      <c r="AD11" s="3"/>
      <c r="AE11" s="3"/>
    </row>
    <row r="12" spans="1:31">
      <c r="C12" s="7"/>
      <c r="D12" s="3"/>
      <c r="E12" s="5"/>
      <c r="F12" s="2"/>
      <c r="G12" s="59"/>
      <c r="H12" s="53"/>
      <c r="I12" s="7">
        <v>17.380348205566406</v>
      </c>
      <c r="J12" s="5">
        <f t="shared" si="3"/>
        <v>13119540.396983828</v>
      </c>
      <c r="K12" s="5">
        <f>J12*66*144/602000000000</f>
        <v>0.20712310952314666</v>
      </c>
      <c r="L12" s="3">
        <f t="shared" si="4"/>
        <v>1.762658496566042E-2</v>
      </c>
      <c r="M12" s="59"/>
      <c r="N12" s="53"/>
      <c r="O12" s="7">
        <v>14.927318572998047</v>
      </c>
      <c r="P12" s="5">
        <f t="shared" si="5"/>
        <v>83596988.33029528</v>
      </c>
      <c r="Q12" s="5">
        <f t="shared" si="6"/>
        <v>1.3197770383573526</v>
      </c>
      <c r="R12">
        <f t="shared" si="7"/>
        <v>0.19488644587921053</v>
      </c>
      <c r="Y12" s="66" t="s">
        <v>65</v>
      </c>
      <c r="Z12" s="3" t="s">
        <v>62</v>
      </c>
      <c r="AA12" s="67">
        <v>73.736000000000004</v>
      </c>
      <c r="AB12" s="67">
        <v>85.53</v>
      </c>
      <c r="AC12" s="67">
        <v>93.260999999999996</v>
      </c>
      <c r="AD12" s="67">
        <v>96.63</v>
      </c>
      <c r="AE12" s="67">
        <v>98.117000000000004</v>
      </c>
    </row>
    <row r="13" spans="1:31">
      <c r="C13" s="7"/>
      <c r="D13" s="3"/>
      <c r="E13" s="5"/>
      <c r="F13" s="2"/>
      <c r="G13" s="59"/>
      <c r="H13" s="53"/>
      <c r="I13" s="7">
        <v>13.980144500732422</v>
      </c>
      <c r="J13" s="5">
        <f t="shared" si="3"/>
        <v>170898994.67313647</v>
      </c>
      <c r="K13" s="5">
        <f t="shared" si="0"/>
        <v>2.6980465869991512</v>
      </c>
      <c r="L13" s="3">
        <f t="shared" si="4"/>
        <v>0.2296090837789202</v>
      </c>
      <c r="M13" s="59"/>
      <c r="N13" s="53"/>
      <c r="O13" s="7">
        <v>12.991668701171875</v>
      </c>
      <c r="P13" s="5">
        <f t="shared" si="5"/>
        <v>360437471.19039488</v>
      </c>
      <c r="Q13" s="5">
        <f t="shared" si="6"/>
        <v>5.6903616714177963</v>
      </c>
      <c r="R13">
        <f t="shared" si="7"/>
        <v>0.84027402332303969</v>
      </c>
      <c r="Y13" s="68" t="s">
        <v>67</v>
      </c>
      <c r="Z13" s="3" t="s">
        <v>63</v>
      </c>
      <c r="AA13" s="3">
        <v>74.869</v>
      </c>
      <c r="AB13" s="3">
        <v>87.652000000000001</v>
      </c>
      <c r="AC13" s="3">
        <v>93.861000000000004</v>
      </c>
      <c r="AD13" s="3">
        <v>96.911000000000001</v>
      </c>
      <c r="AE13" s="3">
        <v>98.454999999999998</v>
      </c>
    </row>
    <row r="14" spans="1:31" ht="16" thickBot="1">
      <c r="C14" s="7"/>
      <c r="D14" s="3"/>
      <c r="E14" s="5"/>
      <c r="F14" s="2"/>
      <c r="G14" s="59"/>
      <c r="H14" s="54">
        <v>65</v>
      </c>
      <c r="I14" s="7">
        <v>22.269449234008789</v>
      </c>
      <c r="J14" s="5">
        <f t="shared" si="3"/>
        <v>327291.46297145099</v>
      </c>
      <c r="K14" s="5">
        <f t="shared" si="0"/>
        <v>5.1670731961472932E-3</v>
      </c>
      <c r="L14" s="3">
        <f t="shared" si="4"/>
        <v>4.3972811592758835E-4</v>
      </c>
      <c r="M14" s="59"/>
      <c r="N14" s="54">
        <v>65</v>
      </c>
      <c r="O14" s="7">
        <v>14.289029121398926</v>
      </c>
      <c r="P14" s="5">
        <f t="shared" si="5"/>
        <v>135352369.13704643</v>
      </c>
      <c r="Q14" s="5">
        <f t="shared" si="6"/>
        <v>2.1368586649144339</v>
      </c>
      <c r="R14">
        <f t="shared" si="7"/>
        <v>0.31554177595762145</v>
      </c>
      <c r="Y14" s="69" t="s">
        <v>55</v>
      </c>
      <c r="Z14" s="3" t="s">
        <v>64</v>
      </c>
      <c r="AA14" s="3">
        <v>74.747</v>
      </c>
      <c r="AB14" s="3">
        <v>87.411000000000001</v>
      </c>
      <c r="AC14" s="3">
        <v>93.665999999999997</v>
      </c>
      <c r="AD14" s="3">
        <v>96.87</v>
      </c>
      <c r="AE14" s="3">
        <v>98.411000000000001</v>
      </c>
    </row>
    <row r="15" spans="1:31" ht="16" thickBot="1">
      <c r="C15" s="7"/>
      <c r="D15" s="3"/>
      <c r="E15" s="5"/>
      <c r="F15" s="2"/>
      <c r="G15" s="59"/>
      <c r="H15" s="54"/>
      <c r="I15" s="7">
        <v>19.590951919555664</v>
      </c>
      <c r="J15" s="5">
        <f t="shared" si="3"/>
        <v>2472467.0819575326</v>
      </c>
      <c r="K15" s="5">
        <f t="shared" si="0"/>
        <v>3.9033766024791347E-2</v>
      </c>
      <c r="L15" s="3">
        <f t="shared" si="4"/>
        <v>3.3218504441620694E-3</v>
      </c>
      <c r="M15" s="59"/>
      <c r="N15" s="54"/>
      <c r="O15" s="7">
        <v>14.059500694274902</v>
      </c>
      <c r="P15" s="5">
        <f t="shared" si="5"/>
        <v>160961156.52496004</v>
      </c>
      <c r="Q15" s="5">
        <f t="shared" si="6"/>
        <v>2.5411542053375751</v>
      </c>
      <c r="R15">
        <f t="shared" si="7"/>
        <v>0.37524255773205512</v>
      </c>
      <c r="Y15" s="3"/>
      <c r="Z15" s="3"/>
      <c r="AA15" s="3"/>
      <c r="AB15" s="3"/>
      <c r="AC15" s="3"/>
      <c r="AD15" s="3"/>
      <c r="AE15" s="3"/>
    </row>
    <row r="16" spans="1:31">
      <c r="C16" s="25"/>
      <c r="D16" s="3"/>
      <c r="E16" s="5"/>
      <c r="F16" s="2"/>
      <c r="G16" s="59"/>
      <c r="H16" s="54"/>
      <c r="I16" s="7">
        <v>17.151082992553711</v>
      </c>
      <c r="J16" s="5">
        <f t="shared" si="3"/>
        <v>15598669.031581961</v>
      </c>
      <c r="K16" s="5">
        <f t="shared" si="0"/>
        <v>0.24626204398032381</v>
      </c>
      <c r="L16" s="3">
        <f t="shared" si="4"/>
        <v>2.0957385450759116E-2</v>
      </c>
      <c r="M16" s="59"/>
      <c r="N16" s="54"/>
      <c r="O16" s="7">
        <v>13.590672492980957</v>
      </c>
      <c r="P16" s="5">
        <f t="shared" si="5"/>
        <v>229316470.20752513</v>
      </c>
      <c r="Q16" s="5">
        <f t="shared" si="6"/>
        <v>3.6203052040736194</v>
      </c>
      <c r="R16">
        <f t="shared" si="7"/>
        <v>0.5345966733123888</v>
      </c>
      <c r="Y16" s="70" t="s">
        <v>66</v>
      </c>
      <c r="Z16" s="3" t="s">
        <v>62</v>
      </c>
      <c r="AA16" s="3">
        <v>76.709999999999994</v>
      </c>
      <c r="AB16" s="3">
        <v>88.701999999999998</v>
      </c>
      <c r="AC16" s="3">
        <v>94.054000000000002</v>
      </c>
      <c r="AD16" s="3">
        <v>96.828999999999994</v>
      </c>
      <c r="AE16" s="3">
        <v>98.414000000000001</v>
      </c>
    </row>
    <row r="17" spans="3:31">
      <c r="C17" s="7"/>
      <c r="D17" s="3"/>
      <c r="E17" s="5"/>
      <c r="F17" s="2"/>
      <c r="G17" s="59"/>
      <c r="H17" s="54"/>
      <c r="I17" s="7">
        <v>22.36334228515625</v>
      </c>
      <c r="J17" s="5">
        <f t="shared" si="3"/>
        <v>304894.8371605376</v>
      </c>
      <c r="K17" s="5">
        <f t="shared" si="0"/>
        <v>4.8134892564347994E-3</v>
      </c>
      <c r="L17" s="3">
        <f t="shared" si="4"/>
        <v>4.0963742556385219E-4</v>
      </c>
      <c r="M17" s="59"/>
      <c r="N17" s="54"/>
      <c r="O17" s="7">
        <v>14.656215667724609</v>
      </c>
      <c r="P17" s="5">
        <f t="shared" si="5"/>
        <v>102583338.85361446</v>
      </c>
      <c r="Q17" s="5">
        <f t="shared" si="6"/>
        <v>1.6195216818351359</v>
      </c>
      <c r="R17">
        <f t="shared" si="7"/>
        <v>0.23914859512180031</v>
      </c>
      <c r="Y17" s="71" t="s">
        <v>67</v>
      </c>
      <c r="Z17" s="3" t="s">
        <v>63</v>
      </c>
      <c r="AA17" s="3">
        <v>75.462999999999994</v>
      </c>
      <c r="AB17" s="3">
        <v>87.91</v>
      </c>
      <c r="AC17" s="3">
        <v>93.831000000000003</v>
      </c>
      <c r="AD17" s="3">
        <v>96.99</v>
      </c>
      <c r="AE17" s="3">
        <v>98.492999999999995</v>
      </c>
    </row>
    <row r="18" spans="3:31" ht="16" thickBot="1">
      <c r="C18" s="7"/>
      <c r="D18" s="3"/>
      <c r="E18" s="5"/>
      <c r="F18" s="2"/>
      <c r="G18" s="59"/>
      <c r="H18" s="54"/>
      <c r="I18" s="7">
        <v>19.903278350830078</v>
      </c>
      <c r="J18" s="5">
        <f t="shared" si="3"/>
        <v>1953117.6719455817</v>
      </c>
      <c r="K18" s="5">
        <f t="shared" si="0"/>
        <v>3.0834601917227256E-2</v>
      </c>
      <c r="L18" s="3">
        <f t="shared" si="4"/>
        <v>2.6240854138759591E-3</v>
      </c>
      <c r="M18" s="59"/>
      <c r="N18" s="54"/>
      <c r="O18" s="7">
        <v>14.253024101257324</v>
      </c>
      <c r="P18" s="5">
        <f t="shared" si="5"/>
        <v>139081954.92816055</v>
      </c>
      <c r="Q18" s="5">
        <f t="shared" si="6"/>
        <v>2.1957390359422555</v>
      </c>
      <c r="R18">
        <f t="shared" si="7"/>
        <v>0.32423641596737918</v>
      </c>
      <c r="Y18" s="72" t="s">
        <v>55</v>
      </c>
      <c r="Z18" s="3" t="s">
        <v>64</v>
      </c>
      <c r="AA18" s="3">
        <v>74.994</v>
      </c>
      <c r="AB18" s="3">
        <v>87.52</v>
      </c>
      <c r="AC18" s="3">
        <v>93.766000000000005</v>
      </c>
      <c r="AD18" s="3">
        <v>96.872</v>
      </c>
      <c r="AE18" s="3">
        <v>98.44</v>
      </c>
    </row>
    <row r="19" spans="3:31">
      <c r="C19" s="25"/>
      <c r="D19" s="3"/>
      <c r="E19" s="5"/>
      <c r="F19" s="2"/>
      <c r="G19" s="59"/>
      <c r="H19" s="54"/>
      <c r="I19" s="7">
        <v>17.261833190917969</v>
      </c>
      <c r="J19" s="5">
        <f t="shared" si="3"/>
        <v>14347492.387065673</v>
      </c>
      <c r="K19" s="5">
        <f t="shared" si="0"/>
        <v>0.22650924858251187</v>
      </c>
      <c r="L19" s="3">
        <f t="shared" si="4"/>
        <v>1.9276383619575576E-2</v>
      </c>
      <c r="M19" s="59"/>
      <c r="N19" s="54"/>
      <c r="O19" s="7">
        <v>13.901145935058594</v>
      </c>
      <c r="P19" s="5">
        <f t="shared" si="5"/>
        <v>181401417.76955807</v>
      </c>
      <c r="Q19" s="5">
        <f t="shared" si="6"/>
        <v>2.8638522831924913</v>
      </c>
      <c r="R19">
        <f t="shared" si="7"/>
        <v>0.42289415315871304</v>
      </c>
    </row>
    <row r="20" spans="3:31">
      <c r="C20" s="7"/>
      <c r="D20" s="3"/>
      <c r="E20" s="5"/>
      <c r="F20" s="2"/>
      <c r="G20" s="59"/>
      <c r="H20" s="55">
        <v>70</v>
      </c>
      <c r="I20" s="7">
        <v>21.519826889038086</v>
      </c>
      <c r="J20" s="5">
        <f t="shared" si="3"/>
        <v>576384.76815051306</v>
      </c>
      <c r="K20" s="5">
        <f t="shared" si="0"/>
        <v>9.0996027184426509E-3</v>
      </c>
      <c r="L20" s="3">
        <f t="shared" si="4"/>
        <v>7.7439413129542307E-4</v>
      </c>
      <c r="M20" s="59"/>
      <c r="N20" s="55">
        <v>70</v>
      </c>
      <c r="O20" s="7">
        <v>14.808139801025391</v>
      </c>
      <c r="P20" s="3">
        <f t="shared" si="5"/>
        <v>91467253.573362425</v>
      </c>
      <c r="Q20" s="3">
        <f t="shared" si="6"/>
        <v>1.4440278703675025</v>
      </c>
      <c r="R20">
        <f t="shared" si="7"/>
        <v>0.21323409275002719</v>
      </c>
    </row>
    <row r="21" spans="3:31">
      <c r="C21" s="7"/>
      <c r="D21" s="3"/>
      <c r="E21" s="5"/>
      <c r="F21" s="2"/>
      <c r="G21" s="59"/>
      <c r="H21" s="55"/>
      <c r="I21" s="7">
        <v>24.134574890136719</v>
      </c>
      <c r="J21" s="5">
        <f t="shared" si="3"/>
        <v>80060.457736956814</v>
      </c>
      <c r="K21" s="5">
        <f t="shared" si="0"/>
        <v>1.2639445022126869E-3</v>
      </c>
      <c r="L21" s="3">
        <f t="shared" si="4"/>
        <v>1.0756416901727492E-4</v>
      </c>
      <c r="M21" s="59"/>
      <c r="N21" s="55"/>
      <c r="O21" s="7">
        <v>15.719093322753906</v>
      </c>
      <c r="P21" s="3">
        <f t="shared" si="5"/>
        <v>45982476.037187465</v>
      </c>
      <c r="Q21" s="3">
        <f t="shared" si="6"/>
        <v>0.7259426117233051</v>
      </c>
      <c r="R21">
        <f t="shared" si="7"/>
        <v>0.10719717906830219</v>
      </c>
    </row>
    <row r="22" spans="3:31">
      <c r="C22" s="7"/>
      <c r="D22" s="3"/>
      <c r="E22" s="5"/>
      <c r="F22" s="2"/>
      <c r="G22" s="59"/>
      <c r="H22" s="55"/>
      <c r="I22" s="26" t="s">
        <v>0</v>
      </c>
      <c r="J22" s="5"/>
      <c r="K22" s="5"/>
      <c r="L22" s="3"/>
      <c r="M22" s="59"/>
      <c r="N22" s="55"/>
      <c r="O22" s="7">
        <v>13.547760009765625</v>
      </c>
      <c r="P22" s="3">
        <f t="shared" si="5"/>
        <v>236867193.7458052</v>
      </c>
      <c r="Q22" s="3">
        <f t="shared" si="6"/>
        <v>3.7395113112294558</v>
      </c>
      <c r="R22">
        <f t="shared" si="7"/>
        <v>0.55219938488828679</v>
      </c>
    </row>
    <row r="23" spans="3:31">
      <c r="C23" s="7"/>
      <c r="D23" s="3"/>
      <c r="E23" s="5"/>
      <c r="F23" s="2"/>
      <c r="G23" s="59"/>
      <c r="H23" s="55"/>
      <c r="I23" s="7">
        <v>22.029748916625977</v>
      </c>
      <c r="J23" s="5">
        <f t="shared" ref="J23:J45" si="8">10^((I23-39.09)/-3.05)</f>
        <v>392215.67409654928</v>
      </c>
      <c r="K23" s="5">
        <f t="shared" ref="K23:K45" si="9">J23*66*144/602000000000</f>
        <v>6.1920560907202729E-3</v>
      </c>
      <c r="L23" s="3">
        <f t="shared" ref="L23:L45" si="10">K23/11.75060909</f>
        <v>5.2695618101957246E-4</v>
      </c>
      <c r="M23" s="59"/>
      <c r="N23" s="55"/>
      <c r="O23" s="7">
        <v>14.81429386138916</v>
      </c>
      <c r="P23" s="3">
        <f t="shared" si="5"/>
        <v>91043283.923527375</v>
      </c>
      <c r="Q23" s="3">
        <f t="shared" si="6"/>
        <v>1.4373345023408706</v>
      </c>
      <c r="R23">
        <f t="shared" si="7"/>
        <v>0.21224570860046249</v>
      </c>
    </row>
    <row r="24" spans="3:31">
      <c r="C24" s="7"/>
      <c r="D24" s="3"/>
      <c r="E24" s="5"/>
      <c r="F24" s="2"/>
      <c r="G24" s="59"/>
      <c r="H24" s="55"/>
      <c r="I24" s="7">
        <v>24.235353469848633</v>
      </c>
      <c r="J24" s="5">
        <f t="shared" si="8"/>
        <v>74195.217370494414</v>
      </c>
      <c r="K24" s="5">
        <f t="shared" si="9"/>
        <v>1.1713477506464765E-3</v>
      </c>
      <c r="L24" s="3">
        <f t="shared" si="10"/>
        <v>9.9684002903587069E-5</v>
      </c>
      <c r="M24" s="59"/>
      <c r="N24" s="55"/>
      <c r="O24" s="7">
        <v>15.728401184082031</v>
      </c>
      <c r="P24" s="3">
        <f t="shared" si="5"/>
        <v>45660492.90444155</v>
      </c>
      <c r="Q24" s="3">
        <f t="shared" si="6"/>
        <v>0.72085934312925659</v>
      </c>
      <c r="R24">
        <f t="shared" si="7"/>
        <v>0.10644655216621837</v>
      </c>
    </row>
    <row r="25" spans="3:31">
      <c r="C25" s="25"/>
      <c r="D25" s="3"/>
      <c r="E25" s="5"/>
      <c r="F25" s="2"/>
      <c r="G25" s="59"/>
      <c r="H25" s="55"/>
      <c r="I25" s="7">
        <v>21.519826889038086</v>
      </c>
      <c r="J25" s="5">
        <f t="shared" si="8"/>
        <v>576384.76815051306</v>
      </c>
      <c r="K25" s="5">
        <f t="shared" si="9"/>
        <v>9.0996027184426509E-3</v>
      </c>
      <c r="L25" s="3">
        <f t="shared" si="10"/>
        <v>7.7439413129542307E-4</v>
      </c>
      <c r="M25" s="59"/>
      <c r="N25" s="55"/>
      <c r="O25" s="7">
        <v>13.863895416259766</v>
      </c>
      <c r="P25" s="3">
        <f t="shared" si="5"/>
        <v>186575219.78148961</v>
      </c>
      <c r="Q25" s="3">
        <f t="shared" si="6"/>
        <v>2.9455330378791977</v>
      </c>
      <c r="R25">
        <f t="shared" si="7"/>
        <v>0.4349556389362173</v>
      </c>
    </row>
    <row r="26" spans="3:31">
      <c r="C26" s="7"/>
      <c r="D26" s="3"/>
      <c r="E26" s="5"/>
      <c r="F26" s="2"/>
      <c r="G26" s="56" t="s">
        <v>15</v>
      </c>
      <c r="H26" s="53">
        <v>60</v>
      </c>
      <c r="I26" s="7">
        <v>17.944131851196289</v>
      </c>
      <c r="J26" s="5">
        <f t="shared" si="8"/>
        <v>8571790.0288950317</v>
      </c>
      <c r="K26" s="5">
        <f t="shared" si="9"/>
        <v>0.13532606716714016</v>
      </c>
      <c r="L26" s="3">
        <f t="shared" si="10"/>
        <v>1.1516515112591509E-2</v>
      </c>
      <c r="M26" s="56" t="s">
        <v>16</v>
      </c>
      <c r="N26" s="53">
        <v>60</v>
      </c>
      <c r="O26" s="7">
        <v>14.290654182434082</v>
      </c>
      <c r="P26" s="5">
        <f t="shared" si="5"/>
        <v>135186416.1735791</v>
      </c>
      <c r="Q26" s="5">
        <f t="shared" si="6"/>
        <v>2.1342387031788967</v>
      </c>
      <c r="R26">
        <f t="shared" si="7"/>
        <v>0.3151548961922227</v>
      </c>
    </row>
    <row r="27" spans="3:31">
      <c r="C27" s="7"/>
      <c r="D27" s="3"/>
      <c r="E27" s="5"/>
      <c r="F27" s="2"/>
      <c r="G27" s="56"/>
      <c r="H27" s="53"/>
      <c r="I27" s="7">
        <v>19.12989616394043</v>
      </c>
      <c r="J27" s="5">
        <f t="shared" si="8"/>
        <v>3501840.3267339845</v>
      </c>
      <c r="K27" s="5">
        <f t="shared" si="9"/>
        <v>5.5284867882524576E-2</v>
      </c>
      <c r="L27" s="3">
        <f t="shared" si="10"/>
        <v>4.7048512514617728E-3</v>
      </c>
      <c r="M27" s="56"/>
      <c r="N27" s="53"/>
      <c r="O27" s="7">
        <v>13.614713668823242</v>
      </c>
      <c r="P27" s="5">
        <f t="shared" si="5"/>
        <v>225191967.55619934</v>
      </c>
      <c r="Q27" s="5">
        <f t="shared" si="6"/>
        <v>3.5551901323158113</v>
      </c>
      <c r="R27">
        <f t="shared" si="7"/>
        <v>0.5249813788048836</v>
      </c>
    </row>
    <row r="28" spans="3:31">
      <c r="C28" s="7"/>
      <c r="D28" s="3"/>
      <c r="E28" s="5"/>
      <c r="F28" s="2"/>
      <c r="G28" s="56"/>
      <c r="H28" s="53"/>
      <c r="I28" s="7">
        <v>17.570184707641602</v>
      </c>
      <c r="J28" s="5">
        <f t="shared" si="8"/>
        <v>11367818.868034458</v>
      </c>
      <c r="K28" s="5">
        <f t="shared" si="9"/>
        <v>0.17946802412259052</v>
      </c>
      <c r="L28" s="3">
        <f t="shared" si="10"/>
        <v>1.5273082675801151E-2</v>
      </c>
      <c r="M28" s="56"/>
      <c r="N28" s="53"/>
      <c r="O28" s="26" t="s">
        <v>0</v>
      </c>
      <c r="P28" s="5"/>
      <c r="Q28" s="5"/>
    </row>
    <row r="29" spans="3:31">
      <c r="C29" s="7"/>
      <c r="D29" s="3"/>
      <c r="E29" s="5"/>
      <c r="F29" s="2"/>
      <c r="G29" s="56"/>
      <c r="H29" s="53"/>
      <c r="I29" s="7">
        <v>17.923028945922852</v>
      </c>
      <c r="J29" s="5">
        <f t="shared" si="8"/>
        <v>8709445.5733925253</v>
      </c>
      <c r="K29" s="5">
        <f t="shared" si="9"/>
        <v>0.13749928692611721</v>
      </c>
      <c r="L29" s="3">
        <f t="shared" si="10"/>
        <v>1.1701460398604513E-2</v>
      </c>
      <c r="M29" s="56"/>
      <c r="N29" s="53"/>
      <c r="O29" s="7">
        <v>14.148234367370605</v>
      </c>
      <c r="P29" s="5">
        <f t="shared" si="5"/>
        <v>150531738.12524933</v>
      </c>
      <c r="Q29" s="5">
        <f>P29*66*144/602000000000</f>
        <v>2.376501061698288</v>
      </c>
      <c r="R29">
        <f>Q29/6.772030925</f>
        <v>0.35092885546713415</v>
      </c>
    </row>
    <row r="30" spans="3:31">
      <c r="C30" s="7"/>
      <c r="D30" s="3"/>
      <c r="E30" s="5"/>
      <c r="F30" s="2"/>
      <c r="G30" s="56"/>
      <c r="H30" s="53"/>
      <c r="I30" s="7">
        <v>19.092041015625</v>
      </c>
      <c r="J30" s="5">
        <f t="shared" si="8"/>
        <v>3603361.7464245739</v>
      </c>
      <c r="K30" s="5">
        <f t="shared" si="9"/>
        <v>5.6887624647872344E-2</v>
      </c>
      <c r="L30" s="3">
        <f t="shared" si="10"/>
        <v>4.8412490120435404E-3</v>
      </c>
      <c r="M30" s="56"/>
      <c r="N30" s="53"/>
      <c r="O30" s="7">
        <v>13.59797477722168</v>
      </c>
      <c r="P30" s="5">
        <f t="shared" si="5"/>
        <v>228055765.75826705</v>
      </c>
      <c r="Q30" s="5">
        <f>P30*66*144/602000000000</f>
        <v>3.6004019896454653</v>
      </c>
      <c r="R30">
        <f>Q30/6.772030925</f>
        <v>0.53165764148448058</v>
      </c>
    </row>
    <row r="31" spans="3:31">
      <c r="C31" s="7"/>
      <c r="D31" s="3"/>
      <c r="E31" s="5"/>
      <c r="F31" s="2"/>
      <c r="G31" s="56"/>
      <c r="H31" s="53"/>
      <c r="I31" s="7">
        <v>17.848142623901367</v>
      </c>
      <c r="J31" s="5">
        <f t="shared" si="8"/>
        <v>9216019.8608368747</v>
      </c>
      <c r="K31" s="5">
        <f t="shared" si="9"/>
        <v>0.14549676537773032</v>
      </c>
      <c r="L31" s="3">
        <f t="shared" si="10"/>
        <v>1.2382061581943948E-2</v>
      </c>
      <c r="M31" s="56"/>
      <c r="N31" s="53"/>
      <c r="O31" s="26" t="s">
        <v>0</v>
      </c>
      <c r="P31" s="5"/>
      <c r="Q31" s="5"/>
    </row>
    <row r="32" spans="3:31">
      <c r="C32" s="7"/>
      <c r="D32" s="3"/>
      <c r="E32" s="5"/>
      <c r="F32" s="2"/>
      <c r="G32" s="56"/>
      <c r="H32" s="54">
        <v>65</v>
      </c>
      <c r="I32" s="7">
        <v>23.994626998901367</v>
      </c>
      <c r="J32" s="5">
        <f t="shared" si="8"/>
        <v>88982.094328422827</v>
      </c>
      <c r="K32" s="5">
        <f t="shared" si="9"/>
        <v>1.4047937284008816E-3</v>
      </c>
      <c r="L32" s="3">
        <f t="shared" si="10"/>
        <v>1.1955071585152032E-4</v>
      </c>
      <c r="M32" s="56"/>
      <c r="N32" s="54">
        <v>65</v>
      </c>
      <c r="O32" s="7">
        <v>14.55846118927002</v>
      </c>
      <c r="P32" s="5">
        <f t="shared" si="5"/>
        <v>110440274.88592789</v>
      </c>
      <c r="Q32" s="5">
        <f t="shared" ref="Q32:Q60" si="11">P32*66*144/602000000000</f>
        <v>1.7435620805911272</v>
      </c>
      <c r="R32">
        <f t="shared" ref="R32:R60" si="12">Q32/6.772030925</f>
        <v>0.25746516811588943</v>
      </c>
    </row>
    <row r="33" spans="3:18">
      <c r="C33" s="7"/>
      <c r="D33" s="3"/>
      <c r="E33" s="5"/>
      <c r="F33" s="2"/>
      <c r="G33" s="56"/>
      <c r="H33" s="54"/>
      <c r="I33" s="7">
        <v>22.89051628112793</v>
      </c>
      <c r="J33" s="5">
        <f t="shared" si="8"/>
        <v>204788.76989677106</v>
      </c>
      <c r="K33" s="5">
        <f t="shared" si="9"/>
        <v>3.2330771911942059E-3</v>
      </c>
      <c r="L33" s="3">
        <f t="shared" si="10"/>
        <v>2.7514124301399989E-4</v>
      </c>
      <c r="M33" s="56"/>
      <c r="N33" s="54"/>
      <c r="O33" s="7">
        <v>17.349246978759766</v>
      </c>
      <c r="P33" s="5">
        <f t="shared" si="5"/>
        <v>13431228.717366828</v>
      </c>
      <c r="Q33" s="5">
        <f t="shared" si="11"/>
        <v>0.21204385004959189</v>
      </c>
      <c r="R33">
        <f t="shared" si="12"/>
        <v>3.1311707285151223E-2</v>
      </c>
    </row>
    <row r="34" spans="3:18">
      <c r="C34" s="7"/>
      <c r="D34" s="3"/>
      <c r="E34" s="5"/>
      <c r="F34" s="2"/>
      <c r="G34" s="56"/>
      <c r="H34" s="54"/>
      <c r="I34" s="7">
        <v>25.744636535644531</v>
      </c>
      <c r="J34" s="5">
        <f t="shared" si="8"/>
        <v>23742.639845722733</v>
      </c>
      <c r="K34" s="5">
        <f t="shared" si="9"/>
        <v>3.7483396859426716E-4</v>
      </c>
      <c r="L34" s="3">
        <f t="shared" si="10"/>
        <v>3.1899109716215328E-5</v>
      </c>
      <c r="M34" s="56"/>
      <c r="N34" s="54"/>
      <c r="O34" s="7">
        <v>16.646818161010742</v>
      </c>
      <c r="P34" s="5">
        <f t="shared" si="5"/>
        <v>22825498.707400281</v>
      </c>
      <c r="Q34" s="5">
        <f t="shared" si="11"/>
        <v>0.36035471713477124</v>
      </c>
      <c r="R34">
        <f t="shared" si="12"/>
        <v>5.3212207848086758E-2</v>
      </c>
    </row>
    <row r="35" spans="3:18">
      <c r="C35" s="7"/>
      <c r="D35" s="3"/>
      <c r="E35" s="5"/>
      <c r="F35" s="2"/>
      <c r="G35" s="56"/>
      <c r="H35" s="54"/>
      <c r="I35" s="7">
        <v>24.057743072509766</v>
      </c>
      <c r="J35" s="5">
        <f t="shared" si="8"/>
        <v>84841.595808835569</v>
      </c>
      <c r="K35" s="5">
        <f t="shared" si="9"/>
        <v>1.3394261238657364E-3</v>
      </c>
      <c r="L35" s="3">
        <f t="shared" si="10"/>
        <v>1.1398780383270638E-4</v>
      </c>
      <c r="M35" s="56"/>
      <c r="N35" s="54"/>
      <c r="O35" s="7">
        <v>14.613679885864258</v>
      </c>
      <c r="P35" s="5">
        <f t="shared" si="5"/>
        <v>105930979.54836029</v>
      </c>
      <c r="Q35" s="5">
        <f t="shared" si="11"/>
        <v>1.6723721422385651</v>
      </c>
      <c r="R35">
        <f t="shared" si="12"/>
        <v>0.24695282120829434</v>
      </c>
    </row>
    <row r="36" spans="3:18">
      <c r="C36" s="7"/>
      <c r="D36" s="3"/>
      <c r="E36" s="5"/>
      <c r="F36" s="2"/>
      <c r="G36" s="56"/>
      <c r="H36" s="54"/>
      <c r="I36" s="7">
        <v>23.214950561523438</v>
      </c>
      <c r="J36" s="5">
        <f t="shared" si="8"/>
        <v>160300.26567023614</v>
      </c>
      <c r="K36" s="5">
        <f t="shared" si="9"/>
        <v>2.5307204733055221E-3</v>
      </c>
      <c r="L36" s="3">
        <f t="shared" si="10"/>
        <v>2.1536930161851909E-4</v>
      </c>
      <c r="M36" s="56"/>
      <c r="N36" s="54"/>
      <c r="O36" s="7">
        <v>17.360511779785156</v>
      </c>
      <c r="P36" s="5">
        <f t="shared" si="5"/>
        <v>13317489.630028717</v>
      </c>
      <c r="Q36" s="5">
        <f t="shared" si="11"/>
        <v>0.21024820837839359</v>
      </c>
      <c r="R36">
        <f t="shared" si="12"/>
        <v>3.104655172235404E-2</v>
      </c>
    </row>
    <row r="37" spans="3:18">
      <c r="C37" s="7"/>
      <c r="D37" s="3"/>
      <c r="E37" s="5"/>
      <c r="F37" s="2"/>
      <c r="G37" s="56"/>
      <c r="H37" s="54"/>
      <c r="I37" s="7">
        <v>25.993499755859375</v>
      </c>
      <c r="J37" s="5">
        <f t="shared" si="8"/>
        <v>19675.895452397795</v>
      </c>
      <c r="K37" s="5">
        <f t="shared" si="9"/>
        <v>3.1063074813885154E-4</v>
      </c>
      <c r="L37" s="3">
        <f t="shared" si="10"/>
        <v>2.6435289078181016E-5</v>
      </c>
      <c r="M37" s="56"/>
      <c r="N37" s="54"/>
      <c r="O37" s="7">
        <v>16.756923675537109</v>
      </c>
      <c r="P37" s="5">
        <f t="shared" si="5"/>
        <v>21004875.241141185</v>
      </c>
      <c r="Q37" s="5">
        <f t="shared" si="11"/>
        <v>0.33161185098306611</v>
      </c>
      <c r="R37">
        <f t="shared" si="12"/>
        <v>4.896785833609673E-2</v>
      </c>
    </row>
    <row r="38" spans="3:18">
      <c r="C38" s="7"/>
      <c r="D38" s="3"/>
      <c r="E38" s="5"/>
      <c r="F38" s="2"/>
      <c r="G38" s="56"/>
      <c r="H38" s="55">
        <v>70</v>
      </c>
      <c r="I38" s="7">
        <v>30.642040252685547</v>
      </c>
      <c r="J38" s="5">
        <f t="shared" si="8"/>
        <v>588.60353763016178</v>
      </c>
      <c r="K38" s="5">
        <f t="shared" si="9"/>
        <v>9.2925050193306606E-6</v>
      </c>
      <c r="L38" s="3">
        <f t="shared" si="10"/>
        <v>7.9081049740976963E-7</v>
      </c>
      <c r="M38" s="56"/>
      <c r="N38" s="55">
        <v>70</v>
      </c>
      <c r="O38" s="7">
        <v>16.091583251953125</v>
      </c>
      <c r="P38" s="3">
        <f t="shared" si="5"/>
        <v>34710790.755288206</v>
      </c>
      <c r="Q38" s="3">
        <f t="shared" si="11"/>
        <v>0.54799228461504834</v>
      </c>
      <c r="R38">
        <f t="shared" si="12"/>
        <v>8.0919932393109725E-2</v>
      </c>
    </row>
    <row r="39" spans="3:18">
      <c r="C39" s="7"/>
      <c r="D39" s="3"/>
      <c r="E39" s="5"/>
      <c r="F39" s="2"/>
      <c r="G39" s="56"/>
      <c r="H39" s="55"/>
      <c r="I39" s="7">
        <v>27.998382568359375</v>
      </c>
      <c r="J39" s="5">
        <f t="shared" si="8"/>
        <v>4331.0767439892261</v>
      </c>
      <c r="K39" s="5">
        <f t="shared" si="9"/>
        <v>6.8376334509756805E-5</v>
      </c>
      <c r="L39" s="3">
        <f t="shared" si="10"/>
        <v>5.8189608713940132E-6</v>
      </c>
      <c r="M39" s="56"/>
      <c r="N39" s="55"/>
      <c r="O39" s="7">
        <v>17.203861236572266</v>
      </c>
      <c r="P39" s="3">
        <f t="shared" si="5"/>
        <v>14989363.828697355</v>
      </c>
      <c r="Q39" s="3">
        <f t="shared" si="11"/>
        <v>0.23664271399989978</v>
      </c>
      <c r="R39">
        <f t="shared" si="12"/>
        <v>3.4944127783926172E-2</v>
      </c>
    </row>
    <row r="40" spans="3:18">
      <c r="C40" s="7"/>
      <c r="D40" s="3"/>
      <c r="E40" s="5"/>
      <c r="F40" s="2"/>
      <c r="G40" s="56"/>
      <c r="H40" s="55"/>
      <c r="I40" s="7">
        <v>27.062505722045898</v>
      </c>
      <c r="J40" s="5">
        <f t="shared" si="8"/>
        <v>8778.9130349756415</v>
      </c>
      <c r="K40" s="5">
        <f t="shared" si="9"/>
        <v>1.3859599582127658E-4</v>
      </c>
      <c r="L40" s="3">
        <f t="shared" si="10"/>
        <v>1.1794792487754913E-5</v>
      </c>
      <c r="M40" s="56"/>
      <c r="N40" s="55"/>
      <c r="O40" s="7">
        <v>16.088092803955078</v>
      </c>
      <c r="P40" s="3">
        <f t="shared" si="5"/>
        <v>34802377.760697663</v>
      </c>
      <c r="Q40" s="3">
        <f t="shared" si="11"/>
        <v>0.54943820305260893</v>
      </c>
      <c r="R40">
        <f t="shared" si="12"/>
        <v>8.1133445658712625E-2</v>
      </c>
    </row>
    <row r="41" spans="3:18">
      <c r="C41" s="7"/>
      <c r="D41" s="3"/>
      <c r="E41" s="5"/>
      <c r="F41" s="2"/>
      <c r="G41" s="56"/>
      <c r="H41" s="55"/>
      <c r="I41" s="7">
        <v>30.784357070922852</v>
      </c>
      <c r="J41" s="5">
        <f t="shared" si="8"/>
        <v>528.64194123934681</v>
      </c>
      <c r="K41" s="5">
        <f t="shared" si="9"/>
        <v>8.3458687866092234E-6</v>
      </c>
      <c r="L41" s="3">
        <f t="shared" si="10"/>
        <v>7.1024988770256365E-7</v>
      </c>
      <c r="M41" s="56"/>
      <c r="N41" s="55"/>
      <c r="O41" s="7">
        <v>16.130146026611328</v>
      </c>
      <c r="P41" s="3">
        <f t="shared" si="5"/>
        <v>33714830.054552965</v>
      </c>
      <c r="Q41" s="3">
        <f t="shared" si="11"/>
        <v>0.53226867913367337</v>
      </c>
      <c r="R41">
        <f t="shared" si="12"/>
        <v>7.8598087490817731E-2</v>
      </c>
    </row>
    <row r="42" spans="3:18">
      <c r="C42" s="7"/>
      <c r="D42" s="3"/>
      <c r="E42" s="5"/>
      <c r="F42" s="2"/>
      <c r="G42" s="56"/>
      <c r="H42" s="55"/>
      <c r="I42" s="7">
        <v>27.307952880859375</v>
      </c>
      <c r="J42" s="5">
        <f t="shared" si="8"/>
        <v>7294.0085586467521</v>
      </c>
      <c r="K42" s="5">
        <f t="shared" si="9"/>
        <v>1.1515325139763909E-4</v>
      </c>
      <c r="L42" s="3">
        <f t="shared" si="10"/>
        <v>9.7997687197029462E-6</v>
      </c>
      <c r="M42" s="56"/>
      <c r="N42" s="55"/>
      <c r="O42" s="7">
        <v>17.199583053588867</v>
      </c>
      <c r="P42" s="3">
        <f t="shared" si="5"/>
        <v>15037854.694297383</v>
      </c>
      <c r="Q42" s="3">
        <f t="shared" si="11"/>
        <v>0.23740825749933941</v>
      </c>
      <c r="R42">
        <f t="shared" si="12"/>
        <v>3.5057172675173422E-2</v>
      </c>
    </row>
    <row r="43" spans="3:18">
      <c r="C43" s="7"/>
      <c r="D43" s="3"/>
      <c r="E43" s="5"/>
      <c r="F43" s="2"/>
      <c r="G43" s="56"/>
      <c r="H43" s="55"/>
      <c r="I43" s="7">
        <v>27.215848922729492</v>
      </c>
      <c r="J43" s="5">
        <f t="shared" si="8"/>
        <v>7819.235395698337</v>
      </c>
      <c r="K43" s="5">
        <f t="shared" si="9"/>
        <v>1.2344520465235381E-4</v>
      </c>
      <c r="L43" s="3">
        <f t="shared" si="10"/>
        <v>1.0505430289346289E-5</v>
      </c>
      <c r="M43" s="56"/>
      <c r="N43" s="55"/>
      <c r="O43" s="7">
        <v>16.198268890380859</v>
      </c>
      <c r="P43" s="3">
        <f t="shared" ref="P43:P55" si="13">10^((O43-39.09)/-3.05)</f>
        <v>32024739.793296654</v>
      </c>
      <c r="Q43" s="3">
        <f t="shared" si="11"/>
        <v>0.50558658969350734</v>
      </c>
      <c r="R43">
        <f t="shared" si="12"/>
        <v>7.4658045022661698E-2</v>
      </c>
    </row>
    <row r="44" spans="3:18">
      <c r="C44" s="7"/>
      <c r="D44" s="3"/>
      <c r="E44" s="5"/>
      <c r="F44" s="2"/>
      <c r="G44" s="52" t="s">
        <v>17</v>
      </c>
      <c r="H44" s="53">
        <v>60</v>
      </c>
      <c r="I44" s="7">
        <v>27.318117141723633</v>
      </c>
      <c r="J44" s="5">
        <f t="shared" si="8"/>
        <v>7238.2524168650752</v>
      </c>
      <c r="K44" s="5">
        <f t="shared" si="9"/>
        <v>1.1427300825562404E-4</v>
      </c>
      <c r="L44" s="3">
        <f t="shared" si="10"/>
        <v>9.7248582929094827E-6</v>
      </c>
      <c r="M44" s="52" t="s">
        <v>18</v>
      </c>
      <c r="N44" s="53">
        <v>60</v>
      </c>
      <c r="O44" s="7">
        <v>14.440492630004883</v>
      </c>
      <c r="P44" s="5">
        <f t="shared" si="13"/>
        <v>120727357.57010229</v>
      </c>
      <c r="Q44" s="5">
        <f t="shared" si="11"/>
        <v>1.9059681168542395</v>
      </c>
      <c r="R44">
        <f t="shared" si="12"/>
        <v>0.28144704859779407</v>
      </c>
    </row>
    <row r="45" spans="3:18">
      <c r="C45" s="7"/>
      <c r="D45" s="3"/>
      <c r="E45" s="5"/>
      <c r="F45" s="2"/>
      <c r="G45" s="52"/>
      <c r="H45" s="53"/>
      <c r="I45" s="7">
        <v>22.480545043945313</v>
      </c>
      <c r="J45" s="5">
        <f t="shared" si="8"/>
        <v>279076.28711742471</v>
      </c>
      <c r="K45" s="5">
        <f t="shared" si="9"/>
        <v>4.4058821142259211E-3</v>
      </c>
      <c r="L45" s="3">
        <f t="shared" si="10"/>
        <v>3.7494925416040043E-4</v>
      </c>
      <c r="M45" s="52"/>
      <c r="N45" s="53"/>
      <c r="O45" s="7">
        <v>15.561578750610352</v>
      </c>
      <c r="P45" s="5">
        <f t="shared" si="13"/>
        <v>51788874.783777334</v>
      </c>
      <c r="Q45" s="5">
        <f t="shared" si="11"/>
        <v>0.81761040854654443</v>
      </c>
      <c r="R45">
        <f t="shared" si="12"/>
        <v>0.12073341329972506</v>
      </c>
    </row>
    <row r="46" spans="3:18">
      <c r="C46" s="7"/>
      <c r="D46" s="3"/>
      <c r="E46" s="5"/>
      <c r="F46" s="2"/>
      <c r="G46" s="52"/>
      <c r="H46" s="53"/>
      <c r="I46" s="26" t="s">
        <v>0</v>
      </c>
      <c r="J46" s="5"/>
      <c r="K46" s="5"/>
      <c r="L46" s="3"/>
      <c r="M46" s="52"/>
      <c r="N46" s="53"/>
      <c r="O46" s="7">
        <v>15.627028465270996</v>
      </c>
      <c r="P46" s="5">
        <f t="shared" si="13"/>
        <v>49292126.27476199</v>
      </c>
      <c r="Q46" s="5">
        <f t="shared" si="11"/>
        <v>0.77819330251717267</v>
      </c>
      <c r="R46">
        <f t="shared" si="12"/>
        <v>0.11491283946214004</v>
      </c>
    </row>
    <row r="47" spans="3:18">
      <c r="C47" s="7"/>
      <c r="D47" s="3"/>
      <c r="E47" s="5"/>
      <c r="F47" s="2"/>
      <c r="G47" s="52"/>
      <c r="H47" s="53"/>
      <c r="I47" s="7">
        <v>28.185329437255859</v>
      </c>
      <c r="J47" s="5">
        <f t="shared" ref="J47:J55" si="14">10^((I47-39.09)/-3.05)</f>
        <v>3760.9869270963977</v>
      </c>
      <c r="K47" s="5">
        <f t="shared" ref="K47:K55" si="15">J47*66*144/602000000000</f>
        <v>5.9376112550040145E-5</v>
      </c>
      <c r="L47" s="3">
        <f t="shared" ref="L47:L55" si="16">K47/11.75060909</f>
        <v>5.0530242385963118E-6</v>
      </c>
      <c r="M47" s="52"/>
      <c r="N47" s="53"/>
      <c r="O47" s="7">
        <v>14.636042594909668</v>
      </c>
      <c r="P47" s="5">
        <f t="shared" si="13"/>
        <v>104157597.16161656</v>
      </c>
      <c r="Q47" s="5">
        <f t="shared" si="11"/>
        <v>1.6443750887441924</v>
      </c>
      <c r="R47">
        <f t="shared" si="12"/>
        <v>0.2428186030092874</v>
      </c>
    </row>
    <row r="48" spans="3:18">
      <c r="C48" s="7"/>
      <c r="D48" s="3"/>
      <c r="E48" s="5"/>
      <c r="F48" s="2"/>
      <c r="G48" s="52"/>
      <c r="H48" s="53"/>
      <c r="I48" s="7">
        <v>22.739658355712891</v>
      </c>
      <c r="J48" s="5">
        <f t="shared" si="14"/>
        <v>229492.10643606549</v>
      </c>
      <c r="K48" s="5">
        <f t="shared" si="15"/>
        <v>3.6230780391501103E-3</v>
      </c>
      <c r="L48" s="3">
        <f t="shared" si="16"/>
        <v>3.0833108406554187E-4</v>
      </c>
      <c r="M48" s="52"/>
      <c r="N48" s="53"/>
      <c r="O48" s="7">
        <v>15.442432403564453</v>
      </c>
      <c r="P48" s="5">
        <f t="shared" si="13"/>
        <v>56663167.910206027</v>
      </c>
      <c r="Q48" s="5">
        <f t="shared" si="11"/>
        <v>0.89456270401760474</v>
      </c>
      <c r="R48">
        <f t="shared" si="12"/>
        <v>0.13209666552395502</v>
      </c>
    </row>
    <row r="49" spans="2:19">
      <c r="C49" s="7"/>
      <c r="D49" s="3"/>
      <c r="E49" s="5"/>
      <c r="F49" s="2"/>
      <c r="G49" s="52"/>
      <c r="H49" s="53"/>
      <c r="I49" s="7">
        <v>17.813133239746094</v>
      </c>
      <c r="J49" s="5">
        <f t="shared" si="14"/>
        <v>9462848.532821374</v>
      </c>
      <c r="K49" s="5">
        <f t="shared" si="15"/>
        <v>0.1493935422856052</v>
      </c>
      <c r="L49" s="3">
        <f t="shared" si="16"/>
        <v>1.2713684979337969E-2</v>
      </c>
      <c r="M49" s="52"/>
      <c r="N49" s="53"/>
      <c r="O49" s="7">
        <v>15.699047088623047</v>
      </c>
      <c r="P49" s="5">
        <f t="shared" si="13"/>
        <v>46683659.093912341</v>
      </c>
      <c r="Q49" s="5">
        <f t="shared" si="11"/>
        <v>0.73701245187465603</v>
      </c>
      <c r="R49">
        <f t="shared" si="12"/>
        <v>0.10883182017876801</v>
      </c>
    </row>
    <row r="50" spans="2:19">
      <c r="C50" s="7"/>
      <c r="D50" s="3"/>
      <c r="E50" s="5"/>
      <c r="F50" s="2"/>
      <c r="G50" s="52"/>
      <c r="H50" s="54">
        <v>65</v>
      </c>
      <c r="I50" s="7">
        <v>26.149106979370117</v>
      </c>
      <c r="J50" s="5">
        <f t="shared" si="14"/>
        <v>17495.07241618586</v>
      </c>
      <c r="K50" s="5">
        <f t="shared" si="15"/>
        <v>2.7620127615187774E-4</v>
      </c>
      <c r="L50" s="3">
        <f t="shared" si="16"/>
        <v>2.3505273134048046E-5</v>
      </c>
      <c r="M50" s="52"/>
      <c r="N50" s="54">
        <v>65</v>
      </c>
      <c r="O50" s="7">
        <v>15.735465049743652</v>
      </c>
      <c r="P50" s="5">
        <f t="shared" si="13"/>
        <v>45417641.074700452</v>
      </c>
      <c r="Q50" s="5">
        <f t="shared" si="11"/>
        <v>0.71702535012284563</v>
      </c>
      <c r="R50">
        <f t="shared" si="12"/>
        <v>0.10588040102945123</v>
      </c>
    </row>
    <row r="51" spans="2:19">
      <c r="C51" s="7"/>
      <c r="D51" s="3"/>
      <c r="E51" s="5"/>
      <c r="F51" s="2"/>
      <c r="G51" s="52"/>
      <c r="H51" s="54"/>
      <c r="I51" s="7">
        <v>25.101486206054688</v>
      </c>
      <c r="J51" s="5">
        <f t="shared" si="14"/>
        <v>38583.175218840341</v>
      </c>
      <c r="K51" s="5">
        <f t="shared" si="15"/>
        <v>6.0912707189345278E-4</v>
      </c>
      <c r="L51" s="3">
        <f t="shared" si="16"/>
        <v>5.1837914718125712E-5</v>
      </c>
      <c r="M51" s="52"/>
      <c r="N51" s="54"/>
      <c r="O51" s="7">
        <v>16.884109497070313</v>
      </c>
      <c r="P51" s="5">
        <f t="shared" si="13"/>
        <v>19081821.855080232</v>
      </c>
      <c r="Q51" s="5">
        <f t="shared" si="11"/>
        <v>0.3012518852336919</v>
      </c>
      <c r="R51">
        <f t="shared" si="12"/>
        <v>4.4484717888923685E-2</v>
      </c>
    </row>
    <row r="52" spans="2:19">
      <c r="C52" s="7"/>
      <c r="D52" s="3"/>
      <c r="E52" s="5"/>
      <c r="F52" s="2"/>
      <c r="G52" s="52"/>
      <c r="H52" s="54"/>
      <c r="I52" s="7">
        <v>25.338703155517578</v>
      </c>
      <c r="J52" s="5">
        <f t="shared" si="14"/>
        <v>32256.847144388292</v>
      </c>
      <c r="K52" s="5">
        <f t="shared" si="15"/>
        <v>5.0925095558183766E-4</v>
      </c>
      <c r="L52" s="3">
        <f t="shared" si="16"/>
        <v>4.333826031326498E-5</v>
      </c>
      <c r="M52" s="52"/>
      <c r="N52" s="54"/>
      <c r="O52" s="7">
        <v>16.446653366088867</v>
      </c>
      <c r="P52" s="5">
        <f t="shared" si="13"/>
        <v>26548994.44868603</v>
      </c>
      <c r="Q52" s="5">
        <f t="shared" si="11"/>
        <v>0.41913894225965448</v>
      </c>
      <c r="R52">
        <f t="shared" si="12"/>
        <v>6.1892650358748101E-2</v>
      </c>
    </row>
    <row r="53" spans="2:19">
      <c r="C53" s="7"/>
      <c r="D53" s="3"/>
      <c r="E53" s="5"/>
      <c r="F53" s="2"/>
      <c r="G53" s="52"/>
      <c r="H53" s="54"/>
      <c r="I53" s="7">
        <v>26.185277938842773</v>
      </c>
      <c r="J53" s="5">
        <f t="shared" si="14"/>
        <v>17023.79627819726</v>
      </c>
      <c r="K53" s="5">
        <f t="shared" si="15"/>
        <v>2.6876106283718734E-4</v>
      </c>
      <c r="L53" s="3">
        <f t="shared" si="16"/>
        <v>2.2872096312514415E-5</v>
      </c>
      <c r="M53" s="52"/>
      <c r="N53" s="54"/>
      <c r="O53" s="7">
        <v>15.890063285827637</v>
      </c>
      <c r="P53" s="5">
        <f t="shared" si="13"/>
        <v>40414445.787615404</v>
      </c>
      <c r="Q53" s="5">
        <f t="shared" si="11"/>
        <v>0.63803802784966235</v>
      </c>
      <c r="R53">
        <f t="shared" si="12"/>
        <v>9.4216644152383622E-2</v>
      </c>
    </row>
    <row r="54" spans="2:19">
      <c r="C54" s="7"/>
      <c r="D54" s="3"/>
      <c r="E54" s="5"/>
      <c r="F54" s="2"/>
      <c r="G54" s="52"/>
      <c r="H54" s="54"/>
      <c r="I54" s="7">
        <v>25.252613067626953</v>
      </c>
      <c r="J54" s="5">
        <f t="shared" si="14"/>
        <v>34422.957015908949</v>
      </c>
      <c r="K54" s="5">
        <f t="shared" si="15"/>
        <v>5.4344814531428359E-4</v>
      </c>
      <c r="L54" s="3">
        <f t="shared" si="16"/>
        <v>4.6248508579590884E-5</v>
      </c>
      <c r="M54" s="52"/>
      <c r="N54" s="54"/>
      <c r="O54" s="7">
        <v>16.777568817138672</v>
      </c>
      <c r="P54" s="5">
        <f t="shared" si="13"/>
        <v>20680032.05008053</v>
      </c>
      <c r="Q54" s="5">
        <f t="shared" si="11"/>
        <v>0.32648342957469328</v>
      </c>
      <c r="R54">
        <f t="shared" si="12"/>
        <v>4.8210563889988921E-2</v>
      </c>
    </row>
    <row r="55" spans="2:19">
      <c r="C55" s="7"/>
      <c r="D55" s="3"/>
      <c r="E55" s="5"/>
      <c r="F55" s="2"/>
      <c r="G55" s="52"/>
      <c r="H55" s="54"/>
      <c r="I55" s="7">
        <v>25.411056518554688</v>
      </c>
      <c r="J55" s="5">
        <f t="shared" si="14"/>
        <v>30542.142711774151</v>
      </c>
      <c r="K55" s="5">
        <f t="shared" si="15"/>
        <v>4.8218027297790945E-4</v>
      </c>
      <c r="L55" s="3">
        <f t="shared" si="16"/>
        <v>4.103449185355459E-5</v>
      </c>
      <c r="M55" s="52"/>
      <c r="N55" s="54"/>
      <c r="O55" s="7">
        <v>16.527217864990234</v>
      </c>
      <c r="P55" s="5">
        <f t="shared" si="13"/>
        <v>24982361.413084112</v>
      </c>
      <c r="Q55" s="5">
        <f t="shared" si="11"/>
        <v>0.3944059183886236</v>
      </c>
      <c r="R55">
        <f t="shared" si="12"/>
        <v>5.8240418975733427E-2</v>
      </c>
    </row>
    <row r="56" spans="2:19">
      <c r="C56" s="7"/>
      <c r="D56" s="3"/>
      <c r="E56" s="5"/>
      <c r="G56" s="52"/>
      <c r="H56" s="55">
        <v>70</v>
      </c>
      <c r="I56" s="7">
        <v>0</v>
      </c>
      <c r="J56" s="5"/>
      <c r="K56" s="5"/>
      <c r="L56" s="3"/>
      <c r="M56" s="52"/>
      <c r="N56" s="55">
        <v>70</v>
      </c>
      <c r="O56">
        <v>21.644342147127226</v>
      </c>
      <c r="P56" s="3">
        <f>10^((O56-39.09)/-3.05)</f>
        <v>524671.91863392584</v>
      </c>
      <c r="Q56" s="3">
        <f t="shared" si="11"/>
        <v>8.2831925493302844E-3</v>
      </c>
      <c r="R56">
        <f t="shared" si="12"/>
        <v>1.2231474783659946E-3</v>
      </c>
    </row>
    <row r="57" spans="2:19">
      <c r="C57" s="7"/>
      <c r="D57" s="3"/>
      <c r="E57" s="5"/>
      <c r="G57" s="52"/>
      <c r="H57" s="55"/>
      <c r="I57" s="7">
        <v>0</v>
      </c>
      <c r="J57" s="5"/>
      <c r="K57" s="5"/>
      <c r="L57" s="3"/>
      <c r="M57" s="52"/>
      <c r="N57" s="55"/>
      <c r="O57" s="7" t="s">
        <v>0</v>
      </c>
      <c r="P57" s="3"/>
      <c r="Q57" s="3"/>
    </row>
    <row r="58" spans="2:19">
      <c r="C58" s="7"/>
      <c r="D58" s="3"/>
      <c r="E58" s="5"/>
      <c r="G58" s="52"/>
      <c r="H58" s="55"/>
      <c r="I58" s="7">
        <v>0</v>
      </c>
      <c r="J58" s="5"/>
      <c r="K58" s="5"/>
      <c r="L58" s="3"/>
      <c r="M58" s="52"/>
      <c r="N58" s="55"/>
      <c r="O58">
        <v>21.720542460727277</v>
      </c>
      <c r="P58" s="3">
        <f t="shared" ref="P58:P60" si="17">10^((O58-39.09)/-3.05)</f>
        <v>495340.81142374</v>
      </c>
      <c r="Q58" s="3">
        <f t="shared" si="11"/>
        <v>7.8201313484571842E-3</v>
      </c>
      <c r="R58">
        <f t="shared" si="12"/>
        <v>1.1547689954556999E-3</v>
      </c>
    </row>
    <row r="59" spans="2:19">
      <c r="C59" s="7"/>
      <c r="D59" s="3"/>
      <c r="E59" s="5"/>
      <c r="G59" s="52"/>
      <c r="H59" s="55"/>
      <c r="I59" s="7">
        <v>0</v>
      </c>
      <c r="J59" s="5"/>
      <c r="K59" s="5"/>
      <c r="L59" s="3"/>
      <c r="M59" s="52"/>
      <c r="N59" s="55"/>
      <c r="O59">
        <v>21.696106511007795</v>
      </c>
      <c r="P59" s="3">
        <f t="shared" si="17"/>
        <v>504563.5783853248</v>
      </c>
      <c r="Q59" s="3">
        <f t="shared" si="11"/>
        <v>7.965734632847386E-3</v>
      </c>
      <c r="R59">
        <f t="shared" si="12"/>
        <v>1.17626967760006E-3</v>
      </c>
    </row>
    <row r="60" spans="2:19">
      <c r="C60" s="7"/>
      <c r="D60" s="3"/>
      <c r="E60" s="5"/>
      <c r="G60" s="52"/>
      <c r="H60" s="55"/>
      <c r="I60" s="7">
        <v>0</v>
      </c>
      <c r="J60" s="5"/>
      <c r="K60" s="5"/>
      <c r="L60" s="3"/>
      <c r="M60" s="52"/>
      <c r="N60" s="55"/>
      <c r="O60">
        <v>21.704020790695722</v>
      </c>
      <c r="P60" s="3">
        <f t="shared" si="17"/>
        <v>501557.87331114267</v>
      </c>
      <c r="Q60" s="3">
        <f t="shared" si="11"/>
        <v>7.9182824384536558E-3</v>
      </c>
      <c r="R60">
        <f t="shared" si="12"/>
        <v>1.1692625928836342E-3</v>
      </c>
    </row>
    <row r="61" spans="2:19">
      <c r="C61" s="7"/>
      <c r="D61" s="3"/>
      <c r="E61" s="5"/>
      <c r="G61" s="52"/>
      <c r="H61" s="55"/>
      <c r="I61" s="7">
        <v>0</v>
      </c>
      <c r="J61" s="5"/>
      <c r="K61" s="5"/>
      <c r="L61" s="3"/>
      <c r="M61" s="52"/>
      <c r="N61" s="55"/>
      <c r="O61" s="7" t="s">
        <v>0</v>
      </c>
      <c r="P61" s="3"/>
      <c r="Q61" s="3"/>
    </row>
    <row r="63" spans="2:19">
      <c r="B63" s="30"/>
      <c r="C63" s="30"/>
      <c r="D63" s="30"/>
      <c r="E63" s="30"/>
      <c r="F63" s="30"/>
      <c r="I63" s="38"/>
      <c r="J63" s="38" t="s">
        <v>43</v>
      </c>
      <c r="K63" s="38" t="s">
        <v>44</v>
      </c>
    </row>
    <row r="64" spans="2:19">
      <c r="B64" s="30"/>
      <c r="C64" s="30"/>
      <c r="D64" s="30"/>
      <c r="E64" s="30"/>
      <c r="F64" s="30"/>
      <c r="H64" s="24"/>
      <c r="I64" s="39" t="s">
        <v>29</v>
      </c>
      <c r="J64" s="39" t="s">
        <v>28</v>
      </c>
      <c r="K64" s="40" t="s">
        <v>27</v>
      </c>
      <c r="L64" s="3"/>
      <c r="M64" s="3"/>
      <c r="N64" s="24"/>
      <c r="O64" s="18" t="s">
        <v>29</v>
      </c>
      <c r="P64" s="18" t="s">
        <v>28</v>
      </c>
      <c r="Q64" s="17" t="s">
        <v>27</v>
      </c>
      <c r="S64" s="30" t="s">
        <v>1</v>
      </c>
    </row>
    <row r="65" spans="2:19">
      <c r="B65" s="30"/>
      <c r="C65" s="30"/>
      <c r="D65" s="30"/>
      <c r="E65" s="30"/>
      <c r="F65" s="30"/>
      <c r="H65" s="15" t="s">
        <v>26</v>
      </c>
      <c r="I65" s="3" t="s">
        <v>25</v>
      </c>
      <c r="J65" s="3" t="s">
        <v>25</v>
      </c>
      <c r="K65" s="23" t="s">
        <v>25</v>
      </c>
      <c r="L65" s="3"/>
      <c r="M65" s="3"/>
      <c r="N65" s="15" t="s">
        <v>26</v>
      </c>
      <c r="O65" s="3" t="s">
        <v>25</v>
      </c>
      <c r="P65" s="3" t="s">
        <v>25</v>
      </c>
      <c r="Q65" s="23" t="s">
        <v>25</v>
      </c>
      <c r="S65" s="30" t="s">
        <v>30</v>
      </c>
    </row>
    <row r="66" spans="2:19">
      <c r="B66" s="30"/>
      <c r="C66" s="30"/>
      <c r="D66" s="30"/>
      <c r="E66" s="30"/>
      <c r="G66" s="43" t="s">
        <v>48</v>
      </c>
      <c r="H66" s="41">
        <v>0</v>
      </c>
      <c r="I66" s="35">
        <f>LN(AVERAGE(K2:K7))</f>
        <v>2.463905076748548</v>
      </c>
      <c r="J66" s="35">
        <v>2.4639050767485502</v>
      </c>
      <c r="K66" s="36">
        <v>2.463905076748548</v>
      </c>
      <c r="L66" s="3"/>
      <c r="M66" s="3"/>
      <c r="N66" s="15">
        <v>0</v>
      </c>
      <c r="O66" s="3">
        <f>LN(AVERAGE(Q2:Q7))</f>
        <v>1.9128010307950791</v>
      </c>
      <c r="P66" s="3">
        <v>1.9128010307950791</v>
      </c>
      <c r="Q66" s="3">
        <v>1.9128010307950791</v>
      </c>
      <c r="S66" s="30" t="s">
        <v>31</v>
      </c>
    </row>
    <row r="67" spans="2:19">
      <c r="B67" s="3"/>
      <c r="C67" s="3"/>
      <c r="D67" s="3"/>
      <c r="E67" s="5"/>
      <c r="F67" t="s">
        <v>42</v>
      </c>
      <c r="G67" s="44" t="s">
        <v>49</v>
      </c>
      <c r="H67" s="41">
        <v>604800</v>
      </c>
      <c r="I67" s="35">
        <f>LN(AVERAGE(K8:K13))</f>
        <v>0.15622720757362005</v>
      </c>
      <c r="J67" s="35">
        <f>LN(AVERAGE(K14:K19))</f>
        <v>-2.3848437403763127</v>
      </c>
      <c r="K67" s="37">
        <f>LN(AVERAGE(K20:K25))</f>
        <v>-5.2278009817264364</v>
      </c>
      <c r="L67" s="3"/>
      <c r="M67" s="3"/>
      <c r="N67" s="15">
        <v>604800</v>
      </c>
      <c r="O67" s="3">
        <f>LN(AVERAGE(Q8:Q13))</f>
        <v>0.98618951915538666</v>
      </c>
      <c r="P67" s="3">
        <f>LN(AVERAGE(Q14:Q19))</f>
        <v>0.91478500385417527</v>
      </c>
      <c r="Q67" s="23">
        <f>LN(AVERAGE(Q20:Q25))</f>
        <v>0.60733587198822048</v>
      </c>
      <c r="S67" s="31" t="s">
        <v>32</v>
      </c>
    </row>
    <row r="68" spans="2:19">
      <c r="B68" s="3"/>
      <c r="C68" s="3"/>
      <c r="D68" s="3"/>
      <c r="E68" s="5"/>
      <c r="G68" s="45" t="s">
        <v>50</v>
      </c>
      <c r="H68" s="41">
        <v>1209600</v>
      </c>
      <c r="I68" s="35">
        <f>LN(AVERAGE(K26:K31))</f>
        <v>-2.1343024047370842</v>
      </c>
      <c r="J68" s="35">
        <f>LN(AVERAGE(K32:K37))</f>
        <v>-6.4810199681070211</v>
      </c>
      <c r="K68" s="37">
        <f>LN(AVERAGE(K38:K43))</f>
        <v>-9.4690913252504867</v>
      </c>
      <c r="L68" s="3"/>
      <c r="M68" s="3"/>
      <c r="N68" s="15">
        <v>1209600</v>
      </c>
      <c r="O68" s="3">
        <f>LN(AVERAGE(Q26:Q31))</f>
        <v>1.0704127158758461</v>
      </c>
      <c r="P68" s="3">
        <f>LN(AVERAGE(Q32:Q37))</f>
        <v>-0.28099495903318367</v>
      </c>
      <c r="Q68" s="23">
        <f>LN(AVERAGE(Q38:Q43))</f>
        <v>-0.83266340739457712</v>
      </c>
      <c r="S68" s="30" t="s">
        <v>33</v>
      </c>
    </row>
    <row r="69" spans="2:19">
      <c r="B69" s="3"/>
      <c r="C69" s="3"/>
      <c r="D69" s="3"/>
      <c r="E69" s="5"/>
      <c r="F69" s="3"/>
      <c r="G69" s="45"/>
      <c r="H69" s="42">
        <v>1814400</v>
      </c>
      <c r="I69" s="21"/>
      <c r="J69" s="21"/>
      <c r="K69" s="22"/>
      <c r="L69" s="3"/>
      <c r="M69" s="3"/>
      <c r="N69" s="12">
        <v>1814400</v>
      </c>
      <c r="O69" s="21">
        <f>LN(AVERAGE(Q44:Q49))</f>
        <v>0.12188159877181459</v>
      </c>
      <c r="P69" s="3">
        <f>LN(AVERAGE(Q50:Q55))</f>
        <v>-0.76344677921838389</v>
      </c>
      <c r="Q69" s="20">
        <f>LN(AVERAGE(Q56:Q61))</f>
        <v>-4.8287094102865176</v>
      </c>
    </row>
    <row r="70" spans="2:19">
      <c r="I70" t="s">
        <v>45</v>
      </c>
      <c r="J70" t="s">
        <v>46</v>
      </c>
      <c r="K70" t="s">
        <v>47</v>
      </c>
    </row>
    <row r="106" spans="2:23">
      <c r="B106" s="3"/>
      <c r="C106" s="3"/>
      <c r="D106" s="3"/>
      <c r="E106" s="3"/>
      <c r="F106" s="3"/>
      <c r="G106" s="6"/>
      <c r="H106" s="19" t="s">
        <v>20</v>
      </c>
      <c r="I106" s="18" t="s">
        <v>24</v>
      </c>
      <c r="J106" s="18" t="s">
        <v>23</v>
      </c>
      <c r="K106" s="17" t="s">
        <v>22</v>
      </c>
      <c r="L106" s="3"/>
      <c r="M106" s="3"/>
      <c r="N106" s="19" t="s">
        <v>20</v>
      </c>
      <c r="O106" s="18" t="s">
        <v>24</v>
      </c>
      <c r="P106" s="18" t="s">
        <v>23</v>
      </c>
      <c r="Q106" s="17" t="s">
        <v>22</v>
      </c>
      <c r="T106" s="3"/>
      <c r="U106" s="3"/>
      <c r="V106" s="3"/>
      <c r="W106" s="3"/>
    </row>
    <row r="107" spans="2:23">
      <c r="B107" s="3"/>
      <c r="C107" s="3"/>
      <c r="D107" s="14"/>
      <c r="E107" s="3"/>
      <c r="F107" s="3"/>
      <c r="G107" s="6"/>
      <c r="H107" s="15">
        <v>60</v>
      </c>
      <c r="I107" s="3">
        <v>3.8014000000000001E-6</v>
      </c>
      <c r="J107" s="14">
        <v>3.0016509079993999E-3</v>
      </c>
      <c r="K107" s="3">
        <f>LN(I107)</f>
        <v>-12.480141138029675</v>
      </c>
      <c r="L107" s="3"/>
      <c r="M107" s="3"/>
      <c r="N107" s="15">
        <v>60</v>
      </c>
      <c r="O107" s="16">
        <v>8.7440000000000005E-7</v>
      </c>
      <c r="P107" s="14">
        <v>3.0016509079993999E-3</v>
      </c>
      <c r="Q107" s="3">
        <f>LN(O107)</f>
        <v>-13.949727900084083</v>
      </c>
      <c r="T107" s="3"/>
      <c r="U107" s="5"/>
      <c r="V107" s="14"/>
      <c r="W107" s="3"/>
    </row>
    <row r="108" spans="2:23">
      <c r="B108" s="3"/>
      <c r="C108" s="3"/>
      <c r="D108" s="14"/>
      <c r="E108" s="3"/>
      <c r="F108" s="3"/>
      <c r="G108" s="6"/>
      <c r="H108" s="15">
        <v>65</v>
      </c>
      <c r="I108" s="3">
        <v>7.3949000000000001E-6</v>
      </c>
      <c r="J108" s="14">
        <v>2.9572674848440043E-3</v>
      </c>
      <c r="K108" s="3">
        <f>LN(I108)</f>
        <v>-11.814719984543382</v>
      </c>
      <c r="L108" s="3"/>
      <c r="M108" s="3"/>
      <c r="N108" s="15">
        <v>65</v>
      </c>
      <c r="O108" s="16">
        <v>1.5252E-6</v>
      </c>
      <c r="P108" s="14">
        <v>2.9572674848440043E-3</v>
      </c>
      <c r="Q108" s="3">
        <f>LN(O108)</f>
        <v>-13.393385008963003</v>
      </c>
      <c r="T108" s="3"/>
      <c r="U108" s="5"/>
      <c r="V108" s="14"/>
      <c r="W108" s="3"/>
    </row>
    <row r="109" spans="2:23">
      <c r="B109" s="3"/>
      <c r="C109" s="3"/>
      <c r="D109" s="14"/>
      <c r="E109" s="3"/>
      <c r="F109" s="3"/>
      <c r="G109" s="6"/>
      <c r="H109" s="12">
        <v>70</v>
      </c>
      <c r="I109" s="3">
        <v>9.8652E-6</v>
      </c>
      <c r="J109" s="11">
        <v>2.9141774734081308E-3</v>
      </c>
      <c r="K109" s="3">
        <f>LN(I109)</f>
        <v>-11.526497145000324</v>
      </c>
      <c r="L109" s="3"/>
      <c r="M109" s="3"/>
      <c r="N109" s="12">
        <v>70</v>
      </c>
      <c r="O109" s="13">
        <v>3.5821E-6</v>
      </c>
      <c r="P109" s="11">
        <v>2.9141774734081308E-3</v>
      </c>
      <c r="Q109" s="3">
        <f>LN(O109)</f>
        <v>-12.539561337350836</v>
      </c>
      <c r="T109" s="3"/>
      <c r="U109" s="5"/>
      <c r="V109" s="14"/>
      <c r="W109" s="3"/>
    </row>
    <row r="125" spans="2:21">
      <c r="H125" s="9" t="s">
        <v>21</v>
      </c>
      <c r="I125" s="9">
        <f>10923*8.314</f>
        <v>90813.822</v>
      </c>
      <c r="N125" s="9" t="s">
        <v>21</v>
      </c>
      <c r="O125" s="9">
        <f>16103*8.314</f>
        <v>133880.342</v>
      </c>
    </row>
    <row r="126" spans="2:21">
      <c r="B126" s="4"/>
      <c r="C126" s="4"/>
      <c r="D126" s="3"/>
      <c r="E126" s="5"/>
      <c r="F126" s="3"/>
      <c r="G126" s="6"/>
      <c r="H126" s="10" t="s">
        <v>20</v>
      </c>
      <c r="I126" s="10" t="s">
        <v>35</v>
      </c>
      <c r="J126" s="5"/>
      <c r="K126" s="3"/>
      <c r="L126" s="3"/>
      <c r="M126" s="3"/>
      <c r="N126" s="10" t="s">
        <v>20</v>
      </c>
      <c r="O126" s="10" t="s">
        <v>19</v>
      </c>
      <c r="P126" s="5"/>
      <c r="T126" s="4"/>
      <c r="U126" s="4"/>
    </row>
    <row r="127" spans="2:21">
      <c r="H127" s="9">
        <v>60</v>
      </c>
      <c r="I127" s="9">
        <f>LN(2)/I107/60/60/24/365</f>
        <v>5.781962674196027E-3</v>
      </c>
      <c r="N127" s="9">
        <v>60</v>
      </c>
      <c r="O127" s="9">
        <f>LN(2)/O107/60/60/24/365</f>
        <v>2.5136725651519642E-2</v>
      </c>
    </row>
    <row r="128" spans="2:21">
      <c r="H128" s="9">
        <v>65</v>
      </c>
      <c r="I128" s="9">
        <f>LN(2)/I108/60/60/24/365</f>
        <v>2.9722583009491378E-3</v>
      </c>
      <c r="N128" s="9">
        <v>65</v>
      </c>
      <c r="O128" s="9">
        <f>LN(2)/O108/60/60/24/365</f>
        <v>1.4410931621878295E-2</v>
      </c>
    </row>
    <row r="129" spans="8:15">
      <c r="H129" s="9">
        <v>70</v>
      </c>
      <c r="I129" s="9">
        <f>LN(2)/I109/60/60/24/365</f>
        <v>2.2279885769866579E-3</v>
      </c>
      <c r="N129" s="9">
        <v>70</v>
      </c>
      <c r="O129" s="9">
        <f>LN(2)/O109/60/60/24/365</f>
        <v>6.135940624127964E-3</v>
      </c>
    </row>
    <row r="145" spans="6:21">
      <c r="H145" s="3"/>
      <c r="N145" s="3"/>
      <c r="S145" s="3"/>
    </row>
    <row r="146" spans="6:21">
      <c r="H146" s="3"/>
      <c r="N146" s="3"/>
      <c r="S146" s="3"/>
    </row>
    <row r="147" spans="6:21">
      <c r="H147" s="3"/>
      <c r="N147" s="3"/>
      <c r="S147" s="3"/>
    </row>
    <row r="148" spans="6:21">
      <c r="H148" s="3"/>
      <c r="N148" s="3"/>
      <c r="S148" s="3"/>
    </row>
    <row r="149" spans="6:21">
      <c r="F149" s="27"/>
      <c r="G149" s="27"/>
      <c r="H149" s="28"/>
      <c r="I149" s="27"/>
      <c r="J149" s="27"/>
      <c r="K149" s="27"/>
      <c r="L149" s="27"/>
      <c r="M149" s="27"/>
      <c r="N149" s="28"/>
      <c r="O149" s="27"/>
      <c r="P149" s="27"/>
      <c r="Q149" s="27"/>
      <c r="R149" s="27"/>
      <c r="S149" s="3"/>
    </row>
    <row r="150" spans="6:21">
      <c r="F150" s="27"/>
      <c r="G150" s="27"/>
      <c r="H150" s="27"/>
      <c r="I150" s="27"/>
      <c r="J150" s="27"/>
      <c r="K150" s="27"/>
      <c r="L150" s="27"/>
      <c r="M150" s="27"/>
      <c r="N150" s="27"/>
      <c r="O150" s="27"/>
      <c r="P150" s="27"/>
      <c r="Q150" s="27"/>
      <c r="R150" s="27"/>
      <c r="S150" s="3"/>
    </row>
    <row r="151" spans="6:21">
      <c r="F151" s="27"/>
      <c r="G151" s="27"/>
      <c r="H151" s="27"/>
      <c r="I151" s="27"/>
      <c r="J151" s="27"/>
      <c r="K151" s="27"/>
      <c r="L151" s="27"/>
      <c r="M151" s="27"/>
      <c r="N151" s="27"/>
      <c r="O151" s="27"/>
      <c r="P151" s="27"/>
      <c r="Q151" s="27"/>
      <c r="R151" s="27"/>
    </row>
    <row r="152" spans="6:21">
      <c r="F152" s="27"/>
      <c r="G152" s="27"/>
      <c r="H152" s="28"/>
      <c r="I152" s="29"/>
      <c r="J152" s="27"/>
      <c r="K152" s="27"/>
      <c r="L152" s="27"/>
      <c r="M152" s="27"/>
      <c r="N152" s="28"/>
      <c r="O152" s="29"/>
      <c r="P152" s="27"/>
      <c r="Q152" s="27"/>
      <c r="R152" s="27"/>
    </row>
    <row r="153" spans="6:21">
      <c r="F153" s="27"/>
      <c r="G153" s="27"/>
      <c r="H153" s="28"/>
      <c r="I153" s="29"/>
      <c r="J153" s="27"/>
      <c r="K153" s="27"/>
      <c r="L153" s="27"/>
      <c r="M153" s="27"/>
      <c r="N153" s="28"/>
      <c r="O153" s="29"/>
      <c r="P153" s="27"/>
      <c r="Q153" s="27"/>
      <c r="R153" s="27"/>
    </row>
    <row r="154" spans="6:21">
      <c r="F154" s="27"/>
      <c r="G154" s="27"/>
      <c r="H154" s="28"/>
      <c r="I154" s="29"/>
      <c r="J154" s="27"/>
      <c r="K154" s="27"/>
      <c r="L154" s="27"/>
      <c r="M154" s="27"/>
      <c r="N154" s="28"/>
      <c r="O154" s="29"/>
      <c r="P154" s="27"/>
      <c r="Q154" s="27"/>
      <c r="R154" s="27"/>
    </row>
    <row r="155" spans="6:21">
      <c r="F155" s="27"/>
      <c r="G155" s="27"/>
      <c r="H155" s="28"/>
      <c r="I155" s="29"/>
      <c r="J155" s="27"/>
      <c r="K155" s="27"/>
      <c r="L155" s="27"/>
      <c r="M155" s="27"/>
      <c r="N155" s="28"/>
      <c r="O155" s="29"/>
      <c r="P155" s="27"/>
      <c r="Q155" s="27"/>
      <c r="R155" s="27"/>
    </row>
    <row r="156" spans="6:21">
      <c r="F156" s="27"/>
      <c r="G156" s="27"/>
      <c r="H156" s="28"/>
      <c r="I156" s="29"/>
      <c r="J156" s="27"/>
      <c r="K156" s="27"/>
      <c r="L156" s="27"/>
      <c r="M156" s="27"/>
      <c r="N156" s="28"/>
      <c r="O156" s="29"/>
      <c r="P156" s="27"/>
      <c r="Q156" s="27"/>
      <c r="R156" s="27"/>
    </row>
    <row r="157" spans="6:21">
      <c r="F157" s="27"/>
      <c r="G157" s="27"/>
      <c r="H157" s="28"/>
      <c r="I157" s="29"/>
      <c r="J157" s="27"/>
      <c r="K157" s="27"/>
      <c r="L157" s="27"/>
      <c r="M157" s="27"/>
      <c r="N157" s="28"/>
      <c r="O157" s="29"/>
      <c r="P157" s="27"/>
      <c r="Q157" s="27"/>
      <c r="R157" s="27"/>
    </row>
    <row r="158" spans="6:21">
      <c r="F158" s="27"/>
      <c r="G158" s="27"/>
      <c r="H158" s="28"/>
      <c r="I158" s="27"/>
      <c r="J158" s="27"/>
      <c r="K158" s="27"/>
      <c r="L158" s="27"/>
      <c r="M158" s="27"/>
      <c r="N158" s="28"/>
      <c r="O158" s="29"/>
      <c r="P158" s="27"/>
      <c r="Q158" s="27"/>
      <c r="R158" s="27"/>
    </row>
    <row r="159" spans="6:21">
      <c r="F159" s="27"/>
      <c r="G159" s="27"/>
      <c r="H159" s="28"/>
      <c r="I159" s="29"/>
      <c r="J159" s="27"/>
      <c r="K159" s="27"/>
      <c r="L159" s="27"/>
      <c r="M159" s="27"/>
      <c r="N159" s="28"/>
      <c r="O159" s="27"/>
      <c r="P159" s="27"/>
      <c r="Q159" s="27"/>
      <c r="R159" s="28"/>
      <c r="U159" s="8"/>
    </row>
    <row r="160" spans="6:21">
      <c r="F160" s="27"/>
      <c r="G160" s="27"/>
      <c r="H160" s="28"/>
      <c r="I160" s="27"/>
      <c r="J160" s="27"/>
      <c r="K160" s="27"/>
      <c r="L160" s="27"/>
      <c r="M160" s="27"/>
      <c r="N160" s="28"/>
      <c r="O160" s="27"/>
      <c r="P160" s="27"/>
      <c r="Q160" s="27"/>
      <c r="R160" s="28"/>
      <c r="U160" s="8"/>
    </row>
    <row r="161" spans="6:21">
      <c r="F161" s="27"/>
      <c r="G161" s="27"/>
      <c r="H161" s="28"/>
      <c r="I161" s="29"/>
      <c r="J161" s="27"/>
      <c r="K161" s="27"/>
      <c r="L161" s="27"/>
      <c r="M161" s="27"/>
      <c r="N161" s="28"/>
      <c r="O161" s="27"/>
      <c r="P161" s="27"/>
      <c r="Q161" s="27"/>
      <c r="R161" s="28"/>
      <c r="U161" s="8"/>
    </row>
    <row r="162" spans="6:21">
      <c r="F162" s="27"/>
      <c r="G162" s="27"/>
      <c r="H162" s="28"/>
      <c r="I162" s="29"/>
      <c r="J162" s="27"/>
      <c r="K162" s="27"/>
      <c r="L162" s="27"/>
      <c r="M162" s="27"/>
      <c r="N162" s="28"/>
      <c r="O162" s="27"/>
      <c r="P162" s="27"/>
      <c r="Q162" s="27"/>
      <c r="R162" s="28"/>
      <c r="U162" s="8"/>
    </row>
    <row r="163" spans="6:21">
      <c r="F163" s="27"/>
      <c r="G163" s="27"/>
      <c r="H163" s="28"/>
      <c r="I163" s="29"/>
      <c r="J163" s="27"/>
      <c r="K163" s="27"/>
      <c r="L163" s="27"/>
      <c r="M163" s="27"/>
      <c r="N163" s="28"/>
      <c r="O163" s="27"/>
      <c r="P163" s="27"/>
      <c r="Q163" s="27"/>
      <c r="R163" s="28"/>
      <c r="U163" s="8"/>
    </row>
    <row r="164" spans="6:21">
      <c r="F164" s="27"/>
      <c r="G164" s="27"/>
      <c r="H164" s="28"/>
      <c r="I164" s="29"/>
      <c r="J164" s="27"/>
      <c r="K164" s="27"/>
      <c r="L164" s="27"/>
      <c r="M164" s="27"/>
      <c r="N164" s="28"/>
      <c r="O164" s="27"/>
      <c r="P164" s="27"/>
      <c r="Q164" s="27"/>
      <c r="R164" s="28"/>
      <c r="U164" s="8"/>
    </row>
    <row r="165" spans="6:21">
      <c r="F165" s="27"/>
      <c r="G165" s="27"/>
      <c r="H165" s="28"/>
      <c r="I165" s="29"/>
      <c r="J165" s="27"/>
      <c r="K165" s="27"/>
      <c r="L165" s="27"/>
      <c r="M165" s="27"/>
      <c r="N165" s="28"/>
      <c r="O165" s="27"/>
      <c r="P165" s="27"/>
      <c r="Q165" s="27"/>
      <c r="R165" s="27"/>
    </row>
    <row r="166" spans="6:21">
      <c r="F166" s="27"/>
      <c r="G166" s="27"/>
      <c r="H166" s="27"/>
      <c r="I166" s="27"/>
      <c r="J166" s="27"/>
      <c r="K166" s="27"/>
      <c r="L166" s="27"/>
      <c r="M166" s="27"/>
      <c r="N166" s="28"/>
      <c r="O166" s="27"/>
      <c r="P166" s="27"/>
      <c r="Q166" s="27"/>
      <c r="R166" s="27"/>
    </row>
    <row r="167" spans="6:21">
      <c r="F167" s="27"/>
      <c r="G167" s="27"/>
      <c r="H167" s="27"/>
      <c r="I167" s="27"/>
      <c r="J167" s="27"/>
      <c r="K167" s="27"/>
      <c r="L167" s="27"/>
      <c r="M167" s="27"/>
      <c r="N167" s="27"/>
      <c r="O167" s="27"/>
      <c r="P167" s="27"/>
      <c r="Q167" s="27"/>
      <c r="R167" s="27"/>
    </row>
    <row r="168" spans="6:21">
      <c r="F168" s="27"/>
      <c r="G168" s="27"/>
      <c r="H168" s="27"/>
      <c r="I168" s="27"/>
      <c r="J168" s="27"/>
      <c r="K168" s="27"/>
      <c r="L168" s="27"/>
      <c r="M168" s="27"/>
      <c r="N168" s="27"/>
      <c r="O168" s="27"/>
      <c r="P168" s="27"/>
      <c r="Q168" s="27"/>
      <c r="R168" s="27"/>
    </row>
    <row r="169" spans="6:21">
      <c r="F169" s="27"/>
      <c r="G169" s="27"/>
      <c r="H169" s="27"/>
      <c r="I169" s="27"/>
      <c r="J169" s="27"/>
      <c r="K169" s="27"/>
      <c r="L169" s="27"/>
      <c r="M169" s="27"/>
      <c r="N169" s="27"/>
      <c r="O169" s="27"/>
      <c r="P169" s="27"/>
      <c r="Q169" s="27"/>
      <c r="R169" s="27"/>
    </row>
    <row r="170" spans="6:21">
      <c r="F170" s="27"/>
      <c r="G170" s="27"/>
      <c r="H170" s="27"/>
      <c r="I170" s="27"/>
      <c r="J170" s="27"/>
      <c r="K170" s="27"/>
      <c r="L170" s="27"/>
      <c r="M170" s="27"/>
      <c r="N170" s="27"/>
      <c r="O170" s="27"/>
      <c r="P170" s="27"/>
      <c r="Q170" s="27"/>
      <c r="R170" s="27"/>
    </row>
    <row r="171" spans="6:21">
      <c r="F171" s="27"/>
      <c r="G171" s="27"/>
      <c r="H171" s="27"/>
      <c r="I171" s="27"/>
      <c r="J171" s="27"/>
      <c r="K171" s="27"/>
      <c r="L171" s="27"/>
      <c r="M171" s="27"/>
      <c r="N171" s="27"/>
      <c r="O171" s="27"/>
      <c r="P171" s="27"/>
      <c r="Q171" s="27"/>
      <c r="R171" s="27"/>
    </row>
    <row r="172" spans="6:21">
      <c r="F172" s="27"/>
      <c r="G172" s="27"/>
      <c r="H172" s="27"/>
      <c r="I172" s="27"/>
      <c r="J172" s="27"/>
      <c r="K172" s="27"/>
      <c r="L172" s="27"/>
      <c r="M172" s="27"/>
      <c r="N172" s="27"/>
      <c r="O172" s="27"/>
      <c r="P172" s="27"/>
      <c r="Q172" s="27"/>
      <c r="R172" s="27"/>
    </row>
    <row r="173" spans="6:21">
      <c r="F173" s="27"/>
      <c r="G173" s="27"/>
      <c r="H173" s="27"/>
      <c r="I173" s="27"/>
      <c r="J173" s="27"/>
      <c r="K173" s="27"/>
      <c r="L173" s="27"/>
      <c r="M173" s="27"/>
      <c r="N173" s="27"/>
      <c r="O173" s="27"/>
      <c r="P173" s="27"/>
      <c r="Q173" s="27"/>
      <c r="R173" s="27"/>
    </row>
    <row r="174" spans="6:21">
      <c r="F174" s="27"/>
      <c r="G174" s="27"/>
      <c r="H174" s="27"/>
      <c r="I174" s="27"/>
      <c r="J174" s="27"/>
      <c r="K174" s="27"/>
      <c r="L174" s="27"/>
      <c r="M174" s="27"/>
      <c r="N174" s="27"/>
      <c r="O174" s="27"/>
      <c r="P174" s="27"/>
      <c r="Q174" s="27"/>
      <c r="R174" s="27"/>
    </row>
  </sheetData>
  <mergeCells count="29">
    <mergeCell ref="AA5:AE5"/>
    <mergeCell ref="G2:G7"/>
    <mergeCell ref="H2:H7"/>
    <mergeCell ref="M2:M7"/>
    <mergeCell ref="N2:N7"/>
    <mergeCell ref="G8:G25"/>
    <mergeCell ref="H8:H13"/>
    <mergeCell ref="M8:M25"/>
    <mergeCell ref="N8:N13"/>
    <mergeCell ref="H14:H19"/>
    <mergeCell ref="N14:N19"/>
    <mergeCell ref="H20:H25"/>
    <mergeCell ref="N20:N25"/>
    <mergeCell ref="G26:G43"/>
    <mergeCell ref="H26:H31"/>
    <mergeCell ref="M26:M43"/>
    <mergeCell ref="N26:N31"/>
    <mergeCell ref="H32:H37"/>
    <mergeCell ref="N32:N37"/>
    <mergeCell ref="H38:H43"/>
    <mergeCell ref="N38:N43"/>
    <mergeCell ref="G44:G61"/>
    <mergeCell ref="H44:H49"/>
    <mergeCell ref="M44:M61"/>
    <mergeCell ref="N44:N49"/>
    <mergeCell ref="H50:H55"/>
    <mergeCell ref="N50:N55"/>
    <mergeCell ref="H56:H61"/>
    <mergeCell ref="N56:N61"/>
  </mergeCells>
  <phoneticPr fontId="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6D7FE-D51A-4E56-9A54-E76D9C3E7744}">
  <dimension ref="A1:D121"/>
  <sheetViews>
    <sheetView topLeftCell="A5" zoomScale="101" workbookViewId="0">
      <selection activeCell="G13" sqref="G13"/>
    </sheetView>
  </sheetViews>
  <sheetFormatPr defaultRowHeight="15.5"/>
  <cols>
    <col min="1" max="1" width="8.75" bestFit="1" customWidth="1"/>
    <col min="2" max="2" width="11.83203125" bestFit="1" customWidth="1"/>
    <col min="3" max="3" width="12.83203125" customWidth="1"/>
    <col min="5" max="5" width="8.75" bestFit="1" customWidth="1"/>
    <col min="8" max="8" width="8.6640625" customWidth="1"/>
  </cols>
  <sheetData>
    <row r="1" spans="1:4">
      <c r="A1" s="3"/>
      <c r="B1" s="5" t="s">
        <v>37</v>
      </c>
      <c r="C1" t="s">
        <v>38</v>
      </c>
      <c r="D1" t="s">
        <v>36</v>
      </c>
    </row>
    <row r="2" spans="1:4">
      <c r="A2" s="32"/>
      <c r="B2" s="3">
        <v>1.6952316295494291E-2</v>
      </c>
      <c r="C2">
        <f>LN(B2)</f>
        <v>-4.0773507998906338</v>
      </c>
      <c r="D2">
        <v>1</v>
      </c>
    </row>
    <row r="3" spans="1:4">
      <c r="A3" s="32"/>
      <c r="B3" s="3">
        <v>2.0976496506727806E-2</v>
      </c>
      <c r="C3">
        <f t="shared" ref="C3:C15" si="0">LN(B3)</f>
        <v>-3.8643526820117233</v>
      </c>
      <c r="D3">
        <v>2</v>
      </c>
    </row>
    <row r="4" spans="1:4">
      <c r="A4" s="32" t="s">
        <v>39</v>
      </c>
      <c r="B4" s="3">
        <v>0.29520995178605502</v>
      </c>
      <c r="C4">
        <f t="shared" si="0"/>
        <v>-1.2200684748116752</v>
      </c>
      <c r="D4">
        <v>3</v>
      </c>
    </row>
    <row r="5" spans="1:4">
      <c r="A5" s="32"/>
      <c r="B5" s="3">
        <v>1.6577668710252839E-2</v>
      </c>
      <c r="C5">
        <f t="shared" si="0"/>
        <v>-4.0996987477105833</v>
      </c>
      <c r="D5">
        <v>4</v>
      </c>
    </row>
    <row r="6" spans="1:4">
      <c r="A6" s="32"/>
      <c r="B6" s="3">
        <v>1.762658496566042E-2</v>
      </c>
      <c r="C6">
        <f t="shared" si="0"/>
        <v>-4.0383470071973377</v>
      </c>
      <c r="D6">
        <v>5</v>
      </c>
    </row>
    <row r="7" spans="1:4">
      <c r="A7" s="32"/>
      <c r="B7" s="3">
        <v>0.2296090837789202</v>
      </c>
      <c r="C7">
        <f t="shared" si="0"/>
        <v>-1.4713770518223011</v>
      </c>
      <c r="D7">
        <v>6</v>
      </c>
    </row>
    <row r="8" spans="1:4">
      <c r="A8" s="33"/>
      <c r="B8" s="3">
        <v>1.1516515112591512E-2</v>
      </c>
      <c r="C8">
        <f t="shared" si="0"/>
        <v>-4.4639731770665838</v>
      </c>
      <c r="D8">
        <v>7</v>
      </c>
    </row>
    <row r="9" spans="1:4">
      <c r="A9" s="33"/>
      <c r="B9" s="3">
        <v>4.7048512514617728E-3</v>
      </c>
      <c r="C9">
        <f t="shared" si="0"/>
        <v>-5.3591611214367427</v>
      </c>
      <c r="D9">
        <v>8</v>
      </c>
    </row>
    <row r="10" spans="1:4">
      <c r="A10" s="33" t="s">
        <v>40</v>
      </c>
      <c r="B10" s="3">
        <v>1.5273082675801151E-2</v>
      </c>
      <c r="C10">
        <f t="shared" si="0"/>
        <v>-4.1816633022086398</v>
      </c>
      <c r="D10">
        <v>9</v>
      </c>
    </row>
    <row r="11" spans="1:4">
      <c r="A11" s="33"/>
      <c r="B11" s="3">
        <v>1.1701460398604513E-2</v>
      </c>
      <c r="C11">
        <f t="shared" si="0"/>
        <v>-4.4480416245742953</v>
      </c>
      <c r="D11">
        <v>10</v>
      </c>
    </row>
    <row r="12" spans="1:4">
      <c r="A12" s="33"/>
      <c r="B12" s="3">
        <v>4.8412490120435404E-3</v>
      </c>
      <c r="C12">
        <f t="shared" si="0"/>
        <v>-5.3305825312058639</v>
      </c>
      <c r="D12">
        <v>11</v>
      </c>
    </row>
    <row r="13" spans="1:4">
      <c r="A13" s="33"/>
      <c r="B13" s="3">
        <v>1.2382061581943948E-2</v>
      </c>
      <c r="C13">
        <f t="shared" si="0"/>
        <v>-4.3915065003920573</v>
      </c>
      <c r="D13">
        <v>12</v>
      </c>
    </row>
    <row r="14" spans="1:4">
      <c r="A14" s="34"/>
      <c r="B14" s="5">
        <v>9.7248582929094827E-6</v>
      </c>
      <c r="C14">
        <f t="shared" si="0"/>
        <v>-11.540825239989118</v>
      </c>
      <c r="D14">
        <v>13</v>
      </c>
    </row>
    <row r="15" spans="1:4">
      <c r="A15" s="34"/>
      <c r="B15" s="5">
        <v>3.7494925416040043E-4</v>
      </c>
      <c r="C15">
        <f t="shared" si="0"/>
        <v>-7.8887198633896753</v>
      </c>
      <c r="D15">
        <v>14</v>
      </c>
    </row>
    <row r="16" spans="1:4">
      <c r="A16" s="34" t="s">
        <v>41</v>
      </c>
      <c r="B16" s="5"/>
      <c r="D16">
        <v>15</v>
      </c>
    </row>
    <row r="17" spans="1:4">
      <c r="A17" s="34"/>
      <c r="B17" s="5">
        <v>5.0530242385963118E-6</v>
      </c>
      <c r="C17">
        <f>LN(B17)</f>
        <v>-12.195523634793593</v>
      </c>
      <c r="D17">
        <v>16</v>
      </c>
    </row>
    <row r="18" spans="1:4">
      <c r="A18" s="34"/>
      <c r="B18" s="5">
        <v>3.0833108406554187E-4</v>
      </c>
      <c r="C18">
        <f>LN(B18)</f>
        <v>-8.0843364040691341</v>
      </c>
      <c r="D18">
        <v>17</v>
      </c>
    </row>
    <row r="19" spans="1:4">
      <c r="A19" s="34"/>
      <c r="B19" s="5">
        <v>1.2713684979337969E-2</v>
      </c>
      <c r="C19">
        <f>LN(B19)</f>
        <v>-4.3650763082376853</v>
      </c>
      <c r="D19">
        <v>18</v>
      </c>
    </row>
    <row r="20" spans="1:4">
      <c r="A20" s="7"/>
      <c r="B20" s="5"/>
    </row>
    <row r="21" spans="1:4">
      <c r="A21" s="7"/>
      <c r="B21" s="5"/>
    </row>
    <row r="22" spans="1:4">
      <c r="A22" s="26"/>
      <c r="B22" s="5"/>
    </row>
    <row r="23" spans="1:4">
      <c r="A23" s="7"/>
      <c r="B23" s="5"/>
    </row>
    <row r="24" spans="1:4">
      <c r="A24" s="7"/>
      <c r="B24" s="5"/>
    </row>
    <row r="25" spans="1:4">
      <c r="A25" s="7"/>
      <c r="B25" s="5"/>
    </row>
    <row r="26" spans="1:4">
      <c r="A26" s="7"/>
      <c r="B26" s="5"/>
    </row>
    <row r="27" spans="1:4">
      <c r="A27" s="7"/>
      <c r="B27" s="5"/>
    </row>
    <row r="28" spans="1:4">
      <c r="A28" s="7"/>
      <c r="B28" s="5"/>
    </row>
    <row r="29" spans="1:4">
      <c r="A29" s="7"/>
      <c r="B29" s="5"/>
    </row>
    <row r="30" spans="1:4">
      <c r="A30" s="7"/>
      <c r="B30" s="5"/>
    </row>
    <row r="31" spans="1:4">
      <c r="A31" s="7"/>
      <c r="B31" s="5"/>
    </row>
    <row r="32" spans="1:4">
      <c r="A32" s="7"/>
      <c r="B32" s="5"/>
    </row>
    <row r="33" spans="1:2">
      <c r="A33" s="7"/>
      <c r="B33" s="5"/>
    </row>
    <row r="34" spans="1:2">
      <c r="A34" s="7"/>
      <c r="B34" s="5"/>
    </row>
    <row r="35" spans="1:2">
      <c r="A35" s="7"/>
      <c r="B35" s="5"/>
    </row>
    <row r="36" spans="1:2">
      <c r="A36" s="7"/>
      <c r="B36" s="5"/>
    </row>
    <row r="37" spans="1:2">
      <c r="A37" s="7"/>
      <c r="B37" s="5"/>
    </row>
    <row r="38" spans="1:2">
      <c r="A38" s="7"/>
      <c r="B38" s="5"/>
    </row>
    <row r="39" spans="1:2">
      <c r="A39" s="7"/>
      <c r="B39" s="5"/>
    </row>
    <row r="40" spans="1:2">
      <c r="A40" s="7"/>
      <c r="B40" s="5"/>
    </row>
    <row r="41" spans="1:2">
      <c r="A41" s="7"/>
      <c r="B41" s="5"/>
    </row>
    <row r="42" spans="1:2">
      <c r="A42" s="7"/>
      <c r="B42" s="5"/>
    </row>
    <row r="43" spans="1:2">
      <c r="A43" s="7"/>
      <c r="B43" s="5"/>
    </row>
    <row r="44" spans="1:2">
      <c r="A44" s="7"/>
      <c r="B44" s="5"/>
    </row>
    <row r="45" spans="1:2">
      <c r="A45" s="7"/>
      <c r="B45" s="5"/>
    </row>
    <row r="46" spans="1:2">
      <c r="A46" s="26"/>
      <c r="B46" s="5"/>
    </row>
    <row r="47" spans="1:2">
      <c r="A47" s="7"/>
      <c r="B47" s="5"/>
    </row>
    <row r="48" spans="1:2">
      <c r="A48" s="7"/>
      <c r="B48" s="5"/>
    </row>
    <row r="49" spans="1:2">
      <c r="A49" s="7"/>
      <c r="B49" s="5"/>
    </row>
    <row r="50" spans="1:2">
      <c r="A50" s="7"/>
      <c r="B50" s="5"/>
    </row>
    <row r="51" spans="1:2">
      <c r="A51" s="7"/>
      <c r="B51" s="5"/>
    </row>
    <row r="52" spans="1:2">
      <c r="A52" s="7"/>
      <c r="B52" s="5"/>
    </row>
    <row r="53" spans="1:2">
      <c r="A53" s="7"/>
      <c r="B53" s="5"/>
    </row>
    <row r="54" spans="1:2">
      <c r="A54" s="7"/>
      <c r="B54" s="5"/>
    </row>
    <row r="55" spans="1:2">
      <c r="A55" s="7"/>
      <c r="B55" s="5"/>
    </row>
    <row r="56" spans="1:2">
      <c r="A56" s="7"/>
      <c r="B56" s="5"/>
    </row>
    <row r="57" spans="1:2">
      <c r="A57" s="7"/>
      <c r="B57" s="5"/>
    </row>
    <row r="58" spans="1:2">
      <c r="A58" s="7"/>
      <c r="B58" s="5"/>
    </row>
    <row r="59" spans="1:2">
      <c r="A59" s="7"/>
      <c r="B59" s="5"/>
    </row>
    <row r="60" spans="1:2">
      <c r="A60" s="7"/>
      <c r="B60" s="5"/>
    </row>
    <row r="61" spans="1:2">
      <c r="A61" s="7"/>
      <c r="B61" s="5"/>
    </row>
    <row r="62" spans="1:2">
      <c r="A62" s="7"/>
      <c r="B62" s="5"/>
    </row>
    <row r="63" spans="1:2">
      <c r="A63" s="7"/>
      <c r="B63" s="5"/>
    </row>
    <row r="64" spans="1:2">
      <c r="A64" s="7"/>
      <c r="B64" s="5"/>
    </row>
    <row r="65" spans="1:2">
      <c r="A65" s="7"/>
      <c r="B65" s="5"/>
    </row>
    <row r="66" spans="1:2">
      <c r="A66" s="7"/>
      <c r="B66" s="5"/>
    </row>
    <row r="67" spans="1:2">
      <c r="A67" s="7"/>
      <c r="B67" s="5"/>
    </row>
    <row r="68" spans="1:2">
      <c r="A68" s="7"/>
      <c r="B68" s="5"/>
    </row>
    <row r="69" spans="1:2">
      <c r="A69" s="7"/>
      <c r="B69" s="5"/>
    </row>
    <row r="70" spans="1:2">
      <c r="A70" s="26"/>
      <c r="B70" s="5"/>
    </row>
    <row r="71" spans="1:2">
      <c r="A71" s="7"/>
      <c r="B71" s="5"/>
    </row>
    <row r="72" spans="1:2">
      <c r="A72" s="7"/>
      <c r="B72" s="5"/>
    </row>
    <row r="73" spans="1:2">
      <c r="A73" s="7"/>
      <c r="B73" s="5"/>
    </row>
    <row r="74" spans="1:2">
      <c r="A74" s="7"/>
      <c r="B74" s="5"/>
    </row>
    <row r="75" spans="1:2">
      <c r="A75" s="7"/>
      <c r="B75" s="5"/>
    </row>
    <row r="76" spans="1:2">
      <c r="A76" s="7"/>
      <c r="B76" s="5"/>
    </row>
    <row r="77" spans="1:2">
      <c r="A77" s="7"/>
      <c r="B77" s="5"/>
    </row>
    <row r="78" spans="1:2">
      <c r="A78" s="7"/>
      <c r="B78" s="5"/>
    </row>
    <row r="79" spans="1:2">
      <c r="A79" s="7"/>
      <c r="B79" s="5"/>
    </row>
    <row r="80" spans="1:2">
      <c r="A80" s="7"/>
      <c r="B80" s="3"/>
    </row>
    <row r="81" spans="1:2">
      <c r="A81" s="7"/>
      <c r="B81" s="3"/>
    </row>
    <row r="82" spans="1:2">
      <c r="A82" s="7"/>
      <c r="B82" s="3"/>
    </row>
    <row r="83" spans="1:2">
      <c r="A83" s="7"/>
      <c r="B83" s="3"/>
    </row>
    <row r="84" spans="1:2">
      <c r="A84" s="7"/>
      <c r="B84" s="3"/>
    </row>
    <row r="85" spans="1:2">
      <c r="A85" s="7"/>
      <c r="B85" s="3"/>
    </row>
    <row r="86" spans="1:2">
      <c r="A86" s="7"/>
      <c r="B86" s="5"/>
    </row>
    <row r="87" spans="1:2">
      <c r="A87" s="7"/>
      <c r="B87" s="5"/>
    </row>
    <row r="88" spans="1:2">
      <c r="A88" s="26"/>
      <c r="B88" s="5"/>
    </row>
    <row r="89" spans="1:2">
      <c r="A89" s="7"/>
      <c r="B89" s="5"/>
    </row>
    <row r="90" spans="1:2">
      <c r="A90" s="7"/>
      <c r="B90" s="5"/>
    </row>
    <row r="91" spans="1:2">
      <c r="A91" s="26"/>
      <c r="B91" s="5"/>
    </row>
    <row r="92" spans="1:2">
      <c r="A92" s="7"/>
      <c r="B92" s="5"/>
    </row>
    <row r="93" spans="1:2">
      <c r="A93" s="7"/>
      <c r="B93" s="5"/>
    </row>
    <row r="94" spans="1:2">
      <c r="A94" s="7"/>
      <c r="B94" s="5"/>
    </row>
    <row r="95" spans="1:2">
      <c r="A95" s="7"/>
      <c r="B95" s="5"/>
    </row>
    <row r="96" spans="1:2">
      <c r="A96" s="7"/>
      <c r="B96" s="5"/>
    </row>
    <row r="97" spans="1:2">
      <c r="A97" s="7"/>
      <c r="B97" s="5"/>
    </row>
    <row r="98" spans="1:2">
      <c r="A98" s="7"/>
      <c r="B98" s="3"/>
    </row>
    <row r="99" spans="1:2">
      <c r="A99" s="7"/>
      <c r="B99" s="3"/>
    </row>
    <row r="100" spans="1:2">
      <c r="A100" s="7"/>
      <c r="B100" s="3"/>
    </row>
    <row r="101" spans="1:2">
      <c r="A101" s="7"/>
      <c r="B101" s="3"/>
    </row>
    <row r="102" spans="1:2">
      <c r="A102" s="7"/>
      <c r="B102" s="3"/>
    </row>
    <row r="103" spans="1:2">
      <c r="A103" s="7"/>
      <c r="B103" s="3"/>
    </row>
    <row r="104" spans="1:2">
      <c r="A104" s="7"/>
      <c r="B104" s="5"/>
    </row>
    <row r="105" spans="1:2">
      <c r="A105" s="7"/>
      <c r="B105" s="5"/>
    </row>
    <row r="106" spans="1:2">
      <c r="A106" s="7"/>
      <c r="B106" s="5"/>
    </row>
    <row r="107" spans="1:2">
      <c r="A107" s="7"/>
      <c r="B107" s="5"/>
    </row>
    <row r="108" spans="1:2">
      <c r="A108" s="7"/>
      <c r="B108" s="5"/>
    </row>
    <row r="109" spans="1:2">
      <c r="A109" s="7"/>
      <c r="B109" s="5"/>
    </row>
    <row r="110" spans="1:2">
      <c r="A110" s="7"/>
      <c r="B110" s="5"/>
    </row>
    <row r="111" spans="1:2">
      <c r="A111" s="7"/>
      <c r="B111" s="5"/>
    </row>
    <row r="112" spans="1:2">
      <c r="A112" s="7"/>
      <c r="B112" s="5"/>
    </row>
    <row r="113" spans="1:2">
      <c r="A113" s="7"/>
      <c r="B113" s="5"/>
    </row>
    <row r="114" spans="1:2">
      <c r="A114" s="7"/>
      <c r="B114" s="5"/>
    </row>
    <row r="115" spans="1:2">
      <c r="A115" s="7"/>
      <c r="B115" s="5"/>
    </row>
    <row r="116" spans="1:2">
      <c r="B116" s="3"/>
    </row>
    <row r="117" spans="1:2">
      <c r="A117" s="7"/>
      <c r="B117" s="3"/>
    </row>
    <row r="118" spans="1:2">
      <c r="B118" s="3"/>
    </row>
    <row r="119" spans="1:2">
      <c r="B119" s="3"/>
    </row>
    <row r="120" spans="1:2">
      <c r="B120" s="3"/>
    </row>
    <row r="121" spans="1:2">
      <c r="A121" s="7"/>
      <c r="B121"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 of Fig. 5F</vt:lpstr>
      <vt:lpstr>Arrhenius Calculate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健恺 李</dc:creator>
  <cp:lastModifiedBy>UMAIR AHMAD</cp:lastModifiedBy>
  <dcterms:created xsi:type="dcterms:W3CDTF">2025-12-16T11:15:17Z</dcterms:created>
  <dcterms:modified xsi:type="dcterms:W3CDTF">2026-01-13T13:45:00Z</dcterms:modified>
</cp:coreProperties>
</file>